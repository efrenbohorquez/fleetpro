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860" documentId="11_FD8F0F4EDACD3590F4622DD3A636FD040DCD40E8" xr6:coauthVersionLast="47" xr6:coauthVersionMax="47" xr10:uidLastSave="{9A858D66-F787-453A-805A-62D4E7AB9267}"/>
  <bookViews>
    <workbookView xWindow="0" yWindow="0" windowWidth="20490" windowHeight="6930" xr2:uid="{00000000-000D-0000-FFFF-FFFF00000000}"/>
  </bookViews>
  <sheets>
    <sheet name="OKZ667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7" i="2" l="1"/>
  <c r="P165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U165" i="2"/>
  <c r="T165" i="2"/>
  <c r="S165" i="2"/>
  <c r="Q178" i="2"/>
  <c r="Q179" i="2"/>
  <c r="Q180" i="2"/>
  <c r="Q181" i="2"/>
  <c r="Q182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165" i="2"/>
  <c r="V165" i="2" s="1"/>
  <c r="V182" i="2"/>
  <c r="V181" i="2"/>
  <c r="V180" i="2"/>
  <c r="V179" i="2"/>
  <c r="V178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S166" i="2"/>
  <c r="T166" i="2" s="1"/>
  <c r="U166" i="2" s="1"/>
  <c r="S167" i="2"/>
  <c r="T167" i="2" s="1"/>
  <c r="U167" i="2" s="1"/>
  <c r="S168" i="2"/>
  <c r="T168" i="2" s="1"/>
  <c r="U168" i="2" s="1"/>
  <c r="S169" i="2"/>
  <c r="T169" i="2" s="1"/>
  <c r="U169" i="2" s="1"/>
  <c r="S170" i="2"/>
  <c r="T170" i="2" s="1"/>
  <c r="U170" i="2" s="1"/>
  <c r="S171" i="2"/>
  <c r="T171" i="2" s="1"/>
  <c r="U171" i="2" s="1"/>
  <c r="S172" i="2"/>
  <c r="T172" i="2" s="1"/>
  <c r="U172" i="2" s="1"/>
  <c r="S173" i="2"/>
  <c r="T173" i="2" s="1"/>
  <c r="U173" i="2" s="1"/>
  <c r="S174" i="2"/>
  <c r="T174" i="2" s="1"/>
  <c r="U174" i="2" s="1"/>
  <c r="S175" i="2"/>
  <c r="T175" i="2" s="1"/>
  <c r="U175" i="2" s="1"/>
  <c r="S176" i="2"/>
  <c r="T176" i="2" s="1"/>
  <c r="U176" i="2" s="1"/>
  <c r="T177" i="2"/>
  <c r="U177" i="2" s="1"/>
  <c r="S178" i="2"/>
  <c r="T178" i="2" s="1"/>
  <c r="U178" i="2" s="1"/>
  <c r="S179" i="2"/>
  <c r="T179" i="2" s="1"/>
  <c r="U179" i="2" s="1"/>
  <c r="S180" i="2"/>
  <c r="T180" i="2" s="1"/>
  <c r="U180" i="2" s="1"/>
  <c r="S181" i="2"/>
  <c r="T181" i="2" s="1"/>
  <c r="U181" i="2" s="1"/>
  <c r="S182" i="2"/>
  <c r="T182" i="2" s="1"/>
  <c r="U182" i="2" s="1"/>
  <c r="S183" i="2"/>
  <c r="T183" i="2" s="1"/>
  <c r="U183" i="2" s="1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S158" i="2"/>
  <c r="S159" i="2"/>
  <c r="T159" i="2" s="1"/>
  <c r="U159" i="2" s="1"/>
  <c r="S160" i="2"/>
  <c r="T160" i="2" s="1"/>
  <c r="U160" i="2" s="1"/>
  <c r="S161" i="2"/>
  <c r="T161" i="2" s="1"/>
  <c r="U161" i="2" s="1"/>
  <c r="S162" i="2"/>
  <c r="T162" i="2" s="1"/>
  <c r="U162" i="2" s="1"/>
  <c r="S163" i="2"/>
  <c r="T163" i="2" s="1"/>
  <c r="U163" i="2" s="1"/>
  <c r="S164" i="2"/>
  <c r="T164" i="2" s="1"/>
  <c r="U164" i="2" s="1"/>
  <c r="S203" i="2"/>
  <c r="O159" i="2"/>
  <c r="P159" i="2" s="1"/>
  <c r="Q159" i="2" s="1"/>
  <c r="O160" i="2"/>
  <c r="P160" i="2" s="1"/>
  <c r="Q160" i="2" s="1"/>
  <c r="O161" i="2"/>
  <c r="P161" i="2" s="1"/>
  <c r="Q161" i="2" s="1"/>
  <c r="O162" i="2"/>
  <c r="P162" i="2" s="1"/>
  <c r="Q162" i="2" s="1"/>
  <c r="P163" i="2"/>
  <c r="Q163" i="2" s="1"/>
  <c r="P164" i="2"/>
  <c r="Q164" i="2" s="1"/>
  <c r="O201" i="2"/>
  <c r="O202" i="2"/>
  <c r="S151" i="2"/>
  <c r="T151" i="2" s="1"/>
  <c r="U151" i="2" s="1"/>
  <c r="S152" i="2"/>
  <c r="T152" i="2" s="1"/>
  <c r="U152" i="2" s="1"/>
  <c r="S153" i="2"/>
  <c r="T153" i="2" s="1"/>
  <c r="U153" i="2" s="1"/>
  <c r="S154" i="2"/>
  <c r="T154" i="2" s="1"/>
  <c r="U154" i="2" s="1"/>
  <c r="S155" i="2"/>
  <c r="T155" i="2" s="1"/>
  <c r="U155" i="2" s="1"/>
  <c r="S156" i="2"/>
  <c r="T156" i="2" s="1"/>
  <c r="U156" i="2" s="1"/>
  <c r="S157" i="2"/>
  <c r="T157" i="2" s="1"/>
  <c r="U157" i="2" s="1"/>
  <c r="T158" i="2"/>
  <c r="U158" i="2" s="1"/>
  <c r="U202" i="2"/>
  <c r="T203" i="2"/>
  <c r="U203" i="2" s="1"/>
  <c r="O151" i="2"/>
  <c r="P151" i="2" s="1"/>
  <c r="Q151" i="2" s="1"/>
  <c r="O152" i="2"/>
  <c r="P152" i="2" s="1"/>
  <c r="Q152" i="2" s="1"/>
  <c r="O153" i="2"/>
  <c r="P153" i="2" s="1"/>
  <c r="Q153" i="2" s="1"/>
  <c r="O154" i="2"/>
  <c r="P154" i="2" s="1"/>
  <c r="Q154" i="2" s="1"/>
  <c r="O155" i="2"/>
  <c r="P155" i="2" s="1"/>
  <c r="Q155" i="2" s="1"/>
  <c r="O156" i="2"/>
  <c r="P156" i="2" s="1"/>
  <c r="Q156" i="2" s="1"/>
  <c r="O157" i="2"/>
  <c r="P157" i="2" s="1"/>
  <c r="Q157" i="2" s="1"/>
  <c r="O158" i="2"/>
  <c r="P158" i="2" s="1"/>
  <c r="Q158" i="2" s="1"/>
  <c r="P202" i="2"/>
  <c r="O203" i="2"/>
  <c r="P203" i="2" s="1"/>
  <c r="S150" i="2"/>
  <c r="T150" i="2" s="1"/>
  <c r="U150" i="2" s="1"/>
  <c r="O150" i="2"/>
  <c r="P150" i="2" s="1"/>
  <c r="Q150" i="2" s="1"/>
  <c r="S149" i="2"/>
  <c r="T149" i="2" s="1"/>
  <c r="U149" i="2" s="1"/>
  <c r="O149" i="2"/>
  <c r="P149" i="2" s="1"/>
  <c r="Q149" i="2" s="1"/>
  <c r="S148" i="2"/>
  <c r="T148" i="2" s="1"/>
  <c r="U148" i="2" s="1"/>
  <c r="O148" i="2"/>
  <c r="P148" i="2" s="1"/>
  <c r="Q148" i="2" s="1"/>
  <c r="S147" i="2"/>
  <c r="T147" i="2" s="1"/>
  <c r="U147" i="2" s="1"/>
  <c r="O147" i="2"/>
  <c r="P147" i="2" s="1"/>
  <c r="Q147" i="2" s="1"/>
  <c r="S146" i="2"/>
  <c r="T146" i="2" s="1"/>
  <c r="U146" i="2" s="1"/>
  <c r="O146" i="2"/>
  <c r="P146" i="2" s="1"/>
  <c r="Q146" i="2" s="1"/>
  <c r="S145" i="2"/>
  <c r="T145" i="2" s="1"/>
  <c r="U145" i="2" s="1"/>
  <c r="O145" i="2"/>
  <c r="P145" i="2" s="1"/>
  <c r="Q145" i="2" s="1"/>
  <c r="T144" i="2"/>
  <c r="U144" i="2" s="1"/>
  <c r="O144" i="2"/>
  <c r="P144" i="2" s="1"/>
  <c r="Q144" i="2" s="1"/>
  <c r="S143" i="2"/>
  <c r="T143" i="2" s="1"/>
  <c r="U143" i="2" s="1"/>
  <c r="O143" i="2"/>
  <c r="P143" i="2" s="1"/>
  <c r="Q143" i="2" s="1"/>
  <c r="S142" i="2"/>
  <c r="T142" i="2" s="1"/>
  <c r="U142" i="2" s="1"/>
  <c r="O142" i="2"/>
  <c r="P142" i="2" s="1"/>
  <c r="Q142" i="2" s="1"/>
  <c r="S141" i="2"/>
  <c r="T141" i="2" s="1"/>
  <c r="U141" i="2" s="1"/>
  <c r="O141" i="2"/>
  <c r="P141" i="2" s="1"/>
  <c r="Q141" i="2" s="1"/>
  <c r="S140" i="2"/>
  <c r="T140" i="2" s="1"/>
  <c r="U140" i="2" s="1"/>
  <c r="O140" i="2"/>
  <c r="P140" i="2" s="1"/>
  <c r="Q140" i="2" s="1"/>
  <c r="S139" i="2"/>
  <c r="T139" i="2" s="1"/>
  <c r="U139" i="2" s="1"/>
  <c r="O139" i="2"/>
  <c r="P139" i="2" s="1"/>
  <c r="Q139" i="2" s="1"/>
  <c r="S138" i="2"/>
  <c r="T138" i="2" s="1"/>
  <c r="U138" i="2" s="1"/>
  <c r="O138" i="2"/>
  <c r="P138" i="2" s="1"/>
  <c r="Q138" i="2" s="1"/>
  <c r="S137" i="2"/>
  <c r="T137" i="2" s="1"/>
  <c r="U137" i="2" s="1"/>
  <c r="O137" i="2"/>
  <c r="P137" i="2" s="1"/>
  <c r="Q137" i="2" s="1"/>
  <c r="S136" i="2"/>
  <c r="T136" i="2" s="1"/>
  <c r="U136" i="2" s="1"/>
  <c r="O136" i="2"/>
  <c r="P136" i="2" s="1"/>
  <c r="Q136" i="2" s="1"/>
  <c r="S135" i="2"/>
  <c r="T135" i="2" s="1"/>
  <c r="U135" i="2" s="1"/>
  <c r="O135" i="2"/>
  <c r="P135" i="2" s="1"/>
  <c r="Q135" i="2" s="1"/>
  <c r="S134" i="2"/>
  <c r="T134" i="2" s="1"/>
  <c r="U134" i="2" s="1"/>
  <c r="O134" i="2"/>
  <c r="P134" i="2" s="1"/>
  <c r="Q134" i="2" s="1"/>
  <c r="S133" i="2"/>
  <c r="T133" i="2" s="1"/>
  <c r="U133" i="2" s="1"/>
  <c r="O133" i="2"/>
  <c r="Q133" i="2" s="1"/>
  <c r="S132" i="2"/>
  <c r="T132" i="2" s="1"/>
  <c r="U132" i="2" s="1"/>
  <c r="O132" i="2"/>
  <c r="P132" i="2" s="1"/>
  <c r="Q132" i="2" s="1"/>
  <c r="S131" i="2"/>
  <c r="T131" i="2" s="1"/>
  <c r="U131" i="2" s="1"/>
  <c r="O131" i="2"/>
  <c r="P131" i="2" s="1"/>
  <c r="Q131" i="2" s="1"/>
  <c r="S130" i="2"/>
  <c r="T130" i="2" s="1"/>
  <c r="U130" i="2" s="1"/>
  <c r="O130" i="2"/>
  <c r="P130" i="2" s="1"/>
  <c r="Q130" i="2" s="1"/>
  <c r="S129" i="2"/>
  <c r="T129" i="2" s="1"/>
  <c r="U129" i="2" s="1"/>
  <c r="O129" i="2"/>
  <c r="P129" i="2" s="1"/>
  <c r="Q129" i="2" s="1"/>
  <c r="S128" i="2"/>
  <c r="T128" i="2" s="1"/>
  <c r="U128" i="2" s="1"/>
  <c r="O128" i="2"/>
  <c r="P128" i="2" s="1"/>
  <c r="Q128" i="2" s="1"/>
  <c r="S127" i="2"/>
  <c r="T127" i="2" s="1"/>
  <c r="U127" i="2" s="1"/>
  <c r="O127" i="2"/>
  <c r="P127" i="2" s="1"/>
  <c r="Q127" i="2" s="1"/>
  <c r="S126" i="2"/>
  <c r="T126" i="2" s="1"/>
  <c r="U126" i="2" s="1"/>
  <c r="O126" i="2"/>
  <c r="P126" i="2" s="1"/>
  <c r="Q126" i="2" s="1"/>
  <c r="S125" i="2"/>
  <c r="T125" i="2" s="1"/>
  <c r="U125" i="2" s="1"/>
  <c r="O125" i="2"/>
  <c r="P125" i="2" s="1"/>
  <c r="Q125" i="2" s="1"/>
  <c r="S124" i="2"/>
  <c r="T124" i="2" s="1"/>
  <c r="U124" i="2" s="1"/>
  <c r="O124" i="2"/>
  <c r="P124" i="2" s="1"/>
  <c r="Q124" i="2" s="1"/>
  <c r="S123" i="2"/>
  <c r="T123" i="2" s="1"/>
  <c r="U123" i="2" s="1"/>
  <c r="O123" i="2"/>
  <c r="P123" i="2" s="1"/>
  <c r="Q123" i="2" s="1"/>
  <c r="S122" i="2"/>
  <c r="T122" i="2" s="1"/>
  <c r="U122" i="2" s="1"/>
  <c r="O122" i="2"/>
  <c r="P122" i="2" s="1"/>
  <c r="Q122" i="2" s="1"/>
  <c r="S121" i="2"/>
  <c r="T121" i="2" s="1"/>
  <c r="U121" i="2" s="1"/>
  <c r="O121" i="2"/>
  <c r="P121" i="2" s="1"/>
  <c r="Q121" i="2" s="1"/>
  <c r="S120" i="2"/>
  <c r="T120" i="2" s="1"/>
  <c r="U120" i="2" s="1"/>
  <c r="O120" i="2"/>
  <c r="P120" i="2" s="1"/>
  <c r="Q120" i="2" s="1"/>
  <c r="S119" i="2"/>
  <c r="T119" i="2" s="1"/>
  <c r="U119" i="2" s="1"/>
  <c r="O119" i="2"/>
  <c r="P119" i="2" s="1"/>
  <c r="Q119" i="2" s="1"/>
  <c r="P183" i="2" l="1"/>
  <c r="Q183" i="2" s="1"/>
  <c r="V183" i="2"/>
  <c r="P182" i="2"/>
  <c r="P181" i="2"/>
  <c r="P180" i="2"/>
  <c r="P179" i="2"/>
  <c r="P178" i="2"/>
  <c r="P177" i="2"/>
  <c r="Q177" i="2" s="1"/>
  <c r="V177" i="2" s="1"/>
  <c r="P176" i="2"/>
  <c r="Q176" i="2" s="1"/>
  <c r="V176" i="2" s="1"/>
  <c r="P175" i="2"/>
  <c r="Q175" i="2" s="1"/>
  <c r="V175" i="2" s="1"/>
  <c r="P174" i="2"/>
  <c r="Q174" i="2" s="1"/>
  <c r="V174" i="2" s="1"/>
  <c r="P173" i="2"/>
  <c r="Q173" i="2" s="1"/>
  <c r="V173" i="2" s="1"/>
  <c r="P172" i="2"/>
  <c r="Q172" i="2" s="1"/>
  <c r="V172" i="2" s="1"/>
  <c r="P171" i="2"/>
  <c r="Q171" i="2" s="1"/>
  <c r="V171" i="2" s="1"/>
  <c r="P170" i="2"/>
  <c r="Q170" i="2" s="1"/>
  <c r="V170" i="2" s="1"/>
  <c r="P169" i="2"/>
  <c r="Q169" i="2" s="1"/>
  <c r="V169" i="2" s="1"/>
  <c r="P168" i="2"/>
  <c r="Q168" i="2" s="1"/>
  <c r="V168" i="2" s="1"/>
  <c r="P167" i="2"/>
  <c r="Q167" i="2" s="1"/>
  <c r="V167" i="2" s="1"/>
  <c r="P166" i="2"/>
  <c r="Q166" i="2" s="1"/>
  <c r="V166" i="2" s="1"/>
  <c r="V164" i="2"/>
  <c r="V163" i="2"/>
  <c r="W163" i="2" s="1"/>
  <c r="V162" i="2"/>
  <c r="V161" i="2"/>
  <c r="V160" i="2"/>
  <c r="V159" i="2"/>
  <c r="V203" i="2"/>
  <c r="V158" i="2"/>
  <c r="V157" i="2"/>
  <c r="W157" i="2" s="1"/>
  <c r="V156" i="2"/>
  <c r="V155" i="2"/>
  <c r="V154" i="2"/>
  <c r="V153" i="2"/>
  <c r="V152" i="2"/>
  <c r="V151" i="2"/>
  <c r="W151" i="2" s="1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24" i="2"/>
  <c r="V132" i="2"/>
  <c r="V126" i="2"/>
  <c r="V128" i="2"/>
  <c r="V125" i="2"/>
  <c r="V129" i="2"/>
  <c r="V120" i="2"/>
  <c r="V121" i="2"/>
  <c r="V119" i="2"/>
  <c r="V127" i="2"/>
  <c r="V122" i="2"/>
  <c r="V130" i="2"/>
  <c r="V123" i="2"/>
  <c r="V131" i="2"/>
  <c r="W137" i="2" l="1"/>
  <c r="W133" i="2"/>
  <c r="X131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O108" i="2" l="1"/>
  <c r="P108" i="2" s="1"/>
  <c r="Q108" i="2" s="1"/>
  <c r="S108" i="2"/>
  <c r="T108" i="2" s="1"/>
  <c r="U108" i="2" s="1"/>
  <c r="O109" i="2"/>
  <c r="P109" i="2" s="1"/>
  <c r="Q109" i="2" s="1"/>
  <c r="S109" i="2"/>
  <c r="T109" i="2" s="1"/>
  <c r="U109" i="2" s="1"/>
  <c r="O110" i="2"/>
  <c r="P110" i="2" s="1"/>
  <c r="Q110" i="2" s="1"/>
  <c r="S110" i="2"/>
  <c r="T110" i="2" s="1"/>
  <c r="U110" i="2" s="1"/>
  <c r="O111" i="2"/>
  <c r="P111" i="2" s="1"/>
  <c r="Q111" i="2" s="1"/>
  <c r="S111" i="2"/>
  <c r="T111" i="2" s="1"/>
  <c r="U111" i="2" s="1"/>
  <c r="O112" i="2"/>
  <c r="P112" i="2" s="1"/>
  <c r="Q112" i="2" s="1"/>
  <c r="S112" i="2"/>
  <c r="T112" i="2" s="1"/>
  <c r="U112" i="2" s="1"/>
  <c r="O113" i="2"/>
  <c r="P113" i="2" s="1"/>
  <c r="Q113" i="2" s="1"/>
  <c r="S113" i="2"/>
  <c r="T113" i="2" s="1"/>
  <c r="U113" i="2" s="1"/>
  <c r="O114" i="2"/>
  <c r="P114" i="2" s="1"/>
  <c r="Q114" i="2" s="1"/>
  <c r="S114" i="2"/>
  <c r="T114" i="2" s="1"/>
  <c r="U114" i="2" s="1"/>
  <c r="O115" i="2"/>
  <c r="P115" i="2" s="1"/>
  <c r="Q115" i="2" s="1"/>
  <c r="S115" i="2"/>
  <c r="T115" i="2" s="1"/>
  <c r="U115" i="2" s="1"/>
  <c r="O116" i="2"/>
  <c r="P116" i="2" s="1"/>
  <c r="Q116" i="2" s="1"/>
  <c r="S116" i="2"/>
  <c r="T116" i="2" s="1"/>
  <c r="U116" i="2" s="1"/>
  <c r="O117" i="2"/>
  <c r="P117" i="2" s="1"/>
  <c r="Q117" i="2" s="1"/>
  <c r="S117" i="2"/>
  <c r="T117" i="2" s="1"/>
  <c r="U117" i="2" s="1"/>
  <c r="O118" i="2"/>
  <c r="P118" i="2" s="1"/>
  <c r="Q118" i="2" s="1"/>
  <c r="S118" i="2"/>
  <c r="T118" i="2" s="1"/>
  <c r="U118" i="2" s="1"/>
  <c r="V114" i="2" l="1"/>
  <c r="V115" i="2"/>
  <c r="V118" i="2"/>
  <c r="V117" i="2"/>
  <c r="X123" i="2" s="1"/>
  <c r="V116" i="2"/>
  <c r="V113" i="2"/>
  <c r="V111" i="2"/>
  <c r="V110" i="2"/>
  <c r="V112" i="2"/>
  <c r="V109" i="2"/>
  <c r="V108" i="2"/>
  <c r="O71" i="2"/>
  <c r="P71" i="2" s="1"/>
  <c r="Q71" i="2" s="1"/>
  <c r="S71" i="2"/>
  <c r="T71" i="2" s="1"/>
  <c r="U71" i="2" s="1"/>
  <c r="O72" i="2"/>
  <c r="P72" i="2" s="1"/>
  <c r="Q72" i="2" s="1"/>
  <c r="S72" i="2"/>
  <c r="T72" i="2" s="1"/>
  <c r="U72" i="2" s="1"/>
  <c r="O73" i="2"/>
  <c r="P73" i="2" s="1"/>
  <c r="Q73" i="2" s="1"/>
  <c r="S73" i="2"/>
  <c r="T73" i="2" s="1"/>
  <c r="U73" i="2" s="1"/>
  <c r="O74" i="2"/>
  <c r="P74" i="2" s="1"/>
  <c r="Q74" i="2" s="1"/>
  <c r="S74" i="2"/>
  <c r="T74" i="2" s="1"/>
  <c r="U74" i="2" s="1"/>
  <c r="O75" i="2"/>
  <c r="P75" i="2" s="1"/>
  <c r="Q75" i="2" s="1"/>
  <c r="S75" i="2"/>
  <c r="T75" i="2" s="1"/>
  <c r="U75" i="2" s="1"/>
  <c r="O76" i="2"/>
  <c r="P76" i="2" s="1"/>
  <c r="Q76" i="2" s="1"/>
  <c r="S76" i="2"/>
  <c r="T76" i="2" s="1"/>
  <c r="U76" i="2" s="1"/>
  <c r="O77" i="2"/>
  <c r="P77" i="2" s="1"/>
  <c r="Q77" i="2" s="1"/>
  <c r="S77" i="2"/>
  <c r="T77" i="2" s="1"/>
  <c r="U77" i="2" s="1"/>
  <c r="O78" i="2"/>
  <c r="P78" i="2" s="1"/>
  <c r="Q78" i="2" s="1"/>
  <c r="S78" i="2"/>
  <c r="T78" i="2" s="1"/>
  <c r="U78" i="2" s="1"/>
  <c r="O79" i="2"/>
  <c r="P79" i="2" s="1"/>
  <c r="Q79" i="2" s="1"/>
  <c r="S79" i="2"/>
  <c r="T79" i="2" s="1"/>
  <c r="U79" i="2" s="1"/>
  <c r="O80" i="2"/>
  <c r="P80" i="2" s="1"/>
  <c r="Q80" i="2" s="1"/>
  <c r="S80" i="2"/>
  <c r="T80" i="2" s="1"/>
  <c r="U80" i="2" s="1"/>
  <c r="O81" i="2"/>
  <c r="P81" i="2" s="1"/>
  <c r="Q81" i="2" s="1"/>
  <c r="S81" i="2"/>
  <c r="T81" i="2" s="1"/>
  <c r="U81" i="2" s="1"/>
  <c r="O82" i="2"/>
  <c r="P82" i="2" s="1"/>
  <c r="Q82" i="2" s="1"/>
  <c r="S82" i="2"/>
  <c r="T82" i="2" s="1"/>
  <c r="U82" i="2" s="1"/>
  <c r="O83" i="2"/>
  <c r="P83" i="2" s="1"/>
  <c r="Q83" i="2" s="1"/>
  <c r="S83" i="2"/>
  <c r="T83" i="2" s="1"/>
  <c r="U83" i="2" s="1"/>
  <c r="O84" i="2"/>
  <c r="P84" i="2" s="1"/>
  <c r="Q84" i="2" s="1"/>
  <c r="S84" i="2"/>
  <c r="T84" i="2" s="1"/>
  <c r="U84" i="2" s="1"/>
  <c r="O85" i="2"/>
  <c r="P85" i="2" s="1"/>
  <c r="Q85" i="2" s="1"/>
  <c r="S85" i="2"/>
  <c r="T85" i="2" s="1"/>
  <c r="U85" i="2" s="1"/>
  <c r="O86" i="2"/>
  <c r="P86" i="2" s="1"/>
  <c r="Q86" i="2" s="1"/>
  <c r="S86" i="2"/>
  <c r="T86" i="2" s="1"/>
  <c r="U86" i="2" s="1"/>
  <c r="O87" i="2"/>
  <c r="P87" i="2" s="1"/>
  <c r="Q87" i="2" s="1"/>
  <c r="S87" i="2"/>
  <c r="T87" i="2" s="1"/>
  <c r="U87" i="2" s="1"/>
  <c r="O88" i="2"/>
  <c r="P88" i="2" s="1"/>
  <c r="Q88" i="2" s="1"/>
  <c r="S88" i="2"/>
  <c r="T88" i="2" s="1"/>
  <c r="U88" i="2" s="1"/>
  <c r="O89" i="2"/>
  <c r="P89" i="2" s="1"/>
  <c r="Q89" i="2" s="1"/>
  <c r="S89" i="2"/>
  <c r="T89" i="2" s="1"/>
  <c r="U89" i="2" s="1"/>
  <c r="O90" i="2"/>
  <c r="P90" i="2" s="1"/>
  <c r="Q90" i="2" s="1"/>
  <c r="S90" i="2"/>
  <c r="T90" i="2" s="1"/>
  <c r="U90" i="2" s="1"/>
  <c r="O91" i="2"/>
  <c r="P91" i="2" s="1"/>
  <c r="Q91" i="2" s="1"/>
  <c r="S91" i="2"/>
  <c r="T91" i="2" s="1"/>
  <c r="U91" i="2" s="1"/>
  <c r="O92" i="2"/>
  <c r="P92" i="2" s="1"/>
  <c r="Q92" i="2" s="1"/>
  <c r="S92" i="2"/>
  <c r="T92" i="2" s="1"/>
  <c r="U92" i="2" s="1"/>
  <c r="O93" i="2"/>
  <c r="P93" i="2" s="1"/>
  <c r="Q93" i="2" s="1"/>
  <c r="S93" i="2"/>
  <c r="T93" i="2" s="1"/>
  <c r="U93" i="2" s="1"/>
  <c r="O94" i="2"/>
  <c r="P94" i="2" s="1"/>
  <c r="Q94" i="2" s="1"/>
  <c r="S94" i="2"/>
  <c r="T94" i="2" s="1"/>
  <c r="U94" i="2" s="1"/>
  <c r="O95" i="2"/>
  <c r="P95" i="2" s="1"/>
  <c r="Q95" i="2" s="1"/>
  <c r="S95" i="2"/>
  <c r="T95" i="2" s="1"/>
  <c r="U95" i="2" s="1"/>
  <c r="O96" i="2"/>
  <c r="P96" i="2" s="1"/>
  <c r="Q96" i="2" s="1"/>
  <c r="S96" i="2"/>
  <c r="T96" i="2" s="1"/>
  <c r="U96" i="2" s="1"/>
  <c r="O97" i="2"/>
  <c r="P97" i="2" s="1"/>
  <c r="Q97" i="2" s="1"/>
  <c r="S97" i="2"/>
  <c r="T97" i="2" s="1"/>
  <c r="U97" i="2" s="1"/>
  <c r="O98" i="2"/>
  <c r="P98" i="2" s="1"/>
  <c r="Q98" i="2" s="1"/>
  <c r="S98" i="2"/>
  <c r="T98" i="2" s="1"/>
  <c r="U98" i="2" s="1"/>
  <c r="O99" i="2"/>
  <c r="P99" i="2" s="1"/>
  <c r="Q99" i="2" s="1"/>
  <c r="S99" i="2"/>
  <c r="T99" i="2" s="1"/>
  <c r="U99" i="2" s="1"/>
  <c r="O100" i="2"/>
  <c r="P100" i="2" s="1"/>
  <c r="Q100" i="2" s="1"/>
  <c r="S100" i="2"/>
  <c r="T100" i="2" s="1"/>
  <c r="U100" i="2" s="1"/>
  <c r="O101" i="2"/>
  <c r="P101" i="2" s="1"/>
  <c r="Q101" i="2" s="1"/>
  <c r="S101" i="2"/>
  <c r="T101" i="2" s="1"/>
  <c r="U101" i="2" s="1"/>
  <c r="O102" i="2"/>
  <c r="P102" i="2" s="1"/>
  <c r="Q102" i="2" s="1"/>
  <c r="S102" i="2"/>
  <c r="T102" i="2" s="1"/>
  <c r="U102" i="2" s="1"/>
  <c r="O103" i="2"/>
  <c r="P103" i="2" s="1"/>
  <c r="Q103" i="2" s="1"/>
  <c r="S103" i="2"/>
  <c r="T103" i="2" s="1"/>
  <c r="U103" i="2" s="1"/>
  <c r="O104" i="2"/>
  <c r="P104" i="2" s="1"/>
  <c r="Q104" i="2" s="1"/>
  <c r="S104" i="2"/>
  <c r="T104" i="2" s="1"/>
  <c r="U104" i="2" s="1"/>
  <c r="O105" i="2"/>
  <c r="P105" i="2" s="1"/>
  <c r="Q105" i="2" s="1"/>
  <c r="S105" i="2"/>
  <c r="T105" i="2" s="1"/>
  <c r="U105" i="2" s="1"/>
  <c r="O106" i="2"/>
  <c r="P106" i="2" s="1"/>
  <c r="Q106" i="2" s="1"/>
  <c r="S106" i="2"/>
  <c r="T106" i="2" s="1"/>
  <c r="U106" i="2" s="1"/>
  <c r="O107" i="2"/>
  <c r="P107" i="2" s="1"/>
  <c r="Q107" i="2" s="1"/>
  <c r="S107" i="2"/>
  <c r="T107" i="2" s="1"/>
  <c r="U107" i="2" s="1"/>
  <c r="V93" i="2" l="1"/>
  <c r="V71" i="2"/>
  <c r="V94" i="2"/>
  <c r="V107" i="2"/>
  <c r="V106" i="2"/>
  <c r="V103" i="2"/>
  <c r="V101" i="2"/>
  <c r="V96" i="2"/>
  <c r="V95" i="2"/>
  <c r="V91" i="2"/>
  <c r="V89" i="2"/>
  <c r="V86" i="2"/>
  <c r="V84" i="2"/>
  <c r="V83" i="2"/>
  <c r="V82" i="2"/>
  <c r="V77" i="2"/>
  <c r="V76" i="2"/>
  <c r="V90" i="2"/>
  <c r="V79" i="2"/>
  <c r="V98" i="2"/>
  <c r="V100" i="2"/>
  <c r="V81" i="2"/>
  <c r="V78" i="2"/>
  <c r="V74" i="2"/>
  <c r="V85" i="2"/>
  <c r="V73" i="2"/>
  <c r="V80" i="2"/>
  <c r="V87" i="2"/>
  <c r="V97" i="2"/>
  <c r="V92" i="2"/>
  <c r="V104" i="2"/>
  <c r="V99" i="2"/>
  <c r="V75" i="2"/>
  <c r="V105" i="2"/>
  <c r="V72" i="2"/>
  <c r="V102" i="2"/>
  <c r="V88" i="2"/>
  <c r="S20" i="2"/>
  <c r="T20" i="2" s="1"/>
  <c r="U20" i="2" s="1"/>
  <c r="S21" i="2"/>
  <c r="T21" i="2" s="1"/>
  <c r="U21" i="2" s="1"/>
  <c r="S22" i="2"/>
  <c r="T22" i="2" s="1"/>
  <c r="U22" i="2" s="1"/>
  <c r="S23" i="2"/>
  <c r="T23" i="2" s="1"/>
  <c r="U23" i="2" s="1"/>
  <c r="S24" i="2"/>
  <c r="T24" i="2" s="1"/>
  <c r="U24" i="2" s="1"/>
  <c r="S25" i="2"/>
  <c r="T25" i="2" s="1"/>
  <c r="U25" i="2" s="1"/>
  <c r="S26" i="2"/>
  <c r="T26" i="2" s="1"/>
  <c r="U26" i="2" s="1"/>
  <c r="S27" i="2"/>
  <c r="T27" i="2" s="1"/>
  <c r="U27" i="2" s="1"/>
  <c r="S28" i="2"/>
  <c r="T28" i="2" s="1"/>
  <c r="U28" i="2" s="1"/>
  <c r="S29" i="2"/>
  <c r="T29" i="2" s="1"/>
  <c r="U29" i="2" s="1"/>
  <c r="S30" i="2"/>
  <c r="T30" i="2" s="1"/>
  <c r="U30" i="2" s="1"/>
  <c r="S31" i="2"/>
  <c r="T31" i="2" s="1"/>
  <c r="U31" i="2" s="1"/>
  <c r="S32" i="2"/>
  <c r="T32" i="2" s="1"/>
  <c r="U32" i="2" s="1"/>
  <c r="S33" i="2"/>
  <c r="T33" i="2" s="1"/>
  <c r="U33" i="2" s="1"/>
  <c r="S34" i="2"/>
  <c r="T34" i="2" s="1"/>
  <c r="U34" i="2" s="1"/>
  <c r="S35" i="2"/>
  <c r="T35" i="2" s="1"/>
  <c r="U35" i="2" s="1"/>
  <c r="S36" i="2"/>
  <c r="T36" i="2" s="1"/>
  <c r="U36" i="2" s="1"/>
  <c r="S37" i="2"/>
  <c r="T37" i="2" s="1"/>
  <c r="U37" i="2" s="1"/>
  <c r="S38" i="2"/>
  <c r="T38" i="2" s="1"/>
  <c r="U38" i="2" s="1"/>
  <c r="S39" i="2"/>
  <c r="T39" i="2" s="1"/>
  <c r="U39" i="2" s="1"/>
  <c r="S40" i="2"/>
  <c r="T40" i="2" s="1"/>
  <c r="U40" i="2" s="1"/>
  <c r="S41" i="2"/>
  <c r="T41" i="2" s="1"/>
  <c r="U41" i="2" s="1"/>
  <c r="S42" i="2"/>
  <c r="T42" i="2" s="1"/>
  <c r="U42" i="2" s="1"/>
  <c r="S43" i="2"/>
  <c r="T43" i="2" s="1"/>
  <c r="U43" i="2" s="1"/>
  <c r="S44" i="2"/>
  <c r="T44" i="2" s="1"/>
  <c r="U44" i="2" s="1"/>
  <c r="S45" i="2"/>
  <c r="T45" i="2" s="1"/>
  <c r="U45" i="2" s="1"/>
  <c r="S46" i="2"/>
  <c r="T46" i="2" s="1"/>
  <c r="U46" i="2" s="1"/>
  <c r="S47" i="2"/>
  <c r="T47" i="2" s="1"/>
  <c r="U47" i="2" s="1"/>
  <c r="S48" i="2"/>
  <c r="T48" i="2" s="1"/>
  <c r="U48" i="2" s="1"/>
  <c r="S49" i="2"/>
  <c r="T49" i="2" s="1"/>
  <c r="U49" i="2" s="1"/>
  <c r="S50" i="2"/>
  <c r="T50" i="2" s="1"/>
  <c r="U50" i="2" s="1"/>
  <c r="S51" i="2"/>
  <c r="T51" i="2" s="1"/>
  <c r="U51" i="2" s="1"/>
  <c r="S52" i="2"/>
  <c r="T52" i="2" s="1"/>
  <c r="U52" i="2" s="1"/>
  <c r="S53" i="2"/>
  <c r="T53" i="2" s="1"/>
  <c r="U53" i="2" s="1"/>
  <c r="S54" i="2"/>
  <c r="T54" i="2" s="1"/>
  <c r="U54" i="2" s="1"/>
  <c r="S55" i="2"/>
  <c r="T55" i="2" s="1"/>
  <c r="U55" i="2" s="1"/>
  <c r="S56" i="2"/>
  <c r="T56" i="2" s="1"/>
  <c r="U56" i="2" s="1"/>
  <c r="S57" i="2"/>
  <c r="T57" i="2" s="1"/>
  <c r="U57" i="2" s="1"/>
  <c r="S58" i="2"/>
  <c r="T58" i="2" s="1"/>
  <c r="U58" i="2" s="1"/>
  <c r="S59" i="2"/>
  <c r="T59" i="2" s="1"/>
  <c r="U59" i="2" s="1"/>
  <c r="S60" i="2"/>
  <c r="T60" i="2" s="1"/>
  <c r="U60" i="2" s="1"/>
  <c r="S61" i="2"/>
  <c r="T61" i="2" s="1"/>
  <c r="U61" i="2" s="1"/>
  <c r="S62" i="2"/>
  <c r="T62" i="2" s="1"/>
  <c r="U62" i="2" s="1"/>
  <c r="S63" i="2"/>
  <c r="T63" i="2" s="1"/>
  <c r="U63" i="2" s="1"/>
  <c r="S64" i="2"/>
  <c r="T64" i="2" s="1"/>
  <c r="U64" i="2" s="1"/>
  <c r="S65" i="2"/>
  <c r="T65" i="2" s="1"/>
  <c r="U65" i="2" s="1"/>
  <c r="S66" i="2"/>
  <c r="T66" i="2" s="1"/>
  <c r="U66" i="2" s="1"/>
  <c r="S67" i="2"/>
  <c r="T67" i="2" s="1"/>
  <c r="U67" i="2" s="1"/>
  <c r="S68" i="2"/>
  <c r="T68" i="2" s="1"/>
  <c r="U68" i="2" s="1"/>
  <c r="S69" i="2"/>
  <c r="T69" i="2" s="1"/>
  <c r="U69" i="2" s="1"/>
  <c r="S70" i="2"/>
  <c r="T70" i="2" s="1"/>
  <c r="U70" i="2" s="1"/>
  <c r="S19" i="2"/>
  <c r="T19" i="2" s="1"/>
  <c r="U19" i="2" s="1"/>
  <c r="O68" i="2"/>
  <c r="P68" i="2" s="1"/>
  <c r="Q68" i="2" s="1"/>
  <c r="O69" i="2"/>
  <c r="P69" i="2" s="1"/>
  <c r="Q69" i="2" s="1"/>
  <c r="O70" i="2"/>
  <c r="P70" i="2" s="1"/>
  <c r="Q70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P24" i="2" s="1"/>
  <c r="Q24" i="2" s="1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P30" i="2" s="1"/>
  <c r="Q30" i="2" s="1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P36" i="2" s="1"/>
  <c r="Q36" i="2" s="1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P42" i="2" s="1"/>
  <c r="Q42" i="2" s="1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P48" i="2" s="1"/>
  <c r="Q48" i="2" s="1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P54" i="2" s="1"/>
  <c r="Q54" i="2" s="1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P60" i="2" s="1"/>
  <c r="Q60" i="2" s="1"/>
  <c r="O61" i="2"/>
  <c r="P61" i="2" s="1"/>
  <c r="Q61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P66" i="2" s="1"/>
  <c r="Q66" i="2" s="1"/>
  <c r="O67" i="2"/>
  <c r="P67" i="2" s="1"/>
  <c r="Q67" i="2" s="1"/>
  <c r="O19" i="2"/>
  <c r="P19" i="2" s="1"/>
  <c r="Q19" i="2" s="1"/>
  <c r="X116" i="2" l="1"/>
  <c r="V19" i="2"/>
  <c r="X100" i="2"/>
  <c r="X105" i="2"/>
  <c r="V44" i="2"/>
  <c r="V32" i="2"/>
  <c r="V57" i="2"/>
  <c r="V49" i="2"/>
  <c r="V45" i="2"/>
  <c r="V33" i="2"/>
  <c r="V21" i="2"/>
  <c r="V62" i="2"/>
  <c r="V58" i="2"/>
  <c r="V50" i="2"/>
  <c r="V46" i="2"/>
  <c r="V38" i="2"/>
  <c r="V34" i="2"/>
  <c r="V26" i="2"/>
  <c r="V22" i="2"/>
  <c r="V53" i="2"/>
  <c r="V60" i="2"/>
  <c r="V48" i="2"/>
  <c r="V36" i="2"/>
  <c r="V24" i="2"/>
  <c r="V59" i="2"/>
  <c r="V47" i="2"/>
  <c r="V35" i="2"/>
  <c r="V23" i="2"/>
  <c r="V41" i="2"/>
  <c r="V37" i="2"/>
  <c r="V55" i="2"/>
  <c r="V43" i="2"/>
  <c r="V31" i="2"/>
  <c r="V66" i="2"/>
  <c r="V54" i="2"/>
  <c r="V42" i="2"/>
  <c r="V30" i="2"/>
  <c r="V65" i="2"/>
  <c r="V29" i="2"/>
  <c r="V61" i="2"/>
  <c r="V25" i="2"/>
  <c r="V67" i="2"/>
  <c r="V40" i="2"/>
  <c r="V28" i="2"/>
  <c r="V64" i="2"/>
  <c r="V52" i="2"/>
  <c r="V63" i="2"/>
  <c r="V51" i="2"/>
  <c r="V39" i="2"/>
  <c r="V27" i="2"/>
  <c r="V56" i="2"/>
  <c r="V20" i="2"/>
  <c r="V70" i="2"/>
  <c r="V69" i="2"/>
  <c r="V68" i="2"/>
</calcChain>
</file>

<file path=xl/sharedStrings.xml><?xml version="1.0" encoding="utf-8"?>
<sst xmlns="http://schemas.openxmlformats.org/spreadsheetml/2006/main" count="1815" uniqueCount="565">
  <si>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</si>
  <si>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</si>
  <si>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</si>
  <si>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</si>
  <si>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</si>
  <si>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</si>
  <si>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</si>
  <si>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</si>
  <si>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</si>
  <si>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</si>
  <si>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</si>
  <si>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</si>
  <si>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</si>
  <si>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</si>
  <si>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</si>
  <si>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</si>
  <si>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</si>
  <si>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</si>
  <si>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</si>
  <si>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</si>
  <si>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</si>
  <si>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OKZ667</t>
  </si>
  <si>
    <t>DUTER DINAMIQUE</t>
  </si>
  <si>
    <t>CAMIONETA</t>
  </si>
  <si>
    <t>RENAULT</t>
  </si>
  <si>
    <t>BLANCO ARTICA</t>
  </si>
  <si>
    <t>E412C011375</t>
  </si>
  <si>
    <t>9FBHSR5B6HM294196</t>
  </si>
  <si>
    <t>9FBHSR5B6HM294197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</si>
  <si>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</si>
  <si>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</si>
  <si>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</si>
  <si>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</si>
  <si>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</si>
  <si>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</si>
  <si>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</si>
  <si>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</si>
  <si>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</si>
  <si>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</si>
  <si>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</si>
  <si>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</si>
  <si>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</si>
  <si>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</si>
  <si>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</si>
  <si>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</si>
  <si>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</si>
  <si>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</si>
  <si>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</si>
  <si>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</si>
  <si>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</si>
  <si>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</si>
  <si>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</si>
  <si>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</si>
  <si>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</si>
  <si>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</si>
  <si>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</si>
  <si>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</si>
  <si>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</si>
  <si>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</si>
  <si>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</si>
  <si>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</si>
  <si>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</si>
  <si>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</si>
  <si>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FS7161</t>
  </si>
  <si>
    <t>PREVENTIVO</t>
  </si>
  <si>
    <t>LAVADO GENERAL</t>
  </si>
  <si>
    <t>FS7263</t>
  </si>
  <si>
    <t>PLUMILLA LIMPIABRISA DELANTERA</t>
  </si>
  <si>
    <t>PLUMILLA LIMPIABRISA TRASERA</t>
  </si>
  <si>
    <t>LAVADO EXTERIOR</t>
  </si>
  <si>
    <t>13/12/018</t>
  </si>
  <si>
    <t>FT 119936</t>
  </si>
  <si>
    <t>FT 120783</t>
  </si>
  <si>
    <t>FILTRO ACEITE</t>
  </si>
  <si>
    <t>FILTRO AIRE ACONDICIONADO</t>
  </si>
  <si>
    <t xml:space="preserve">FILTRO AIRE </t>
  </si>
  <si>
    <t>ACEITE MOTOR</t>
  </si>
  <si>
    <t>LIQUIDO REFRIGERANTE</t>
  </si>
  <si>
    <t>CORRECTIVO</t>
  </si>
  <si>
    <t>JUEGO DE SALPICADERAS</t>
  </si>
  <si>
    <t>TAPETES UNIVERSAL</t>
  </si>
  <si>
    <t>REMACHE POP</t>
  </si>
  <si>
    <t>TERMOSTATO</t>
  </si>
  <si>
    <t>CAMBIO DE ACEITE MOTOR</t>
  </si>
  <si>
    <t xml:space="preserve">CAMBIO FILTROS AIRE </t>
  </si>
  <si>
    <t>CAMBIO FILTRO AIRE ACONDICIONADO</t>
  </si>
  <si>
    <t>CAMBIO TERMOSTATO</t>
  </si>
  <si>
    <t>SERVICIO DE SCANER</t>
  </si>
  <si>
    <t>INSTALAR SALPICADERAS</t>
  </si>
  <si>
    <t>CAMBIO LIQUIDO REFRIGERANTE</t>
  </si>
  <si>
    <t>LAVAR DEPOSITO AUX. RADIADOR</t>
  </si>
  <si>
    <t>FT 120917</t>
  </si>
  <si>
    <t>LAVADO GENERAL Y MOTOR</t>
  </si>
  <si>
    <t>FT121167</t>
  </si>
  <si>
    <t>PARCHE RADIAL,DESPINCHE</t>
  </si>
  <si>
    <t>LAVADO GRAL Y MOTOR. GRAFITADA</t>
  </si>
  <si>
    <t>FT121175</t>
  </si>
  <si>
    <t>FT 121231</t>
  </si>
  <si>
    <t>TAPA RADIADOR</t>
  </si>
  <si>
    <t>EMPAQUES AIRE ACONDICIONADO</t>
  </si>
  <si>
    <t>GAS R134</t>
  </si>
  <si>
    <t>RODAMIENTOS A/A</t>
  </si>
  <si>
    <t>REPARACION CONDENSADOR A/A</t>
  </si>
  <si>
    <t>REV SISTEMA REFRIGERACION</t>
  </si>
  <si>
    <t>FT 121230</t>
  </si>
  <si>
    <t>FT 121290</t>
  </si>
  <si>
    <t>FILTRO AIRE</t>
  </si>
  <si>
    <t>ACEITE SINTETICO 10W40</t>
  </si>
  <si>
    <t>FT 121293</t>
  </si>
  <si>
    <t>BOMBILLO STOP</t>
  </si>
  <si>
    <t>TALLERES EL NORTE</t>
  </si>
  <si>
    <t>FT01 225</t>
  </si>
  <si>
    <t xml:space="preserve">ACEITE HIDRAULICO DIRECCION </t>
  </si>
  <si>
    <t>GRASA</t>
  </si>
  <si>
    <t xml:space="preserve">PREVENTIVO </t>
  </si>
  <si>
    <t>FILTRO A/A</t>
  </si>
  <si>
    <t>GAS R 134</t>
  </si>
  <si>
    <t xml:space="preserve">EMPAQUE PUERTA DELATERA </t>
  </si>
  <si>
    <t>JUEGO DE AMORTIGUDORES DELANTEROS</t>
  </si>
  <si>
    <t>ESPIRAL USPENCION DELANTERA</t>
  </si>
  <si>
    <t>BIELETA INFERIOR</t>
  </si>
  <si>
    <t>TIGERA INFERIOR IZQUIERDA</t>
  </si>
  <si>
    <t>EMPAQUETADURA BOMBA HIDRAULICA</t>
  </si>
  <si>
    <t>RODAMIENTOS BOMBA HIDRAULICA</t>
  </si>
  <si>
    <t>TENSOR CORREA MULTISERVICIOS</t>
  </si>
  <si>
    <t xml:space="preserve">CORREA A/A </t>
  </si>
  <si>
    <t>BASES AMORTI/RES DEL.</t>
  </si>
  <si>
    <t>JUEGO DE CALIPER DELANTERO</t>
  </si>
  <si>
    <t>RODAMIENTOS DELATEROS</t>
  </si>
  <si>
    <t>RETEN DELANTERO RUEDA</t>
  </si>
  <si>
    <t>CHAPA TRINQUETE PUERTA</t>
  </si>
  <si>
    <t>SOPORTE CABINA</t>
  </si>
  <si>
    <t>BOMBILLO UNIDAD DELANTERA</t>
  </si>
  <si>
    <t>D/M BOMBA HIDRAULICA</t>
  </si>
  <si>
    <t>D/M TIJERA</t>
  </si>
  <si>
    <t>CAMBIO TIJERA</t>
  </si>
  <si>
    <t>CAMBIO SOPORTE CAJA</t>
  </si>
  <si>
    <t xml:space="preserve">AJUSTE DE SUSPENSIÓN </t>
  </si>
  <si>
    <t>ALINEACION DEL. TRAS.</t>
  </si>
  <si>
    <t>BALANCEO</t>
  </si>
  <si>
    <t xml:space="preserve">ALINEACION LUCES </t>
  </si>
  <si>
    <t>FC01 12</t>
  </si>
  <si>
    <t>BOMBILLO EXPLORADORA</t>
  </si>
  <si>
    <t xml:space="preserve">DESMANCHADO EXTERIOR </t>
  </si>
  <si>
    <t xml:space="preserve">D/M AVISOS </t>
  </si>
  <si>
    <t>CAMBIO PARTES TAPISADO S.CONDUCTOR</t>
  </si>
  <si>
    <t>FC01 22</t>
  </si>
  <si>
    <t>FILTRO DE ACEITE</t>
  </si>
  <si>
    <t>FILTRO DE AIRE</t>
  </si>
  <si>
    <t>JUEGO DE PLUMILLAS</t>
  </si>
  <si>
    <t>LIQUIDO DE FRENOS</t>
  </si>
  <si>
    <t>KIT TENSOR CORREA ACE.</t>
  </si>
  <si>
    <t>REVISION GENERAL DE FRENOS</t>
  </si>
  <si>
    <t xml:space="preserve">ALINEACION </t>
  </si>
  <si>
    <t>REVISION Y RECARGA A/A</t>
  </si>
  <si>
    <t>FC01 165</t>
  </si>
  <si>
    <t>BUJE BARRA TRASERA</t>
  </si>
  <si>
    <t>BANCO DE PRUEBA TRASERA</t>
  </si>
  <si>
    <t>REPARACION LLANTA</t>
  </si>
  <si>
    <t>ARREGLO MODULO PUERTA TRASERA</t>
  </si>
  <si>
    <t>RECTIFICAR BARRA</t>
  </si>
  <si>
    <t>FC01 169</t>
  </si>
  <si>
    <t>LLANTA NUEVA POR UNIDAD</t>
  </si>
  <si>
    <t>PERNO RUEDA</t>
  </si>
  <si>
    <t>TUERCA PERNO RUEDA</t>
  </si>
  <si>
    <t>MONTAJE DE LLANTAS</t>
  </si>
  <si>
    <t>RECTIFICAR RINES</t>
  </si>
  <si>
    <t>CAMBIO PERNO RUEDA</t>
  </si>
  <si>
    <t>FC01 758</t>
  </si>
  <si>
    <t>BOBINA ENCENDIDO</t>
  </si>
  <si>
    <t>AUTOINVERCOL</t>
  </si>
  <si>
    <t>APV31375</t>
  </si>
  <si>
    <t>SOPORTE</t>
  </si>
  <si>
    <t>APV31423</t>
  </si>
  <si>
    <t>BOBINA DE ENCENDIDO</t>
  </si>
  <si>
    <t>ESCOBILLA ALTERNADOR</t>
  </si>
  <si>
    <t>AMORTIGUADOR DELANTERO</t>
  </si>
  <si>
    <t>RODAMIENTO CANASTILLA BASE AMORTIGUADOR</t>
  </si>
  <si>
    <t>BUJE TIJERA INFERIOR</t>
  </si>
  <si>
    <t>MUÑECO O TEMPLETE ESTABILIZADORA</t>
  </si>
  <si>
    <t>LLANTA</t>
  </si>
  <si>
    <t>BASE AORTIGUADOR DELANTERO</t>
  </si>
  <si>
    <t xml:space="preserve">SERVICIO REGULADOR ALTERNADOR </t>
  </si>
  <si>
    <t>REPARACION ALTERNADOR D/M</t>
  </si>
  <si>
    <t>SERVICIO BALINERA ALTERNADOR</t>
  </si>
  <si>
    <t>SERVICIO PENSA HIDRAULICA</t>
  </si>
  <si>
    <t>ALINEACION LLANTAS</t>
  </si>
  <si>
    <t>BALANCEO LLANTAS</t>
  </si>
  <si>
    <t>CAMBIO PLUMILLAS LIMPIA BRISAS, REVISIÓN CHAPA PUERTA BAUL, CAMBIO TAPIZADO Y ESPUMA SILLA CONDUCTOR</t>
  </si>
  <si>
    <t>APV 31644</t>
  </si>
  <si>
    <t>PLUMILLAS 0</t>
  </si>
  <si>
    <t>LIQUIDO DE FRENOS X PINTA 0</t>
  </si>
  <si>
    <t>CHAPA PUERTA BAUL 0</t>
  </si>
  <si>
    <t>CAMBIO TAPIZADO Y ESPUMA SILLA DE CONDUCTOR 0</t>
  </si>
  <si>
    <t>MANTENIMIENTO GENERAL DE FRENOS 0</t>
  </si>
  <si>
    <t>LIQUIDO DE FRENOS XPINTA 0</t>
  </si>
  <si>
    <t>CAMBIO DE ACEITE Y FILTROS (AIRE Y ACEITE)</t>
  </si>
  <si>
    <t>IUNION TEMPORALEL NORTE</t>
  </si>
  <si>
    <t>FVUN 181</t>
  </si>
  <si>
    <t xml:space="preserve">ACEITE MOTOR X CUARTO </t>
  </si>
  <si>
    <t xml:space="preserve">CAMBIO FILTROS </t>
  </si>
  <si>
    <t>DESPINCHE VEHICULO CONVENCIONAL CON PARCHE</t>
  </si>
  <si>
    <t xml:space="preserve">SERVICIO IONIZACIÓN HABITÁCULO </t>
  </si>
  <si>
    <t>UNION TEMPORAL EL NORTE</t>
  </si>
  <si>
    <t>FVUN 191</t>
  </si>
  <si>
    <t>FILTRO DE AIRE ACONDICIONADO</t>
  </si>
  <si>
    <t>DESODORIZACIÓN EVAPORADOR AIRE ACONDICIONADO</t>
  </si>
  <si>
    <t>SINCRONOZACIÓN MOTOR, REVISIÓN SUSPENCIÓN, DOS LLANTAS, CAMBIO DOS BOMBILLOS. PRESENTA FLUCTUACIÓN REVOLUCIONES, SUSPENCIÓN PRESENTA RUIDOS, LLANTAS LISAS, DOS BOMBILLOS FUNDIDIOS</t>
  </si>
  <si>
    <t>FVUN 198</t>
  </si>
  <si>
    <t>BOMBILLO HALÓGENO</t>
  </si>
  <si>
    <t xml:space="preserve">BOMBILLO UNIDAD </t>
  </si>
  <si>
    <t>JUNTA TAPA CARTER MOTOR</t>
  </si>
  <si>
    <t>AMORTIGUADOR DELANTERO 2</t>
  </si>
  <si>
    <t>BASE AMORTIGUADOR DELANTERO</t>
  </si>
  <si>
    <t>DEPOSITO RECUPERADOR DE AGUA</t>
  </si>
  <si>
    <t>LIQUIDO REFRIGERANTE X GALON (3785CC)</t>
  </si>
  <si>
    <t>BUJÍA MOTOR</t>
  </si>
  <si>
    <t>LIMPIADOR DE INYECTORES</t>
  </si>
  <si>
    <t>VALVULA PVC</t>
  </si>
  <si>
    <t>SILICONA ALTA TEMPERATURA</t>
  </si>
  <si>
    <t>FILTRO DE COMBUSTIBLE</t>
  </si>
  <si>
    <t>PUESTA A PUNTO</t>
  </si>
  <si>
    <t>MANTENIMIENTO DE INYECTORES</t>
  </si>
  <si>
    <t>CAMBIO AMORTIGUADORES</t>
  </si>
  <si>
    <t>LAVADO EXTERIOR CAMIONETA</t>
  </si>
  <si>
    <t>ALINEACIÓN</t>
  </si>
  <si>
    <t>Nota: Si este documento se encuentra impreso se considera Copia no Controlada. La versión vigente está publicada en la intranet de la Personería de Bogotá, D. C.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</si>
  <si>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</si>
  <si>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</si>
  <si>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</si>
  <si>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</si>
  <si>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</si>
  <si>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</si>
  <si>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>ACEITE MOTOR AC DELCO SELE 20W50</t>
  </si>
  <si>
    <t>ACEITE SINTETICO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</si>
  <si>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</si>
  <si>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</si>
  <si>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</si>
  <si>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</si>
  <si>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</si>
  <si>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</si>
  <si>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</si>
  <si>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>AJUSTE GENERAL DE SUSPENSIÓN</t>
  </si>
  <si>
    <t>AJUSTE Y ENGRASE RODAMIENTOS</t>
  </si>
  <si>
    <t>ALARMA</t>
  </si>
  <si>
    <t>ALARMA VEHICULO 2 CONTROLES</t>
  </si>
  <si>
    <t>ALARMA Y DOS CONTROLES</t>
  </si>
  <si>
    <t>ALINEACION DE DIRECCION</t>
  </si>
  <si>
    <t>ALINEACION DELANTERA Y TRASERA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</si>
  <si>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</si>
  <si>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</si>
  <si>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</si>
  <si>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</si>
  <si>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</si>
  <si>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</si>
  <si>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</si>
  <si>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TAPIZADO GENERAL</t>
  </si>
  <si>
    <t>ARREGLO Y MANTENIMIENTO ESCAPE</t>
  </si>
  <si>
    <t>AUTOMATICO ARRANQUE</t>
  </si>
  <si>
    <t>BANCO DE PRUEBA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</si>
  <si>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</si>
  <si>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</si>
  <si>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</si>
  <si>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</si>
  <si>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</si>
  <si>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BLOQUEO PUERTAS</t>
  </si>
  <si>
    <t>BOBINA</t>
  </si>
  <si>
    <t xml:space="preserve">BOMBA DE AGUA </t>
  </si>
  <si>
    <t>BOMBILLO</t>
  </si>
  <si>
    <t>BOMBILLO 12 V 158 K5 3 W</t>
  </si>
  <si>
    <t>BOMBILLO 12 V 159 K5 1.2 W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</si>
  <si>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</si>
  <si>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</si>
  <si>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</si>
  <si>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</si>
  <si>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</si>
  <si>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BORNE BATERIA TIPO PESADO</t>
  </si>
  <si>
    <t>BORNE CARRETERA LIVIANO</t>
  </si>
  <si>
    <t>BRAZO AXIAL</t>
  </si>
  <si>
    <t>BUJE BANDEJA SUSPENSION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</si>
  <si>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</si>
  <si>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</si>
  <si>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</si>
  <si>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</si>
  <si>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</si>
  <si>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</si>
  <si>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</si>
  <si>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</si>
  <si>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</si>
  <si>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</si>
  <si>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</si>
  <si>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</si>
  <si>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</si>
  <si>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</si>
  <si>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</si>
  <si>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</si>
  <si>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</si>
  <si>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</si>
  <si>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</si>
  <si>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</si>
  <si>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</si>
  <si>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</si>
  <si>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</si>
  <si>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</si>
  <si>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</si>
  <si>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</si>
  <si>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</si>
  <si>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</si>
  <si>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</si>
  <si>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</si>
  <si>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</si>
  <si>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</si>
  <si>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</si>
  <si>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 (ANTIPOLEN)</t>
  </si>
  <si>
    <t>CAMBIO FILTROS ACEITE Y AIRE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</si>
  <si>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</si>
  <si>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</si>
  <si>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</si>
  <si>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</si>
  <si>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</si>
  <si>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</si>
  <si>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</si>
  <si>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MANGUERAS</t>
  </si>
  <si>
    <t>CAMBIO MUÑECOS</t>
  </si>
  <si>
    <t>CAMBIO MUÑECOS ESTABILIZADORA DELANT</t>
  </si>
  <si>
    <t>CAMBIO O INSTALACION ALARMA</t>
  </si>
  <si>
    <t>CAMBIO PASADOR GUIAS</t>
  </si>
  <si>
    <t>CAMBIO PASTILLAS</t>
  </si>
  <si>
    <t>CAMBIO PASTILLAS DELANTERAS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</si>
  <si>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</si>
  <si>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</si>
  <si>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</si>
  <si>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</si>
  <si>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</si>
  <si>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</si>
  <si>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</si>
  <si>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</si>
  <si>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</si>
  <si>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</si>
  <si>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</si>
  <si>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</si>
  <si>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</si>
  <si>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</si>
  <si>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</si>
  <si>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</si>
  <si>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</si>
  <si>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CILINDRO FRENO</t>
  </si>
  <si>
    <t>CINTA AISLANTE</t>
  </si>
  <si>
    <t>CORONA ALTERNADOR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</si>
  <si>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</si>
  <si>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</si>
  <si>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</si>
  <si>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</si>
  <si>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</si>
  <si>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</si>
  <si>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</si>
  <si>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</si>
  <si>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</si>
  <si>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</si>
  <si>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</si>
  <si>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</si>
  <si>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</si>
  <si>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</si>
  <si>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</si>
  <si>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</si>
  <si>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</si>
  <si>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</si>
  <si>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</si>
  <si>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UNIDAD DELANTERA PARA BRILLAR</t>
  </si>
  <si>
    <t>DEPOSITO HIDRAULICO</t>
  </si>
  <si>
    <t>DEPOSITO REFRIGERANTE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</si>
  <si>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</si>
  <si>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</si>
  <si>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</si>
  <si>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</si>
  <si>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</si>
  <si>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</si>
  <si>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</si>
  <si>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TAPA VALVULAS </t>
  </si>
  <si>
    <t>EMPAQUETADURA CAJA DIRECCION</t>
  </si>
  <si>
    <t>ENGRASE RODAMIENTOS</t>
  </si>
  <si>
    <t xml:space="preserve">EQUIPO A/A INSTALADO Y CARGADO </t>
  </si>
  <si>
    <t>ESCOBILLAS ALTERNADOR</t>
  </si>
  <si>
    <t>ESCOBILLAS ARRANQUE</t>
  </si>
  <si>
    <t>ESPARRAGO</t>
  </si>
  <si>
    <t>ESPIRAL SUSPENCION DELANTERA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</si>
  <si>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</si>
  <si>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</si>
  <si>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</si>
  <si>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</si>
  <si>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</si>
  <si>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</si>
  <si>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</si>
  <si>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</si>
  <si>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</si>
  <si>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</si>
  <si>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</si>
  <si>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</si>
  <si>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</si>
  <si>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</si>
  <si>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</si>
  <si>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</si>
  <si>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</si>
  <si>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</si>
  <si>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</si>
  <si>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</si>
  <si>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FORROS EN PANA</t>
  </si>
  <si>
    <t>JUEGO DE PINES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</si>
  <si>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</si>
  <si>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</si>
  <si>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</si>
  <si>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</si>
  <si>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</si>
  <si>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</si>
  <si>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</si>
  <si>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</si>
  <si>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</si>
  <si>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</si>
  <si>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</si>
  <si>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LAVADO GENERAL Y DESMANCHADO</t>
  </si>
  <si>
    <t>LAVADO MOTOR</t>
  </si>
  <si>
    <t>LAVADO TAPICERIA SILLA CONDUCTOR Y COPILOTO</t>
  </si>
  <si>
    <t>LAVADO TAPIZADO CAMBIO DE PARTES TAPIZADO</t>
  </si>
  <si>
    <t>LAVADOR DE INYECTORES</t>
  </si>
  <si>
    <t>LIMPIADOR DE CONTACTOS</t>
  </si>
  <si>
    <t>LIMPIADOR DE FRENOS 400 M</t>
  </si>
  <si>
    <t>LIMPIADOR PARA CUERPO DE ACELERACION</t>
  </si>
  <si>
    <t>LIMPIEZA Y BRILLADO UNIDAD DELANTERA</t>
  </si>
  <si>
    <t>LIQUIDO REFRIGERANTE NALC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</si>
  <si>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</si>
  <si>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</si>
  <si>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</si>
  <si>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</si>
  <si>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</si>
  <si>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</si>
  <si>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</si>
  <si>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</si>
  <si>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</si>
  <si>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</si>
  <si>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</si>
  <si>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</si>
  <si>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</si>
  <si>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</si>
  <si>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</si>
  <si>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</si>
  <si>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</si>
  <si>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</si>
  <si>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</si>
  <si>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</si>
  <si>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</si>
  <si>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</si>
  <si>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</si>
  <si>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</si>
  <si>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</si>
  <si>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</si>
  <si>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PILAS CR 2016 CONTROL</t>
  </si>
  <si>
    <t>PISTOLA BLOQUEO CENTRAL</t>
  </si>
  <si>
    <t>PITO 12 V.</t>
  </si>
  <si>
    <t>PÍTO TONO ALTO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</si>
  <si>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</si>
  <si>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</si>
  <si>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</si>
  <si>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</si>
  <si>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</si>
  <si>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</si>
  <si>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</si>
  <si>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</si>
  <si>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</si>
  <si>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</si>
  <si>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</si>
  <si>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</si>
  <si>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 xml:space="preserve">RECTIFICAR DISCOS </t>
  </si>
  <si>
    <t>REGULADOR ALTERNADOR</t>
  </si>
  <si>
    <t>REGULADOR VOLTAJE</t>
  </si>
  <si>
    <t>REJILLA VENTILACION</t>
  </si>
  <si>
    <t>REP. ALTERNADOR (cambio de regulador, escobillas, diodos, corona, rotor, rodamiento)</t>
  </si>
  <si>
    <t>REPARACION ARRANQUE</t>
  </si>
  <si>
    <t>REPARACION CAJA DIRECCION</t>
  </si>
  <si>
    <t>REPARACION MOTOR DE ARRANQUE (cambio de inducido, bu)</t>
  </si>
  <si>
    <t>REPARACION Y  AJUSTE CAJA DIRECCION, INCLUYE D/M</t>
  </si>
  <si>
    <t>RETEN CIGÜEÑAL Y CAMBIO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</si>
  <si>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</si>
  <si>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</si>
  <si>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</si>
  <si>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</si>
  <si>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</si>
  <si>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</si>
  <si>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</si>
  <si>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</si>
  <si>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</si>
  <si>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</si>
  <si>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</si>
  <si>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</si>
  <si>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</si>
  <si>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</si>
  <si>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</si>
  <si>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</si>
  <si>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</si>
  <si>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</si>
  <si>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</si>
  <si>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</si>
  <si>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</si>
  <si>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</si>
  <si>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</si>
  <si>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</si>
  <si>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</si>
  <si>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</si>
  <si>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</si>
  <si>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</si>
  <si>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</si>
  <si>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</si>
  <si>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 xml:space="preserve">RODAMIENTOS ALTERNADOR </t>
  </si>
  <si>
    <t>RODAMIENTOS ARRANQUE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</si>
  <si>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</si>
  <si>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</si>
  <si>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</si>
  <si>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</si>
  <si>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</si>
  <si>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</si>
  <si>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</si>
  <si>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</si>
  <si>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</si>
  <si>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</si>
  <si>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</si>
  <si>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</si>
  <si>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</si>
  <si>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</si>
  <si>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</si>
  <si>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</si>
  <si>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</si>
  <si>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</si>
  <si>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</si>
  <si>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</si>
  <si>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</si>
  <si>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</si>
  <si>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</si>
  <si>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TAPON CULATA EJE DE LEVAS TRASERO</t>
  </si>
  <si>
    <t>TEMPLETE TRASERO DERECHO</t>
  </si>
  <si>
    <t>TENSOR ALTERNADOR</t>
  </si>
  <si>
    <t>TERCER STOP</t>
  </si>
  <si>
    <t>TERMINAL DE DIRECCION</t>
  </si>
  <si>
    <t>TERMINAL ENCHUFE HEMBRA CON PIN</t>
  </si>
  <si>
    <t>TERMINALES BARRA ESTABILIZADORA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</si>
  <si>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</si>
  <si>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</si>
  <si>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</si>
  <si>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</si>
  <si>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</si>
  <si>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</si>
  <si>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</si>
  <si>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</si>
  <si>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</si>
  <si>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</si>
  <si>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</si>
  <si>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</si>
  <si>
    <t>CREMALLERA PUERTA IZQ</t>
  </si>
  <si>
    <t>CAMBIO CREMALLERA</t>
  </si>
  <si>
    <t>SOPORTE CAJA IZQ</t>
  </si>
  <si>
    <t>MODULO TANQUE MEDIDOR COMBUSTIBLE</t>
  </si>
  <si>
    <t>TEMPLETE SUPERIOR CARROCERIA</t>
  </si>
  <si>
    <t>GUIA CARROCERIA DEL</t>
  </si>
  <si>
    <t>CAMBIO PORTAMANGUETA</t>
  </si>
  <si>
    <t>ARREGLO MOTOVENTILADOR</t>
  </si>
  <si>
    <t>CAMBIO DE ACEITE</t>
  </si>
  <si>
    <t>CAMBIO DE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</si>
</sst>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dd/mm/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9"/>
      <color theme="0" tint="-0.249977111117893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Bahnschrift"/>
      <family val="2"/>
    </font>
    <font>
      <sz val="18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 val="double"/>
      <sz val="11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15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6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164" fontId="10" fillId="0" borderId="1" xfId="1" applyFont="1" applyFill="1" applyBorder="1" applyAlignment="1">
      <alignment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1" fillId="3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5" borderId="0" xfId="0" applyFont="1" applyFill="1"/>
    <xf numFmtId="0" fontId="5" fillId="5" borderId="1" xfId="0" applyFont="1" applyFill="1" applyBorder="1"/>
    <xf numFmtId="0" fontId="13" fillId="5" borderId="1" xfId="0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/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164" fontId="10" fillId="5" borderId="1" xfId="0" applyNumberFormat="1" applyFont="1" applyFill="1" applyBorder="1" applyAlignment="1">
      <alignment horizontal="center" vertical="center"/>
    </xf>
    <xf numFmtId="164" fontId="10" fillId="5" borderId="1" xfId="1" applyFont="1" applyFill="1" applyBorder="1" applyAlignment="1">
      <alignment horizontal="center" vertical="center"/>
    </xf>
    <xf numFmtId="164" fontId="10" fillId="5" borderId="1" xfId="1" applyFont="1" applyFill="1" applyBorder="1" applyAlignment="1">
      <alignment vertical="center"/>
    </xf>
    <xf numFmtId="0" fontId="0" fillId="5" borderId="0" xfId="0" applyFill="1"/>
    <xf numFmtId="0" fontId="17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4" fontId="19" fillId="0" borderId="1" xfId="0" applyNumberFormat="1" applyFont="1" applyBorder="1"/>
    <xf numFmtId="0" fontId="19" fillId="0" borderId="1" xfId="0" applyFont="1" applyBorder="1" applyAlignment="1">
      <alignment wrapText="1"/>
    </xf>
    <xf numFmtId="0" fontId="19" fillId="0" borderId="1" xfId="0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 vertical="center"/>
    </xf>
    <xf numFmtId="164" fontId="19" fillId="0" borderId="1" xfId="1" applyFont="1" applyFill="1" applyBorder="1" applyAlignment="1">
      <alignment horizontal="center" vertical="center"/>
    </xf>
    <xf numFmtId="164" fontId="19" fillId="0" borderId="1" xfId="1" applyFont="1" applyFill="1" applyBorder="1" applyAlignment="1">
      <alignment vertical="center"/>
    </xf>
    <xf numFmtId="3" fontId="18" fillId="5" borderId="1" xfId="0" applyNumberFormat="1" applyFont="1" applyFill="1" applyBorder="1" applyAlignment="1">
      <alignment horizontal="center"/>
    </xf>
    <xf numFmtId="14" fontId="19" fillId="5" borderId="1" xfId="0" applyNumberFormat="1" applyFont="1" applyFill="1" applyBorder="1"/>
    <xf numFmtId="0" fontId="19" fillId="5" borderId="1" xfId="0" applyFont="1" applyFill="1" applyBorder="1" applyAlignment="1">
      <alignment wrapText="1"/>
    </xf>
    <xf numFmtId="0" fontId="19" fillId="5" borderId="1" xfId="0" applyFont="1" applyFill="1" applyBorder="1" applyAlignment="1">
      <alignment horizontal="center" wrapText="1"/>
    </xf>
    <xf numFmtId="164" fontId="19" fillId="5" borderId="1" xfId="0" applyNumberFormat="1" applyFont="1" applyFill="1" applyBorder="1" applyAlignment="1">
      <alignment horizontal="center" vertical="center"/>
    </xf>
    <xf numFmtId="164" fontId="19" fillId="5" borderId="1" xfId="1" applyFont="1" applyFill="1" applyBorder="1" applyAlignment="1">
      <alignment horizontal="center" vertical="center"/>
    </xf>
    <xf numFmtId="164" fontId="19" fillId="5" borderId="1" xfId="1" applyFont="1" applyFill="1" applyBorder="1" applyAlignment="1">
      <alignment vertical="center"/>
    </xf>
    <xf numFmtId="0" fontId="19" fillId="0" borderId="1" xfId="0" applyFont="1" applyBorder="1" applyAlignment="1">
      <alignment horizontal="left"/>
    </xf>
    <xf numFmtId="0" fontId="5" fillId="6" borderId="0" xfId="0" applyFont="1" applyFill="1"/>
    <xf numFmtId="0" fontId="19" fillId="7" borderId="1" xfId="0" applyFont="1" applyFill="1" applyBorder="1" applyAlignment="1">
      <alignment horizontal="left" wrapText="1"/>
    </xf>
    <xf numFmtId="164" fontId="0" fillId="0" borderId="0" xfId="0" applyNumberFormat="1"/>
    <xf numFmtId="0" fontId="19" fillId="7" borderId="1" xfId="0" applyFont="1" applyFill="1" applyBorder="1" applyAlignment="1">
      <alignment vertical="top" wrapText="1"/>
    </xf>
    <xf numFmtId="14" fontId="10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horizontal="left" wrapText="1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3" fontId="21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/>
    <xf numFmtId="0" fontId="9" fillId="5" borderId="1" xfId="0" applyFont="1" applyFill="1" applyBorder="1"/>
    <xf numFmtId="0" fontId="18" fillId="5" borderId="1" xfId="0" applyFont="1" applyFill="1" applyBorder="1"/>
    <xf numFmtId="0" fontId="18" fillId="0" borderId="1" xfId="0" applyFont="1" applyBorder="1"/>
    <xf numFmtId="0" fontId="21" fillId="0" borderId="0" xfId="0" applyFont="1"/>
    <xf numFmtId="0" fontId="8" fillId="0" borderId="1" xfId="0" applyFont="1" applyBorder="1" applyAlignment="1" applyProtection="1">
      <alignment horizontal="center" wrapText="1"/>
      <protection locked="0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7" fillId="5" borderId="0" xfId="0" applyFont="1" applyFill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18" fillId="0" borderId="7" xfId="0" applyNumberFormat="1" applyFont="1" applyBorder="1" applyAlignment="1">
      <alignment horizontal="center"/>
    </xf>
    <xf numFmtId="14" fontId="19" fillId="0" borderId="7" xfId="0" applyNumberFormat="1" applyFont="1" applyBorder="1" applyAlignment="1">
      <alignment horizontal="center"/>
    </xf>
    <xf numFmtId="14" fontId="19" fillId="0" borderId="7" xfId="0" applyNumberFormat="1" applyFont="1" applyBorder="1"/>
    <xf numFmtId="0" fontId="18" fillId="0" borderId="7" xfId="0" applyFont="1" applyBorder="1"/>
    <xf numFmtId="0" fontId="19" fillId="5" borderId="7" xfId="0" applyFont="1" applyFill="1" applyBorder="1" applyAlignment="1">
      <alignment vertical="center" wrapText="1"/>
    </xf>
    <xf numFmtId="0" fontId="19" fillId="0" borderId="7" xfId="0" applyFont="1" applyBorder="1" applyAlignment="1">
      <alignment horizontal="center" wrapText="1"/>
    </xf>
    <xf numFmtId="164" fontId="19" fillId="0" borderId="7" xfId="0" applyNumberFormat="1" applyFont="1" applyBorder="1" applyAlignment="1">
      <alignment horizontal="center" vertical="center"/>
    </xf>
    <xf numFmtId="164" fontId="19" fillId="0" borderId="7" xfId="1" applyFont="1" applyFill="1" applyBorder="1" applyAlignment="1">
      <alignment horizontal="center" vertical="center"/>
    </xf>
    <xf numFmtId="164" fontId="19" fillId="0" borderId="7" xfId="1" applyFont="1" applyFill="1" applyBorder="1" applyAlignment="1">
      <alignment vertical="center"/>
    </xf>
    <xf numFmtId="0" fontId="19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164" fontId="19" fillId="0" borderId="9" xfId="0" applyNumberFormat="1" applyFont="1" applyBorder="1" applyAlignment="1">
      <alignment horizontal="center" vertical="center"/>
    </xf>
    <xf numFmtId="164" fontId="19" fillId="0" borderId="9" xfId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164" fontId="19" fillId="0" borderId="14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8" fillId="0" borderId="3" xfId="0" applyFont="1" applyBorder="1"/>
    <xf numFmtId="0" fontId="5" fillId="0" borderId="8" xfId="0" applyFont="1" applyBorder="1"/>
    <xf numFmtId="3" fontId="18" fillId="0" borderId="8" xfId="0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14" fontId="19" fillId="0" borderId="8" xfId="0" applyNumberFormat="1" applyFont="1" applyBorder="1"/>
    <xf numFmtId="0" fontId="5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2" fillId="0" borderId="9" xfId="2" applyBorder="1" applyAlignment="1">
      <alignment horizontal="center" vertical="center"/>
    </xf>
    <xf numFmtId="14" fontId="19" fillId="0" borderId="9" xfId="0" applyNumberFormat="1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2" fillId="0" borderId="9" xfId="2" applyBorder="1" applyAlignment="1">
      <alignment horizontal="center"/>
    </xf>
    <xf numFmtId="0" fontId="22" fillId="0" borderId="13" xfId="2" applyBorder="1" applyAlignment="1">
      <alignment horizont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3" fontId="18" fillId="0" borderId="7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4" fontId="19" fillId="0" borderId="9" xfId="0" applyNumberFormat="1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164" fontId="19" fillId="0" borderId="13" xfId="0" applyNumberFormat="1" applyFont="1" applyBorder="1" applyAlignment="1">
      <alignment horizontal="center" vertical="center"/>
    </xf>
    <xf numFmtId="0" fontId="23" fillId="0" borderId="13" xfId="2" applyFont="1" applyBorder="1" applyAlignment="1">
      <alignment horizontal="center" vertical="center"/>
    </xf>
    <xf numFmtId="0" fontId="22" fillId="0" borderId="13" xfId="2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g/personal/sgdrecfisicos_personeriabogota_gov_co/ESPQb8vTrx9Dj9dlRbY_J7IBMK_N8ga_sFu48DP7Y_TdUw?e=y0Y98P" TargetMode="External"/><Relationship Id="rId2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OKZ667%5F132467%5FMANT%5FFACT%5F31375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AUT%5FOKZ667%5F134249%5FFACT%5FAPV31423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7_140790_FACT_FVUN198.pdf?csf=1&amp;web=1&amp;e=k8xFxW" TargetMode="External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7_140487_FACT_FVUN191.pdf?csf=1&amp;web=1&amp;e=7a8l4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1119"/>
  <sheetViews>
    <sheetView tabSelected="1" topLeftCell="A151" zoomScale="80" zoomScaleNormal="80" workbookViewId="0">
      <selection activeCell="H163" sqref="H163:H164"/>
    </sheetView>
  </sheetViews>
  <sheetFormatPr defaultColWidth="0" defaultRowHeight="15"/>
  <cols>
    <col min="1" max="2" width="1.85546875" customWidth="1"/>
    <col min="3" max="3" width="20.140625" customWidth="1"/>
    <col min="4" max="4" width="16.5703125" customWidth="1"/>
    <col min="5" max="5" width="13.85546875" customWidth="1"/>
    <col min="6" max="6" width="12.42578125" customWidth="1"/>
    <col min="7" max="7" width="16" customWidth="1"/>
    <col min="8" max="8" width="14.7109375" style="80" customWidth="1"/>
    <col min="9" max="9" width="11.140625" customWidth="1"/>
    <col min="10" max="10" width="10.42578125" customWidth="1"/>
    <col min="11" max="11" width="13.140625" style="87" customWidth="1"/>
    <col min="12" max="12" width="45.85546875" style="42" customWidth="1"/>
    <col min="13" max="13" width="10.42578125" style="93" customWidth="1"/>
    <col min="14" max="14" width="13.85546875" bestFit="1" customWidth="1"/>
    <col min="15" max="15" width="15.140625" customWidth="1"/>
    <col min="16" max="16" width="14.42578125" customWidth="1"/>
    <col min="17" max="17" width="15.7109375" customWidth="1"/>
    <col min="18" max="18" width="14.140625" customWidth="1"/>
    <col min="19" max="19" width="14.28515625" customWidth="1"/>
    <col min="20" max="20" width="13.42578125" customWidth="1"/>
    <col min="21" max="21" width="15.7109375" customWidth="1"/>
    <col min="22" max="23" width="14.140625" customWidth="1"/>
    <col min="24" max="24" width="14.28515625" customWidth="1"/>
    <col min="25" max="25" width="3.42578125" customWidth="1"/>
    <col min="251" max="251" width="1.85546875" hidden="1"/>
    <col min="252" max="252" width="8" hidden="1"/>
    <col min="253" max="253" width="9.5703125" hidden="1"/>
    <col min="254" max="255" width="8" hidden="1"/>
    <col min="256" max="258" width="1.85546875" hidden="1"/>
    <col min="259" max="259" width="13.42578125" hidden="1"/>
    <col min="260" max="260" width="16.85546875" hidden="1"/>
    <col min="261" max="261" width="9.7109375" hidden="1"/>
    <col min="262" max="262" width="9.85546875" hidden="1"/>
    <col min="263" max="263" width="7.7109375" hidden="1"/>
    <col min="264" max="264" width="12.85546875" hidden="1"/>
    <col min="265" max="265" width="13.85546875" hidden="1"/>
    <col min="266" max="266" width="9.85546875" hidden="1"/>
    <col min="267" max="267" width="14.7109375" hidden="1"/>
    <col min="268" max="268" width="16.42578125" hidden="1"/>
    <col min="269" max="271" width="13.85546875" hidden="1"/>
    <col min="272" max="272" width="12.85546875" hidden="1"/>
    <col min="273" max="273" width="14.140625" hidden="1"/>
    <col min="274" max="274" width="12.28515625" hidden="1"/>
    <col min="275" max="276" width="14.42578125" hidden="1"/>
    <col min="277" max="277" width="12.85546875" hidden="1"/>
    <col min="278" max="278" width="12.28515625" hidden="1"/>
    <col min="279" max="279" width="16.7109375" hidden="1"/>
    <col min="507" max="507" width="1.85546875" hidden="1"/>
    <col min="508" max="508" width="8" hidden="1"/>
    <col min="509" max="509" width="9.5703125" hidden="1"/>
    <col min="510" max="511" width="8" hidden="1"/>
    <col min="512" max="514" width="1.85546875" hidden="1"/>
    <col min="515" max="515" width="13.42578125" hidden="1"/>
    <col min="516" max="516" width="16.85546875" hidden="1"/>
    <col min="517" max="517" width="9.7109375" hidden="1"/>
    <col min="518" max="518" width="9.85546875" hidden="1"/>
    <col min="519" max="519" width="7.7109375" hidden="1"/>
    <col min="520" max="520" width="12.85546875" hidden="1"/>
    <col min="521" max="521" width="13.85546875" hidden="1"/>
    <col min="522" max="522" width="9.85546875" hidden="1"/>
    <col min="523" max="523" width="14.7109375" hidden="1"/>
    <col min="524" max="524" width="16.42578125" hidden="1"/>
    <col min="525" max="527" width="13.85546875" hidden="1"/>
    <col min="528" max="528" width="12.85546875" hidden="1"/>
    <col min="529" max="529" width="14.140625" hidden="1"/>
    <col min="530" max="530" width="12.28515625" hidden="1"/>
    <col min="531" max="532" width="14.42578125" hidden="1"/>
    <col min="533" max="533" width="12.85546875" hidden="1"/>
    <col min="534" max="534" width="12.28515625" hidden="1"/>
    <col min="535" max="535" width="16.7109375" hidden="1"/>
    <col min="763" max="763" width="1.85546875" hidden="1"/>
    <col min="764" max="764" width="8" hidden="1"/>
    <col min="765" max="765" width="9.5703125" hidden="1"/>
    <col min="766" max="767" width="8" hidden="1"/>
    <col min="768" max="770" width="1.85546875" hidden="1"/>
    <col min="771" max="771" width="13.42578125" hidden="1"/>
    <col min="772" max="772" width="16.85546875" hidden="1"/>
    <col min="773" max="773" width="9.7109375" hidden="1"/>
    <col min="774" max="774" width="9.85546875" hidden="1"/>
    <col min="775" max="775" width="7.7109375" hidden="1"/>
    <col min="776" max="776" width="12.85546875" hidden="1"/>
    <col min="777" max="777" width="13.85546875" hidden="1"/>
    <col min="778" max="778" width="9.85546875" hidden="1"/>
    <col min="779" max="779" width="14.7109375" hidden="1"/>
    <col min="780" max="780" width="16.42578125" hidden="1"/>
    <col min="781" max="783" width="13.85546875" hidden="1"/>
    <col min="784" max="784" width="12.85546875" hidden="1"/>
    <col min="785" max="785" width="14.140625" hidden="1"/>
    <col min="786" max="786" width="12.28515625" hidden="1"/>
    <col min="787" max="788" width="14.42578125" hidden="1"/>
    <col min="789" max="789" width="12.85546875" hidden="1"/>
    <col min="790" max="790" width="12.28515625" hidden="1"/>
    <col min="791" max="791" width="16.7109375" hidden="1"/>
    <col min="1019" max="1019" width="1.85546875" hidden="1"/>
    <col min="1020" max="1020" width="8" hidden="1"/>
    <col min="1021" max="1021" width="9.5703125" hidden="1"/>
    <col min="1022" max="1023" width="8" hidden="1"/>
    <col min="1024" max="1026" width="1.85546875" hidden="1"/>
    <col min="1027" max="1027" width="13.42578125" hidden="1"/>
    <col min="1028" max="1028" width="16.85546875" hidden="1"/>
    <col min="1029" max="1029" width="9.7109375" hidden="1"/>
    <col min="1030" max="1030" width="9.85546875" hidden="1"/>
    <col min="1031" max="1031" width="7.7109375" hidden="1"/>
    <col min="1032" max="1032" width="12.85546875" hidden="1"/>
    <col min="1033" max="1033" width="13.85546875" hidden="1"/>
    <col min="1034" max="1034" width="9.85546875" hidden="1"/>
    <col min="1035" max="1035" width="14.7109375" hidden="1"/>
    <col min="1036" max="1036" width="16.42578125" hidden="1"/>
    <col min="1037" max="1039" width="13.85546875" hidden="1"/>
    <col min="1040" max="1040" width="12.85546875" hidden="1"/>
    <col min="1041" max="1041" width="14.140625" hidden="1"/>
    <col min="1042" max="1042" width="12.28515625" hidden="1"/>
    <col min="1043" max="1044" width="14.42578125" hidden="1"/>
    <col min="1045" max="1045" width="12.85546875" hidden="1"/>
    <col min="1046" max="1046" width="12.28515625" hidden="1"/>
    <col min="1047" max="1047" width="16.7109375" hidden="1"/>
    <col min="1275" max="1275" width="1.85546875" hidden="1"/>
    <col min="1276" max="1276" width="8" hidden="1"/>
    <col min="1277" max="1277" width="9.5703125" hidden="1"/>
    <col min="1278" max="1279" width="8" hidden="1"/>
    <col min="1280" max="1282" width="1.85546875" hidden="1"/>
    <col min="1283" max="1283" width="13.42578125" hidden="1"/>
    <col min="1284" max="1284" width="16.85546875" hidden="1"/>
    <col min="1285" max="1285" width="9.7109375" hidden="1"/>
    <col min="1286" max="1286" width="9.85546875" hidden="1"/>
    <col min="1287" max="1287" width="7.7109375" hidden="1"/>
    <col min="1288" max="1288" width="12.85546875" hidden="1"/>
    <col min="1289" max="1289" width="13.85546875" hidden="1"/>
    <col min="1290" max="1290" width="9.85546875" hidden="1"/>
    <col min="1291" max="1291" width="14.7109375" hidden="1"/>
    <col min="1292" max="1292" width="16.42578125" hidden="1"/>
    <col min="1293" max="1295" width="13.85546875" hidden="1"/>
    <col min="1296" max="1296" width="12.85546875" hidden="1"/>
    <col min="1297" max="1297" width="14.140625" hidden="1"/>
    <col min="1298" max="1298" width="12.28515625" hidden="1"/>
    <col min="1299" max="1300" width="14.42578125" hidden="1"/>
    <col min="1301" max="1301" width="12.85546875" hidden="1"/>
    <col min="1302" max="1302" width="12.28515625" hidden="1"/>
    <col min="1303" max="1303" width="16.7109375" hidden="1"/>
    <col min="1531" max="1531" width="1.85546875" hidden="1"/>
    <col min="1532" max="1532" width="8" hidden="1"/>
    <col min="1533" max="1533" width="9.5703125" hidden="1"/>
    <col min="1534" max="1535" width="8" hidden="1"/>
    <col min="1536" max="1538" width="1.85546875" hidden="1"/>
    <col min="1539" max="1539" width="13.42578125" hidden="1"/>
    <col min="1540" max="1540" width="16.85546875" hidden="1"/>
    <col min="1541" max="1541" width="9.7109375" hidden="1"/>
    <col min="1542" max="1542" width="9.85546875" hidden="1"/>
    <col min="1543" max="1543" width="7.7109375" hidden="1"/>
    <col min="1544" max="1544" width="12.85546875" hidden="1"/>
    <col min="1545" max="1545" width="13.85546875" hidden="1"/>
    <col min="1546" max="1546" width="9.85546875" hidden="1"/>
    <col min="1547" max="1547" width="14.7109375" hidden="1"/>
    <col min="1548" max="1548" width="16.42578125" hidden="1"/>
    <col min="1549" max="1551" width="13.85546875" hidden="1"/>
    <col min="1552" max="1552" width="12.85546875" hidden="1"/>
    <col min="1553" max="1553" width="14.140625" hidden="1"/>
    <col min="1554" max="1554" width="12.28515625" hidden="1"/>
    <col min="1555" max="1556" width="14.42578125" hidden="1"/>
    <col min="1557" max="1557" width="12.85546875" hidden="1"/>
    <col min="1558" max="1558" width="12.28515625" hidden="1"/>
    <col min="1559" max="1559" width="16.7109375" hidden="1"/>
    <col min="1787" max="1787" width="1.85546875" hidden="1"/>
    <col min="1788" max="1788" width="8" hidden="1"/>
    <col min="1789" max="1789" width="9.5703125" hidden="1"/>
    <col min="1790" max="1791" width="8" hidden="1"/>
    <col min="1792" max="1794" width="1.85546875" hidden="1"/>
    <col min="1795" max="1795" width="13.42578125" hidden="1"/>
    <col min="1796" max="1796" width="16.85546875" hidden="1"/>
    <col min="1797" max="1797" width="9.7109375" hidden="1"/>
    <col min="1798" max="1798" width="9.85546875" hidden="1"/>
    <col min="1799" max="1799" width="7.7109375" hidden="1"/>
    <col min="1800" max="1800" width="12.85546875" hidden="1"/>
    <col min="1801" max="1801" width="13.85546875" hidden="1"/>
    <col min="1802" max="1802" width="9.85546875" hidden="1"/>
    <col min="1803" max="1803" width="14.7109375" hidden="1"/>
    <col min="1804" max="1804" width="16.42578125" hidden="1"/>
    <col min="1805" max="1807" width="13.85546875" hidden="1"/>
    <col min="1808" max="1808" width="12.85546875" hidden="1"/>
    <col min="1809" max="1809" width="14.140625" hidden="1"/>
    <col min="1810" max="1810" width="12.28515625" hidden="1"/>
    <col min="1811" max="1812" width="14.42578125" hidden="1"/>
    <col min="1813" max="1813" width="12.85546875" hidden="1"/>
    <col min="1814" max="1814" width="12.28515625" hidden="1"/>
    <col min="1815" max="1815" width="16.7109375" hidden="1"/>
    <col min="2043" max="2043" width="1.85546875" hidden="1"/>
    <col min="2044" max="2044" width="8" hidden="1"/>
    <col min="2045" max="2045" width="9.5703125" hidden="1"/>
    <col min="2046" max="2047" width="8" hidden="1"/>
    <col min="2048" max="2050" width="1.85546875" hidden="1"/>
    <col min="2051" max="2051" width="13.42578125" hidden="1"/>
    <col min="2052" max="2052" width="16.85546875" hidden="1"/>
    <col min="2053" max="2053" width="9.7109375" hidden="1"/>
    <col min="2054" max="2054" width="9.85546875" hidden="1"/>
    <col min="2055" max="2055" width="7.7109375" hidden="1"/>
    <col min="2056" max="2056" width="12.85546875" hidden="1"/>
    <col min="2057" max="2057" width="13.85546875" hidden="1"/>
    <col min="2058" max="2058" width="9.85546875" hidden="1"/>
    <col min="2059" max="2059" width="14.7109375" hidden="1"/>
    <col min="2060" max="2060" width="16.42578125" hidden="1"/>
    <col min="2061" max="2063" width="13.85546875" hidden="1"/>
    <col min="2064" max="2064" width="12.85546875" hidden="1"/>
    <col min="2065" max="2065" width="14.140625" hidden="1"/>
    <col min="2066" max="2066" width="12.28515625" hidden="1"/>
    <col min="2067" max="2068" width="14.42578125" hidden="1"/>
    <col min="2069" max="2069" width="12.85546875" hidden="1"/>
    <col min="2070" max="2070" width="12.28515625" hidden="1"/>
    <col min="2071" max="2071" width="16.7109375" hidden="1"/>
    <col min="2299" max="2299" width="1.85546875" hidden="1"/>
    <col min="2300" max="2300" width="8" hidden="1"/>
    <col min="2301" max="2301" width="9.5703125" hidden="1"/>
    <col min="2302" max="2303" width="8" hidden="1"/>
    <col min="2304" max="2306" width="1.85546875" hidden="1"/>
    <col min="2307" max="2307" width="13.42578125" hidden="1"/>
    <col min="2308" max="2308" width="16.85546875" hidden="1"/>
    <col min="2309" max="2309" width="9.7109375" hidden="1"/>
    <col min="2310" max="2310" width="9.85546875" hidden="1"/>
    <col min="2311" max="2311" width="7.7109375" hidden="1"/>
    <col min="2312" max="2312" width="12.85546875" hidden="1"/>
    <col min="2313" max="2313" width="13.85546875" hidden="1"/>
    <col min="2314" max="2314" width="9.85546875" hidden="1"/>
    <col min="2315" max="2315" width="14.7109375" hidden="1"/>
    <col min="2316" max="2316" width="16.42578125" hidden="1"/>
    <col min="2317" max="2319" width="13.85546875" hidden="1"/>
    <col min="2320" max="2320" width="12.85546875" hidden="1"/>
    <col min="2321" max="2321" width="14.140625" hidden="1"/>
    <col min="2322" max="2322" width="12.28515625" hidden="1"/>
    <col min="2323" max="2324" width="14.42578125" hidden="1"/>
    <col min="2325" max="2325" width="12.85546875" hidden="1"/>
    <col min="2326" max="2326" width="12.28515625" hidden="1"/>
    <col min="2327" max="2327" width="16.7109375" hidden="1"/>
    <col min="2555" max="2555" width="1.85546875" hidden="1"/>
    <col min="2556" max="2556" width="8" hidden="1"/>
    <col min="2557" max="2557" width="9.5703125" hidden="1"/>
    <col min="2558" max="2559" width="8" hidden="1"/>
    <col min="2560" max="2562" width="1.85546875" hidden="1"/>
    <col min="2563" max="2563" width="13.42578125" hidden="1"/>
    <col min="2564" max="2564" width="16.85546875" hidden="1"/>
    <col min="2565" max="2565" width="9.7109375" hidden="1"/>
    <col min="2566" max="2566" width="9.85546875" hidden="1"/>
    <col min="2567" max="2567" width="7.7109375" hidden="1"/>
    <col min="2568" max="2568" width="12.85546875" hidden="1"/>
    <col min="2569" max="2569" width="13.85546875" hidden="1"/>
    <col min="2570" max="2570" width="9.85546875" hidden="1"/>
    <col min="2571" max="2571" width="14.7109375" hidden="1"/>
    <col min="2572" max="2572" width="16.42578125" hidden="1"/>
    <col min="2573" max="2575" width="13.85546875" hidden="1"/>
    <col min="2576" max="2576" width="12.85546875" hidden="1"/>
    <col min="2577" max="2577" width="14.140625" hidden="1"/>
    <col min="2578" max="2578" width="12.28515625" hidden="1"/>
    <col min="2579" max="2580" width="14.42578125" hidden="1"/>
    <col min="2581" max="2581" width="12.85546875" hidden="1"/>
    <col min="2582" max="2582" width="12.28515625" hidden="1"/>
    <col min="2583" max="2583" width="16.7109375" hidden="1"/>
    <col min="2811" max="2811" width="1.85546875" hidden="1"/>
    <col min="2812" max="2812" width="8" hidden="1"/>
    <col min="2813" max="2813" width="9.5703125" hidden="1"/>
    <col min="2814" max="2815" width="8" hidden="1"/>
    <col min="2816" max="2818" width="1.85546875" hidden="1"/>
    <col min="2819" max="2819" width="13.42578125" hidden="1"/>
    <col min="2820" max="2820" width="16.85546875" hidden="1"/>
    <col min="2821" max="2821" width="9.7109375" hidden="1"/>
    <col min="2822" max="2822" width="9.85546875" hidden="1"/>
    <col min="2823" max="2823" width="7.7109375" hidden="1"/>
    <col min="2824" max="2824" width="12.85546875" hidden="1"/>
    <col min="2825" max="2825" width="13.85546875" hidden="1"/>
    <col min="2826" max="2826" width="9.85546875" hidden="1"/>
    <col min="2827" max="2827" width="14.7109375" hidden="1"/>
    <col min="2828" max="2828" width="16.42578125" hidden="1"/>
    <col min="2829" max="2831" width="13.85546875" hidden="1"/>
    <col min="2832" max="2832" width="12.85546875" hidden="1"/>
    <col min="2833" max="2833" width="14.140625" hidden="1"/>
    <col min="2834" max="2834" width="12.28515625" hidden="1"/>
    <col min="2835" max="2836" width="14.42578125" hidden="1"/>
    <col min="2837" max="2837" width="12.85546875" hidden="1"/>
    <col min="2838" max="2838" width="12.28515625" hidden="1"/>
    <col min="2839" max="2839" width="16.7109375" hidden="1"/>
    <col min="3067" max="3067" width="1.85546875" hidden="1"/>
    <col min="3068" max="3068" width="8" hidden="1"/>
    <col min="3069" max="3069" width="9.5703125" hidden="1"/>
    <col min="3070" max="3071" width="8" hidden="1"/>
    <col min="3072" max="3074" width="1.85546875" hidden="1"/>
    <col min="3075" max="3075" width="13.42578125" hidden="1"/>
    <col min="3076" max="3076" width="16.85546875" hidden="1"/>
    <col min="3077" max="3077" width="9.7109375" hidden="1"/>
    <col min="3078" max="3078" width="9.85546875" hidden="1"/>
    <col min="3079" max="3079" width="7.7109375" hidden="1"/>
    <col min="3080" max="3080" width="12.85546875" hidden="1"/>
    <col min="3081" max="3081" width="13.85546875" hidden="1"/>
    <col min="3082" max="3082" width="9.85546875" hidden="1"/>
    <col min="3083" max="3083" width="14.7109375" hidden="1"/>
    <col min="3084" max="3084" width="16.42578125" hidden="1"/>
    <col min="3085" max="3087" width="13.85546875" hidden="1"/>
    <col min="3088" max="3088" width="12.85546875" hidden="1"/>
    <col min="3089" max="3089" width="14.140625" hidden="1"/>
    <col min="3090" max="3090" width="12.28515625" hidden="1"/>
    <col min="3091" max="3092" width="14.42578125" hidden="1"/>
    <col min="3093" max="3093" width="12.85546875" hidden="1"/>
    <col min="3094" max="3094" width="12.28515625" hidden="1"/>
    <col min="3095" max="3095" width="16.7109375" hidden="1"/>
    <col min="3323" max="3323" width="1.85546875" hidden="1"/>
    <col min="3324" max="3324" width="8" hidden="1"/>
    <col min="3325" max="3325" width="9.5703125" hidden="1"/>
    <col min="3326" max="3327" width="8" hidden="1"/>
    <col min="3328" max="3330" width="1.85546875" hidden="1"/>
    <col min="3331" max="3331" width="13.42578125" hidden="1"/>
    <col min="3332" max="3332" width="16.85546875" hidden="1"/>
    <col min="3333" max="3333" width="9.7109375" hidden="1"/>
    <col min="3334" max="3334" width="9.85546875" hidden="1"/>
    <col min="3335" max="3335" width="7.7109375" hidden="1"/>
    <col min="3336" max="3336" width="12.85546875" hidden="1"/>
    <col min="3337" max="3337" width="13.85546875" hidden="1"/>
    <col min="3338" max="3338" width="9.85546875" hidden="1"/>
    <col min="3339" max="3339" width="14.7109375" hidden="1"/>
    <col min="3340" max="3340" width="16.42578125" hidden="1"/>
    <col min="3341" max="3343" width="13.85546875" hidden="1"/>
    <col min="3344" max="3344" width="12.85546875" hidden="1"/>
    <col min="3345" max="3345" width="14.140625" hidden="1"/>
    <col min="3346" max="3346" width="12.28515625" hidden="1"/>
    <col min="3347" max="3348" width="14.42578125" hidden="1"/>
    <col min="3349" max="3349" width="12.85546875" hidden="1"/>
    <col min="3350" max="3350" width="12.28515625" hidden="1"/>
    <col min="3351" max="3351" width="16.7109375" hidden="1"/>
    <col min="3579" max="3579" width="1.85546875" hidden="1"/>
    <col min="3580" max="3580" width="8" hidden="1"/>
    <col min="3581" max="3581" width="9.5703125" hidden="1"/>
    <col min="3582" max="3583" width="8" hidden="1"/>
    <col min="3584" max="3586" width="1.85546875" hidden="1"/>
    <col min="3587" max="3587" width="13.42578125" hidden="1"/>
    <col min="3588" max="3588" width="16.85546875" hidden="1"/>
    <col min="3589" max="3589" width="9.7109375" hidden="1"/>
    <col min="3590" max="3590" width="9.85546875" hidden="1"/>
    <col min="3591" max="3591" width="7.7109375" hidden="1"/>
    <col min="3592" max="3592" width="12.85546875" hidden="1"/>
    <col min="3593" max="3593" width="13.85546875" hidden="1"/>
    <col min="3594" max="3594" width="9.85546875" hidden="1"/>
    <col min="3595" max="3595" width="14.7109375" hidden="1"/>
    <col min="3596" max="3596" width="16.42578125" hidden="1"/>
    <col min="3597" max="3599" width="13.85546875" hidden="1"/>
    <col min="3600" max="3600" width="12.85546875" hidden="1"/>
    <col min="3601" max="3601" width="14.140625" hidden="1"/>
    <col min="3602" max="3602" width="12.28515625" hidden="1"/>
    <col min="3603" max="3604" width="14.42578125" hidden="1"/>
    <col min="3605" max="3605" width="12.85546875" hidden="1"/>
    <col min="3606" max="3606" width="12.28515625" hidden="1"/>
    <col min="3607" max="3607" width="16.7109375" hidden="1"/>
    <col min="3835" max="3835" width="1.85546875" hidden="1"/>
    <col min="3836" max="3836" width="8" hidden="1"/>
    <col min="3837" max="3837" width="9.5703125" hidden="1"/>
    <col min="3838" max="3839" width="8" hidden="1"/>
    <col min="3840" max="3842" width="1.85546875" hidden="1"/>
    <col min="3843" max="3843" width="13.42578125" hidden="1"/>
    <col min="3844" max="3844" width="16.85546875" hidden="1"/>
    <col min="3845" max="3845" width="9.7109375" hidden="1"/>
    <col min="3846" max="3846" width="9.85546875" hidden="1"/>
    <col min="3847" max="3847" width="7.7109375" hidden="1"/>
    <col min="3848" max="3848" width="12.85546875" hidden="1"/>
    <col min="3849" max="3849" width="13.85546875" hidden="1"/>
    <col min="3850" max="3850" width="9.85546875" hidden="1"/>
    <col min="3851" max="3851" width="14.7109375" hidden="1"/>
    <col min="3852" max="3852" width="16.42578125" hidden="1"/>
    <col min="3853" max="3855" width="13.85546875" hidden="1"/>
    <col min="3856" max="3856" width="12.85546875" hidden="1"/>
    <col min="3857" max="3857" width="14.140625" hidden="1"/>
    <col min="3858" max="3858" width="12.28515625" hidden="1"/>
    <col min="3859" max="3860" width="14.42578125" hidden="1"/>
    <col min="3861" max="3861" width="12.85546875" hidden="1"/>
    <col min="3862" max="3862" width="12.28515625" hidden="1"/>
    <col min="3863" max="3863" width="16.7109375" hidden="1"/>
    <col min="4091" max="4091" width="1.85546875" hidden="1"/>
    <col min="4092" max="4092" width="8" hidden="1"/>
    <col min="4093" max="4093" width="9.5703125" hidden="1"/>
    <col min="4094" max="4095" width="8" hidden="1"/>
    <col min="4096" max="4098" width="1.85546875" hidden="1"/>
    <col min="4099" max="4099" width="13.42578125" hidden="1"/>
    <col min="4100" max="4100" width="16.85546875" hidden="1"/>
    <col min="4101" max="4101" width="9.7109375" hidden="1"/>
    <col min="4102" max="4102" width="9.85546875" hidden="1"/>
    <col min="4103" max="4103" width="7.7109375" hidden="1"/>
    <col min="4104" max="4104" width="12.85546875" hidden="1"/>
    <col min="4105" max="4105" width="13.85546875" hidden="1"/>
    <col min="4106" max="4106" width="9.85546875" hidden="1"/>
    <col min="4107" max="4107" width="14.7109375" hidden="1"/>
    <col min="4108" max="4108" width="16.42578125" hidden="1"/>
    <col min="4109" max="4111" width="13.85546875" hidden="1"/>
    <col min="4112" max="4112" width="12.85546875" hidden="1"/>
    <col min="4113" max="4113" width="14.140625" hidden="1"/>
    <col min="4114" max="4114" width="12.28515625" hidden="1"/>
    <col min="4115" max="4116" width="14.42578125" hidden="1"/>
    <col min="4117" max="4117" width="12.85546875" hidden="1"/>
    <col min="4118" max="4118" width="12.28515625" hidden="1"/>
    <col min="4119" max="4119" width="16.7109375" hidden="1"/>
    <col min="4347" max="4347" width="1.85546875" hidden="1"/>
    <col min="4348" max="4348" width="8" hidden="1"/>
    <col min="4349" max="4349" width="9.5703125" hidden="1"/>
    <col min="4350" max="4351" width="8" hidden="1"/>
    <col min="4352" max="4354" width="1.85546875" hidden="1"/>
    <col min="4355" max="4355" width="13.42578125" hidden="1"/>
    <col min="4356" max="4356" width="16.85546875" hidden="1"/>
    <col min="4357" max="4357" width="9.7109375" hidden="1"/>
    <col min="4358" max="4358" width="9.85546875" hidden="1"/>
    <col min="4359" max="4359" width="7.7109375" hidden="1"/>
    <col min="4360" max="4360" width="12.85546875" hidden="1"/>
    <col min="4361" max="4361" width="13.85546875" hidden="1"/>
    <col min="4362" max="4362" width="9.85546875" hidden="1"/>
    <col min="4363" max="4363" width="14.7109375" hidden="1"/>
    <col min="4364" max="4364" width="16.42578125" hidden="1"/>
    <col min="4365" max="4367" width="13.85546875" hidden="1"/>
    <col min="4368" max="4368" width="12.85546875" hidden="1"/>
    <col min="4369" max="4369" width="14.140625" hidden="1"/>
    <col min="4370" max="4370" width="12.28515625" hidden="1"/>
    <col min="4371" max="4372" width="14.42578125" hidden="1"/>
    <col min="4373" max="4373" width="12.85546875" hidden="1"/>
    <col min="4374" max="4374" width="12.28515625" hidden="1"/>
    <col min="4375" max="4375" width="16.7109375" hidden="1"/>
    <col min="4603" max="4603" width="1.85546875" hidden="1"/>
    <col min="4604" max="4604" width="8" hidden="1"/>
    <col min="4605" max="4605" width="9.5703125" hidden="1"/>
    <col min="4606" max="4607" width="8" hidden="1"/>
    <col min="4608" max="4610" width="1.85546875" hidden="1"/>
    <col min="4611" max="4611" width="13.42578125" hidden="1"/>
    <col min="4612" max="4612" width="16.85546875" hidden="1"/>
    <col min="4613" max="4613" width="9.7109375" hidden="1"/>
    <col min="4614" max="4614" width="9.85546875" hidden="1"/>
    <col min="4615" max="4615" width="7.7109375" hidden="1"/>
    <col min="4616" max="4616" width="12.85546875" hidden="1"/>
    <col min="4617" max="4617" width="13.85546875" hidden="1"/>
    <col min="4618" max="4618" width="9.85546875" hidden="1"/>
    <col min="4619" max="4619" width="14.7109375" hidden="1"/>
    <col min="4620" max="4620" width="16.42578125" hidden="1"/>
    <col min="4621" max="4623" width="13.85546875" hidden="1"/>
    <col min="4624" max="4624" width="12.85546875" hidden="1"/>
    <col min="4625" max="4625" width="14.140625" hidden="1"/>
    <col min="4626" max="4626" width="12.28515625" hidden="1"/>
    <col min="4627" max="4628" width="14.42578125" hidden="1"/>
    <col min="4629" max="4629" width="12.85546875" hidden="1"/>
    <col min="4630" max="4630" width="12.28515625" hidden="1"/>
    <col min="4631" max="4631" width="16.7109375" hidden="1"/>
    <col min="4859" max="4859" width="1.85546875" hidden="1"/>
    <col min="4860" max="4860" width="8" hidden="1"/>
    <col min="4861" max="4861" width="9.5703125" hidden="1"/>
    <col min="4862" max="4863" width="8" hidden="1"/>
    <col min="4864" max="4866" width="1.85546875" hidden="1"/>
    <col min="4867" max="4867" width="13.42578125" hidden="1"/>
    <col min="4868" max="4868" width="16.85546875" hidden="1"/>
    <col min="4869" max="4869" width="9.7109375" hidden="1"/>
    <col min="4870" max="4870" width="9.85546875" hidden="1"/>
    <col min="4871" max="4871" width="7.7109375" hidden="1"/>
    <col min="4872" max="4872" width="12.85546875" hidden="1"/>
    <col min="4873" max="4873" width="13.85546875" hidden="1"/>
    <col min="4874" max="4874" width="9.85546875" hidden="1"/>
    <col min="4875" max="4875" width="14.7109375" hidden="1"/>
    <col min="4876" max="4876" width="16.42578125" hidden="1"/>
    <col min="4877" max="4879" width="13.85546875" hidden="1"/>
    <col min="4880" max="4880" width="12.85546875" hidden="1"/>
    <col min="4881" max="4881" width="14.140625" hidden="1"/>
    <col min="4882" max="4882" width="12.28515625" hidden="1"/>
    <col min="4883" max="4884" width="14.42578125" hidden="1"/>
    <col min="4885" max="4885" width="12.85546875" hidden="1"/>
    <col min="4886" max="4886" width="12.28515625" hidden="1"/>
    <col min="4887" max="4887" width="16.7109375" hidden="1"/>
    <col min="5115" max="5115" width="1.85546875" hidden="1"/>
    <col min="5116" max="5116" width="8" hidden="1"/>
    <col min="5117" max="5117" width="9.5703125" hidden="1"/>
    <col min="5118" max="5119" width="8" hidden="1"/>
    <col min="5120" max="5122" width="1.85546875" hidden="1"/>
    <col min="5123" max="5123" width="13.42578125" hidden="1"/>
    <col min="5124" max="5124" width="16.85546875" hidden="1"/>
    <col min="5125" max="5125" width="9.7109375" hidden="1"/>
    <col min="5126" max="5126" width="9.85546875" hidden="1"/>
    <col min="5127" max="5127" width="7.7109375" hidden="1"/>
    <col min="5128" max="5128" width="12.85546875" hidden="1"/>
    <col min="5129" max="5129" width="13.85546875" hidden="1"/>
    <col min="5130" max="5130" width="9.85546875" hidden="1"/>
    <col min="5131" max="5131" width="14.7109375" hidden="1"/>
    <col min="5132" max="5132" width="16.42578125" hidden="1"/>
    <col min="5133" max="5135" width="13.85546875" hidden="1"/>
    <col min="5136" max="5136" width="12.85546875" hidden="1"/>
    <col min="5137" max="5137" width="14.140625" hidden="1"/>
    <col min="5138" max="5138" width="12.28515625" hidden="1"/>
    <col min="5139" max="5140" width="14.42578125" hidden="1"/>
    <col min="5141" max="5141" width="12.85546875" hidden="1"/>
    <col min="5142" max="5142" width="12.28515625" hidden="1"/>
    <col min="5143" max="5143" width="16.7109375" hidden="1"/>
    <col min="5371" max="5371" width="1.85546875" hidden="1"/>
    <col min="5372" max="5372" width="8" hidden="1"/>
    <col min="5373" max="5373" width="9.5703125" hidden="1"/>
    <col min="5374" max="5375" width="8" hidden="1"/>
    <col min="5376" max="5378" width="1.85546875" hidden="1"/>
    <col min="5379" max="5379" width="13.42578125" hidden="1"/>
    <col min="5380" max="5380" width="16.85546875" hidden="1"/>
    <col min="5381" max="5381" width="9.7109375" hidden="1"/>
    <col min="5382" max="5382" width="9.85546875" hidden="1"/>
    <col min="5383" max="5383" width="7.7109375" hidden="1"/>
    <col min="5384" max="5384" width="12.85546875" hidden="1"/>
    <col min="5385" max="5385" width="13.85546875" hidden="1"/>
    <col min="5386" max="5386" width="9.85546875" hidden="1"/>
    <col min="5387" max="5387" width="14.7109375" hidden="1"/>
    <col min="5388" max="5388" width="16.42578125" hidden="1"/>
    <col min="5389" max="5391" width="13.85546875" hidden="1"/>
    <col min="5392" max="5392" width="12.85546875" hidden="1"/>
    <col min="5393" max="5393" width="14.140625" hidden="1"/>
    <col min="5394" max="5394" width="12.28515625" hidden="1"/>
    <col min="5395" max="5396" width="14.42578125" hidden="1"/>
    <col min="5397" max="5397" width="12.85546875" hidden="1"/>
    <col min="5398" max="5398" width="12.28515625" hidden="1"/>
    <col min="5399" max="5399" width="16.7109375" hidden="1"/>
    <col min="5627" max="5627" width="1.85546875" hidden="1"/>
    <col min="5628" max="5628" width="8" hidden="1"/>
    <col min="5629" max="5629" width="9.5703125" hidden="1"/>
    <col min="5630" max="5631" width="8" hidden="1"/>
    <col min="5632" max="5634" width="1.85546875" hidden="1"/>
    <col min="5635" max="5635" width="13.42578125" hidden="1"/>
    <col min="5636" max="5636" width="16.85546875" hidden="1"/>
    <col min="5637" max="5637" width="9.7109375" hidden="1"/>
    <col min="5638" max="5638" width="9.85546875" hidden="1"/>
    <col min="5639" max="5639" width="7.7109375" hidden="1"/>
    <col min="5640" max="5640" width="12.85546875" hidden="1"/>
    <col min="5641" max="5641" width="13.85546875" hidden="1"/>
    <col min="5642" max="5642" width="9.85546875" hidden="1"/>
    <col min="5643" max="5643" width="14.7109375" hidden="1"/>
    <col min="5644" max="5644" width="16.42578125" hidden="1"/>
    <col min="5645" max="5647" width="13.85546875" hidden="1"/>
    <col min="5648" max="5648" width="12.85546875" hidden="1"/>
    <col min="5649" max="5649" width="14.140625" hidden="1"/>
    <col min="5650" max="5650" width="12.28515625" hidden="1"/>
    <col min="5651" max="5652" width="14.42578125" hidden="1"/>
    <col min="5653" max="5653" width="12.85546875" hidden="1"/>
    <col min="5654" max="5654" width="12.28515625" hidden="1"/>
    <col min="5655" max="5655" width="16.7109375" hidden="1"/>
    <col min="5883" max="5883" width="1.85546875" hidden="1"/>
    <col min="5884" max="5884" width="8" hidden="1"/>
    <col min="5885" max="5885" width="9.5703125" hidden="1"/>
    <col min="5886" max="5887" width="8" hidden="1"/>
    <col min="5888" max="5890" width="1.85546875" hidden="1"/>
    <col min="5891" max="5891" width="13.42578125" hidden="1"/>
    <col min="5892" max="5892" width="16.85546875" hidden="1"/>
    <col min="5893" max="5893" width="9.7109375" hidden="1"/>
    <col min="5894" max="5894" width="9.85546875" hidden="1"/>
    <col min="5895" max="5895" width="7.7109375" hidden="1"/>
    <col min="5896" max="5896" width="12.85546875" hidden="1"/>
    <col min="5897" max="5897" width="13.85546875" hidden="1"/>
    <col min="5898" max="5898" width="9.85546875" hidden="1"/>
    <col min="5899" max="5899" width="14.7109375" hidden="1"/>
    <col min="5900" max="5900" width="16.42578125" hidden="1"/>
    <col min="5901" max="5903" width="13.85546875" hidden="1"/>
    <col min="5904" max="5904" width="12.85546875" hidden="1"/>
    <col min="5905" max="5905" width="14.140625" hidden="1"/>
    <col min="5906" max="5906" width="12.28515625" hidden="1"/>
    <col min="5907" max="5908" width="14.42578125" hidden="1"/>
    <col min="5909" max="5909" width="12.85546875" hidden="1"/>
    <col min="5910" max="5910" width="12.28515625" hidden="1"/>
    <col min="5911" max="5911" width="16.7109375" hidden="1"/>
    <col min="6139" max="6139" width="1.85546875" hidden="1"/>
    <col min="6140" max="6140" width="8" hidden="1"/>
    <col min="6141" max="6141" width="9.5703125" hidden="1"/>
    <col min="6142" max="6143" width="8" hidden="1"/>
    <col min="6144" max="6146" width="1.85546875" hidden="1"/>
    <col min="6147" max="6147" width="13.42578125" hidden="1"/>
    <col min="6148" max="6148" width="16.85546875" hidden="1"/>
    <col min="6149" max="6149" width="9.7109375" hidden="1"/>
    <col min="6150" max="6150" width="9.85546875" hidden="1"/>
    <col min="6151" max="6151" width="7.7109375" hidden="1"/>
    <col min="6152" max="6152" width="12.85546875" hidden="1"/>
    <col min="6153" max="6153" width="13.85546875" hidden="1"/>
    <col min="6154" max="6154" width="9.85546875" hidden="1"/>
    <col min="6155" max="6155" width="14.7109375" hidden="1"/>
    <col min="6156" max="6156" width="16.42578125" hidden="1"/>
    <col min="6157" max="6159" width="13.85546875" hidden="1"/>
    <col min="6160" max="6160" width="12.85546875" hidden="1"/>
    <col min="6161" max="6161" width="14.140625" hidden="1"/>
    <col min="6162" max="6162" width="12.28515625" hidden="1"/>
    <col min="6163" max="6164" width="14.42578125" hidden="1"/>
    <col min="6165" max="6165" width="12.85546875" hidden="1"/>
    <col min="6166" max="6166" width="12.28515625" hidden="1"/>
    <col min="6167" max="6167" width="16.7109375" hidden="1"/>
    <col min="6395" max="6395" width="1.85546875" hidden="1"/>
    <col min="6396" max="6396" width="8" hidden="1"/>
    <col min="6397" max="6397" width="9.5703125" hidden="1"/>
    <col min="6398" max="6399" width="8" hidden="1"/>
    <col min="6400" max="6402" width="1.85546875" hidden="1"/>
    <col min="6403" max="6403" width="13.42578125" hidden="1"/>
    <col min="6404" max="6404" width="16.85546875" hidden="1"/>
    <col min="6405" max="6405" width="9.7109375" hidden="1"/>
    <col min="6406" max="6406" width="9.85546875" hidden="1"/>
    <col min="6407" max="6407" width="7.7109375" hidden="1"/>
    <col min="6408" max="6408" width="12.85546875" hidden="1"/>
    <col min="6409" max="6409" width="13.85546875" hidden="1"/>
    <col min="6410" max="6410" width="9.85546875" hidden="1"/>
    <col min="6411" max="6411" width="14.7109375" hidden="1"/>
    <col min="6412" max="6412" width="16.42578125" hidden="1"/>
    <col min="6413" max="6415" width="13.85546875" hidden="1"/>
    <col min="6416" max="6416" width="12.85546875" hidden="1"/>
    <col min="6417" max="6417" width="14.140625" hidden="1"/>
    <col min="6418" max="6418" width="12.28515625" hidden="1"/>
    <col min="6419" max="6420" width="14.42578125" hidden="1"/>
    <col min="6421" max="6421" width="12.85546875" hidden="1"/>
    <col min="6422" max="6422" width="12.28515625" hidden="1"/>
    <col min="6423" max="6423" width="16.7109375" hidden="1"/>
    <col min="6651" max="6651" width="1.85546875" hidden="1"/>
    <col min="6652" max="6652" width="8" hidden="1"/>
    <col min="6653" max="6653" width="9.5703125" hidden="1"/>
    <col min="6654" max="6655" width="8" hidden="1"/>
    <col min="6656" max="6658" width="1.85546875" hidden="1"/>
    <col min="6659" max="6659" width="13.42578125" hidden="1"/>
    <col min="6660" max="6660" width="16.85546875" hidden="1"/>
    <col min="6661" max="6661" width="9.7109375" hidden="1"/>
    <col min="6662" max="6662" width="9.85546875" hidden="1"/>
    <col min="6663" max="6663" width="7.7109375" hidden="1"/>
    <col min="6664" max="6664" width="12.85546875" hidden="1"/>
    <col min="6665" max="6665" width="13.85546875" hidden="1"/>
    <col min="6666" max="6666" width="9.85546875" hidden="1"/>
    <col min="6667" max="6667" width="14.7109375" hidden="1"/>
    <col min="6668" max="6668" width="16.42578125" hidden="1"/>
    <col min="6669" max="6671" width="13.85546875" hidden="1"/>
    <col min="6672" max="6672" width="12.85546875" hidden="1"/>
    <col min="6673" max="6673" width="14.140625" hidden="1"/>
    <col min="6674" max="6674" width="12.28515625" hidden="1"/>
    <col min="6675" max="6676" width="14.42578125" hidden="1"/>
    <col min="6677" max="6677" width="12.85546875" hidden="1"/>
    <col min="6678" max="6678" width="12.28515625" hidden="1"/>
    <col min="6679" max="6679" width="16.7109375" hidden="1"/>
    <col min="6907" max="6907" width="1.85546875" hidden="1"/>
    <col min="6908" max="6908" width="8" hidden="1"/>
    <col min="6909" max="6909" width="9.5703125" hidden="1"/>
    <col min="6910" max="6911" width="8" hidden="1"/>
    <col min="6912" max="6914" width="1.85546875" hidden="1"/>
    <col min="6915" max="6915" width="13.42578125" hidden="1"/>
    <col min="6916" max="6916" width="16.85546875" hidden="1"/>
    <col min="6917" max="6917" width="9.7109375" hidden="1"/>
    <col min="6918" max="6918" width="9.85546875" hidden="1"/>
    <col min="6919" max="6919" width="7.7109375" hidden="1"/>
    <col min="6920" max="6920" width="12.85546875" hidden="1"/>
    <col min="6921" max="6921" width="13.85546875" hidden="1"/>
    <col min="6922" max="6922" width="9.85546875" hidden="1"/>
    <col min="6923" max="6923" width="14.7109375" hidden="1"/>
    <col min="6924" max="6924" width="16.42578125" hidden="1"/>
    <col min="6925" max="6927" width="13.85546875" hidden="1"/>
    <col min="6928" max="6928" width="12.85546875" hidden="1"/>
    <col min="6929" max="6929" width="14.140625" hidden="1"/>
    <col min="6930" max="6930" width="12.28515625" hidden="1"/>
    <col min="6931" max="6932" width="14.42578125" hidden="1"/>
    <col min="6933" max="6933" width="12.85546875" hidden="1"/>
    <col min="6934" max="6934" width="12.28515625" hidden="1"/>
    <col min="6935" max="6935" width="16.7109375" hidden="1"/>
    <col min="7163" max="7163" width="1.85546875" hidden="1"/>
    <col min="7164" max="7164" width="8" hidden="1"/>
    <col min="7165" max="7165" width="9.5703125" hidden="1"/>
    <col min="7166" max="7167" width="8" hidden="1"/>
    <col min="7168" max="7170" width="1.85546875" hidden="1"/>
    <col min="7171" max="7171" width="13.42578125" hidden="1"/>
    <col min="7172" max="7172" width="16.85546875" hidden="1"/>
    <col min="7173" max="7173" width="9.7109375" hidden="1"/>
    <col min="7174" max="7174" width="9.85546875" hidden="1"/>
    <col min="7175" max="7175" width="7.7109375" hidden="1"/>
    <col min="7176" max="7176" width="12.85546875" hidden="1"/>
    <col min="7177" max="7177" width="13.85546875" hidden="1"/>
    <col min="7178" max="7178" width="9.85546875" hidden="1"/>
    <col min="7179" max="7179" width="14.7109375" hidden="1"/>
    <col min="7180" max="7180" width="16.42578125" hidden="1"/>
    <col min="7181" max="7183" width="13.85546875" hidden="1"/>
    <col min="7184" max="7184" width="12.85546875" hidden="1"/>
    <col min="7185" max="7185" width="14.140625" hidden="1"/>
    <col min="7186" max="7186" width="12.28515625" hidden="1"/>
    <col min="7187" max="7188" width="14.42578125" hidden="1"/>
    <col min="7189" max="7189" width="12.85546875" hidden="1"/>
    <col min="7190" max="7190" width="12.28515625" hidden="1"/>
    <col min="7191" max="7191" width="16.7109375" hidden="1"/>
    <col min="7419" max="7419" width="1.85546875" hidden="1"/>
    <col min="7420" max="7420" width="8" hidden="1"/>
    <col min="7421" max="7421" width="9.5703125" hidden="1"/>
    <col min="7422" max="7423" width="8" hidden="1"/>
    <col min="7424" max="7426" width="1.85546875" hidden="1"/>
    <col min="7427" max="7427" width="13.42578125" hidden="1"/>
    <col min="7428" max="7428" width="16.85546875" hidden="1"/>
    <col min="7429" max="7429" width="9.7109375" hidden="1"/>
    <col min="7430" max="7430" width="9.85546875" hidden="1"/>
    <col min="7431" max="7431" width="7.7109375" hidden="1"/>
    <col min="7432" max="7432" width="12.85546875" hidden="1"/>
    <col min="7433" max="7433" width="13.85546875" hidden="1"/>
    <col min="7434" max="7434" width="9.85546875" hidden="1"/>
    <col min="7435" max="7435" width="14.7109375" hidden="1"/>
    <col min="7436" max="7436" width="16.42578125" hidden="1"/>
    <col min="7437" max="7439" width="13.85546875" hidden="1"/>
    <col min="7440" max="7440" width="12.85546875" hidden="1"/>
    <col min="7441" max="7441" width="14.140625" hidden="1"/>
    <col min="7442" max="7442" width="12.28515625" hidden="1"/>
    <col min="7443" max="7444" width="14.42578125" hidden="1"/>
    <col min="7445" max="7445" width="12.85546875" hidden="1"/>
    <col min="7446" max="7446" width="12.28515625" hidden="1"/>
    <col min="7447" max="7447" width="16.7109375" hidden="1"/>
    <col min="7675" max="7675" width="1.85546875" hidden="1"/>
    <col min="7676" max="7676" width="8" hidden="1"/>
    <col min="7677" max="7677" width="9.5703125" hidden="1"/>
    <col min="7678" max="7679" width="8" hidden="1"/>
    <col min="7680" max="7682" width="1.85546875" hidden="1"/>
    <col min="7683" max="7683" width="13.42578125" hidden="1"/>
    <col min="7684" max="7684" width="16.85546875" hidden="1"/>
    <col min="7685" max="7685" width="9.7109375" hidden="1"/>
    <col min="7686" max="7686" width="9.85546875" hidden="1"/>
    <col min="7687" max="7687" width="7.7109375" hidden="1"/>
    <col min="7688" max="7688" width="12.85546875" hidden="1"/>
    <col min="7689" max="7689" width="13.85546875" hidden="1"/>
    <col min="7690" max="7690" width="9.85546875" hidden="1"/>
    <col min="7691" max="7691" width="14.7109375" hidden="1"/>
    <col min="7692" max="7692" width="16.42578125" hidden="1"/>
    <col min="7693" max="7695" width="13.85546875" hidden="1"/>
    <col min="7696" max="7696" width="12.85546875" hidden="1"/>
    <col min="7697" max="7697" width="14.140625" hidden="1"/>
    <col min="7698" max="7698" width="12.28515625" hidden="1"/>
    <col min="7699" max="7700" width="14.42578125" hidden="1"/>
    <col min="7701" max="7701" width="12.85546875" hidden="1"/>
    <col min="7702" max="7702" width="12.28515625" hidden="1"/>
    <col min="7703" max="7703" width="16.7109375" hidden="1"/>
    <col min="7931" max="7931" width="1.85546875" hidden="1"/>
    <col min="7932" max="7932" width="8" hidden="1"/>
    <col min="7933" max="7933" width="9.5703125" hidden="1"/>
    <col min="7934" max="7935" width="8" hidden="1"/>
    <col min="7936" max="7938" width="1.85546875" hidden="1"/>
    <col min="7939" max="7939" width="13.42578125" hidden="1"/>
    <col min="7940" max="7940" width="16.85546875" hidden="1"/>
    <col min="7941" max="7941" width="9.7109375" hidden="1"/>
    <col min="7942" max="7942" width="9.85546875" hidden="1"/>
    <col min="7943" max="7943" width="7.7109375" hidden="1"/>
    <col min="7944" max="7944" width="12.85546875" hidden="1"/>
    <col min="7945" max="7945" width="13.85546875" hidden="1"/>
    <col min="7946" max="7946" width="9.85546875" hidden="1"/>
    <col min="7947" max="7947" width="14.7109375" hidden="1"/>
    <col min="7948" max="7948" width="16.42578125" hidden="1"/>
    <col min="7949" max="7951" width="13.85546875" hidden="1"/>
    <col min="7952" max="7952" width="12.85546875" hidden="1"/>
    <col min="7953" max="7953" width="14.140625" hidden="1"/>
    <col min="7954" max="7954" width="12.28515625" hidden="1"/>
    <col min="7955" max="7956" width="14.42578125" hidden="1"/>
    <col min="7957" max="7957" width="12.85546875" hidden="1"/>
    <col min="7958" max="7958" width="12.28515625" hidden="1"/>
    <col min="7959" max="7959" width="16.7109375" hidden="1"/>
    <col min="8187" max="8187" width="1.85546875" hidden="1"/>
    <col min="8188" max="8188" width="8" hidden="1"/>
    <col min="8189" max="8189" width="9.5703125" hidden="1"/>
    <col min="8190" max="8191" width="8" hidden="1"/>
    <col min="8192" max="8194" width="1.85546875" hidden="1"/>
    <col min="8195" max="8195" width="13.42578125" hidden="1"/>
    <col min="8196" max="8196" width="16.85546875" hidden="1"/>
    <col min="8197" max="8197" width="9.7109375" hidden="1"/>
    <col min="8198" max="8198" width="9.85546875" hidden="1"/>
    <col min="8199" max="8199" width="7.7109375" hidden="1"/>
    <col min="8200" max="8200" width="12.85546875" hidden="1"/>
    <col min="8201" max="8201" width="13.85546875" hidden="1"/>
    <col min="8202" max="8202" width="9.85546875" hidden="1"/>
    <col min="8203" max="8203" width="14.7109375" hidden="1"/>
    <col min="8204" max="8204" width="16.42578125" hidden="1"/>
    <col min="8205" max="8207" width="13.85546875" hidden="1"/>
    <col min="8208" max="8208" width="12.85546875" hidden="1"/>
    <col min="8209" max="8209" width="14.140625" hidden="1"/>
    <col min="8210" max="8210" width="12.28515625" hidden="1"/>
    <col min="8211" max="8212" width="14.42578125" hidden="1"/>
    <col min="8213" max="8213" width="12.85546875" hidden="1"/>
    <col min="8214" max="8214" width="12.28515625" hidden="1"/>
    <col min="8215" max="8215" width="16.7109375" hidden="1"/>
    <col min="8443" max="8443" width="1.85546875" hidden="1"/>
    <col min="8444" max="8444" width="8" hidden="1"/>
    <col min="8445" max="8445" width="9.5703125" hidden="1"/>
    <col min="8446" max="8447" width="8" hidden="1"/>
    <col min="8448" max="8450" width="1.85546875" hidden="1"/>
    <col min="8451" max="8451" width="13.42578125" hidden="1"/>
    <col min="8452" max="8452" width="16.85546875" hidden="1"/>
    <col min="8453" max="8453" width="9.7109375" hidden="1"/>
    <col min="8454" max="8454" width="9.85546875" hidden="1"/>
    <col min="8455" max="8455" width="7.7109375" hidden="1"/>
    <col min="8456" max="8456" width="12.85546875" hidden="1"/>
    <col min="8457" max="8457" width="13.85546875" hidden="1"/>
    <col min="8458" max="8458" width="9.85546875" hidden="1"/>
    <col min="8459" max="8459" width="14.7109375" hidden="1"/>
    <col min="8460" max="8460" width="16.42578125" hidden="1"/>
    <col min="8461" max="8463" width="13.85546875" hidden="1"/>
    <col min="8464" max="8464" width="12.85546875" hidden="1"/>
    <col min="8465" max="8465" width="14.140625" hidden="1"/>
    <col min="8466" max="8466" width="12.28515625" hidden="1"/>
    <col min="8467" max="8468" width="14.42578125" hidden="1"/>
    <col min="8469" max="8469" width="12.85546875" hidden="1"/>
    <col min="8470" max="8470" width="12.28515625" hidden="1"/>
    <col min="8471" max="8471" width="16.7109375" hidden="1"/>
    <col min="8699" max="8699" width="1.85546875" hidden="1"/>
    <col min="8700" max="8700" width="8" hidden="1"/>
    <col min="8701" max="8701" width="9.5703125" hidden="1"/>
    <col min="8702" max="8703" width="8" hidden="1"/>
    <col min="8704" max="8706" width="1.85546875" hidden="1"/>
    <col min="8707" max="8707" width="13.42578125" hidden="1"/>
    <col min="8708" max="8708" width="16.85546875" hidden="1"/>
    <col min="8709" max="8709" width="9.7109375" hidden="1"/>
    <col min="8710" max="8710" width="9.85546875" hidden="1"/>
    <col min="8711" max="8711" width="7.7109375" hidden="1"/>
    <col min="8712" max="8712" width="12.85546875" hidden="1"/>
    <col min="8713" max="8713" width="13.85546875" hidden="1"/>
    <col min="8714" max="8714" width="9.85546875" hidden="1"/>
    <col min="8715" max="8715" width="14.7109375" hidden="1"/>
    <col min="8716" max="8716" width="16.42578125" hidden="1"/>
    <col min="8717" max="8719" width="13.85546875" hidden="1"/>
    <col min="8720" max="8720" width="12.85546875" hidden="1"/>
    <col min="8721" max="8721" width="14.140625" hidden="1"/>
    <col min="8722" max="8722" width="12.28515625" hidden="1"/>
    <col min="8723" max="8724" width="14.42578125" hidden="1"/>
    <col min="8725" max="8725" width="12.85546875" hidden="1"/>
    <col min="8726" max="8726" width="12.28515625" hidden="1"/>
    <col min="8727" max="8727" width="16.7109375" hidden="1"/>
    <col min="8955" max="8955" width="1.85546875" hidden="1"/>
    <col min="8956" max="8956" width="8" hidden="1"/>
    <col min="8957" max="8957" width="9.5703125" hidden="1"/>
    <col min="8958" max="8959" width="8" hidden="1"/>
    <col min="8960" max="8962" width="1.85546875" hidden="1"/>
    <col min="8963" max="8963" width="13.42578125" hidden="1"/>
    <col min="8964" max="8964" width="16.85546875" hidden="1"/>
    <col min="8965" max="8965" width="9.7109375" hidden="1"/>
    <col min="8966" max="8966" width="9.85546875" hidden="1"/>
    <col min="8967" max="8967" width="7.7109375" hidden="1"/>
    <col min="8968" max="8968" width="12.85546875" hidden="1"/>
    <col min="8969" max="8969" width="13.85546875" hidden="1"/>
    <col min="8970" max="8970" width="9.85546875" hidden="1"/>
    <col min="8971" max="8971" width="14.7109375" hidden="1"/>
    <col min="8972" max="8972" width="16.42578125" hidden="1"/>
    <col min="8973" max="8975" width="13.85546875" hidden="1"/>
    <col min="8976" max="8976" width="12.85546875" hidden="1"/>
    <col min="8977" max="8977" width="14.140625" hidden="1"/>
    <col min="8978" max="8978" width="12.28515625" hidden="1"/>
    <col min="8979" max="8980" width="14.42578125" hidden="1"/>
    <col min="8981" max="8981" width="12.85546875" hidden="1"/>
    <col min="8982" max="8982" width="12.28515625" hidden="1"/>
    <col min="8983" max="8983" width="16.7109375" hidden="1"/>
    <col min="9211" max="9211" width="1.85546875" hidden="1"/>
    <col min="9212" max="9212" width="8" hidden="1"/>
    <col min="9213" max="9213" width="9.5703125" hidden="1"/>
    <col min="9214" max="9215" width="8" hidden="1"/>
    <col min="9216" max="9218" width="1.85546875" hidden="1"/>
    <col min="9219" max="9219" width="13.42578125" hidden="1"/>
    <col min="9220" max="9220" width="16.85546875" hidden="1"/>
    <col min="9221" max="9221" width="9.7109375" hidden="1"/>
    <col min="9222" max="9222" width="9.85546875" hidden="1"/>
    <col min="9223" max="9223" width="7.7109375" hidden="1"/>
    <col min="9224" max="9224" width="12.85546875" hidden="1"/>
    <col min="9225" max="9225" width="13.85546875" hidden="1"/>
    <col min="9226" max="9226" width="9.85546875" hidden="1"/>
    <col min="9227" max="9227" width="14.7109375" hidden="1"/>
    <col min="9228" max="9228" width="16.42578125" hidden="1"/>
    <col min="9229" max="9231" width="13.85546875" hidden="1"/>
    <col min="9232" max="9232" width="12.85546875" hidden="1"/>
    <col min="9233" max="9233" width="14.140625" hidden="1"/>
    <col min="9234" max="9234" width="12.28515625" hidden="1"/>
    <col min="9235" max="9236" width="14.42578125" hidden="1"/>
    <col min="9237" max="9237" width="12.85546875" hidden="1"/>
    <col min="9238" max="9238" width="12.28515625" hidden="1"/>
    <col min="9239" max="9239" width="16.7109375" hidden="1"/>
    <col min="9467" max="9467" width="1.85546875" hidden="1"/>
    <col min="9468" max="9468" width="8" hidden="1"/>
    <col min="9469" max="9469" width="9.5703125" hidden="1"/>
    <col min="9470" max="9471" width="8" hidden="1"/>
    <col min="9472" max="9474" width="1.85546875" hidden="1"/>
    <col min="9475" max="9475" width="13.42578125" hidden="1"/>
    <col min="9476" max="9476" width="16.85546875" hidden="1"/>
    <col min="9477" max="9477" width="9.7109375" hidden="1"/>
    <col min="9478" max="9478" width="9.85546875" hidden="1"/>
    <col min="9479" max="9479" width="7.7109375" hidden="1"/>
    <col min="9480" max="9480" width="12.85546875" hidden="1"/>
    <col min="9481" max="9481" width="13.85546875" hidden="1"/>
    <col min="9482" max="9482" width="9.85546875" hidden="1"/>
    <col min="9483" max="9483" width="14.7109375" hidden="1"/>
    <col min="9484" max="9484" width="16.42578125" hidden="1"/>
    <col min="9485" max="9487" width="13.85546875" hidden="1"/>
    <col min="9488" max="9488" width="12.85546875" hidden="1"/>
    <col min="9489" max="9489" width="14.140625" hidden="1"/>
    <col min="9490" max="9490" width="12.28515625" hidden="1"/>
    <col min="9491" max="9492" width="14.42578125" hidden="1"/>
    <col min="9493" max="9493" width="12.85546875" hidden="1"/>
    <col min="9494" max="9494" width="12.28515625" hidden="1"/>
    <col min="9495" max="9495" width="16.7109375" hidden="1"/>
    <col min="9723" max="9723" width="1.85546875" hidden="1"/>
    <col min="9724" max="9724" width="8" hidden="1"/>
    <col min="9725" max="9725" width="9.5703125" hidden="1"/>
    <col min="9726" max="9727" width="8" hidden="1"/>
    <col min="9728" max="9730" width="1.85546875" hidden="1"/>
    <col min="9731" max="9731" width="13.42578125" hidden="1"/>
    <col min="9732" max="9732" width="16.85546875" hidden="1"/>
    <col min="9733" max="9733" width="9.7109375" hidden="1"/>
    <col min="9734" max="9734" width="9.85546875" hidden="1"/>
    <col min="9735" max="9735" width="7.7109375" hidden="1"/>
    <col min="9736" max="9736" width="12.85546875" hidden="1"/>
    <col min="9737" max="9737" width="13.85546875" hidden="1"/>
    <col min="9738" max="9738" width="9.85546875" hidden="1"/>
    <col min="9739" max="9739" width="14.7109375" hidden="1"/>
    <col min="9740" max="9740" width="16.42578125" hidden="1"/>
    <col min="9741" max="9743" width="13.85546875" hidden="1"/>
    <col min="9744" max="9744" width="12.85546875" hidden="1"/>
    <col min="9745" max="9745" width="14.140625" hidden="1"/>
    <col min="9746" max="9746" width="12.28515625" hidden="1"/>
    <col min="9747" max="9748" width="14.42578125" hidden="1"/>
    <col min="9749" max="9749" width="12.85546875" hidden="1"/>
    <col min="9750" max="9750" width="12.28515625" hidden="1"/>
    <col min="9751" max="9751" width="16.7109375" hidden="1"/>
    <col min="9979" max="9979" width="1.85546875" hidden="1"/>
    <col min="9980" max="9980" width="8" hidden="1"/>
    <col min="9981" max="9981" width="9.5703125" hidden="1"/>
    <col min="9982" max="9983" width="8" hidden="1"/>
    <col min="9984" max="9986" width="1.85546875" hidden="1"/>
    <col min="9987" max="9987" width="13.42578125" hidden="1"/>
    <col min="9988" max="9988" width="16.85546875" hidden="1"/>
    <col min="9989" max="9989" width="9.7109375" hidden="1"/>
    <col min="9990" max="9990" width="9.85546875" hidden="1"/>
    <col min="9991" max="9991" width="7.7109375" hidden="1"/>
    <col min="9992" max="9992" width="12.85546875" hidden="1"/>
    <col min="9993" max="9993" width="13.85546875" hidden="1"/>
    <col min="9994" max="9994" width="9.85546875" hidden="1"/>
    <col min="9995" max="9995" width="14.7109375" hidden="1"/>
    <col min="9996" max="9996" width="16.42578125" hidden="1"/>
    <col min="9997" max="9999" width="13.85546875" hidden="1"/>
    <col min="10000" max="10000" width="12.85546875" hidden="1"/>
    <col min="10001" max="10001" width="14.140625" hidden="1"/>
    <col min="10002" max="10002" width="12.28515625" hidden="1"/>
    <col min="10003" max="10004" width="14.42578125" hidden="1"/>
    <col min="10005" max="10005" width="12.85546875" hidden="1"/>
    <col min="10006" max="10006" width="12.28515625" hidden="1"/>
    <col min="10007" max="10007" width="16.7109375" hidden="1"/>
    <col min="10235" max="10235" width="1.85546875" hidden="1"/>
    <col min="10236" max="10236" width="8" hidden="1"/>
    <col min="10237" max="10237" width="9.5703125" hidden="1"/>
    <col min="10238" max="10239" width="8" hidden="1"/>
    <col min="10240" max="10242" width="1.85546875" hidden="1"/>
    <col min="10243" max="10243" width="13.42578125" hidden="1"/>
    <col min="10244" max="10244" width="16.85546875" hidden="1"/>
    <col min="10245" max="10245" width="9.7109375" hidden="1"/>
    <col min="10246" max="10246" width="9.85546875" hidden="1"/>
    <col min="10247" max="10247" width="7.7109375" hidden="1"/>
    <col min="10248" max="10248" width="12.85546875" hidden="1"/>
    <col min="10249" max="10249" width="13.85546875" hidden="1"/>
    <col min="10250" max="10250" width="9.85546875" hidden="1"/>
    <col min="10251" max="10251" width="14.7109375" hidden="1"/>
    <col min="10252" max="10252" width="16.42578125" hidden="1"/>
    <col min="10253" max="10255" width="13.85546875" hidden="1"/>
    <col min="10256" max="10256" width="12.85546875" hidden="1"/>
    <col min="10257" max="10257" width="14.140625" hidden="1"/>
    <col min="10258" max="10258" width="12.28515625" hidden="1"/>
    <col min="10259" max="10260" width="14.42578125" hidden="1"/>
    <col min="10261" max="10261" width="12.85546875" hidden="1"/>
    <col min="10262" max="10262" width="12.28515625" hidden="1"/>
    <col min="10263" max="10263" width="16.7109375" hidden="1"/>
    <col min="10491" max="10491" width="1.85546875" hidden="1"/>
    <col min="10492" max="10492" width="8" hidden="1"/>
    <col min="10493" max="10493" width="9.5703125" hidden="1"/>
    <col min="10494" max="10495" width="8" hidden="1"/>
    <col min="10496" max="10498" width="1.85546875" hidden="1"/>
    <col min="10499" max="10499" width="13.42578125" hidden="1"/>
    <col min="10500" max="10500" width="16.85546875" hidden="1"/>
    <col min="10501" max="10501" width="9.7109375" hidden="1"/>
    <col min="10502" max="10502" width="9.85546875" hidden="1"/>
    <col min="10503" max="10503" width="7.7109375" hidden="1"/>
    <col min="10504" max="10504" width="12.85546875" hidden="1"/>
    <col min="10505" max="10505" width="13.85546875" hidden="1"/>
    <col min="10506" max="10506" width="9.85546875" hidden="1"/>
    <col min="10507" max="10507" width="14.7109375" hidden="1"/>
    <col min="10508" max="10508" width="16.42578125" hidden="1"/>
    <col min="10509" max="10511" width="13.85546875" hidden="1"/>
    <col min="10512" max="10512" width="12.85546875" hidden="1"/>
    <col min="10513" max="10513" width="14.140625" hidden="1"/>
    <col min="10514" max="10514" width="12.28515625" hidden="1"/>
    <col min="10515" max="10516" width="14.42578125" hidden="1"/>
    <col min="10517" max="10517" width="12.85546875" hidden="1"/>
    <col min="10518" max="10518" width="12.28515625" hidden="1"/>
    <col min="10519" max="10519" width="16.7109375" hidden="1"/>
    <col min="10747" max="10747" width="1.85546875" hidden="1"/>
    <col min="10748" max="10748" width="8" hidden="1"/>
    <col min="10749" max="10749" width="9.5703125" hidden="1"/>
    <col min="10750" max="10751" width="8" hidden="1"/>
    <col min="10752" max="10754" width="1.85546875" hidden="1"/>
    <col min="10755" max="10755" width="13.42578125" hidden="1"/>
    <col min="10756" max="10756" width="16.85546875" hidden="1"/>
    <col min="10757" max="10757" width="9.7109375" hidden="1"/>
    <col min="10758" max="10758" width="9.85546875" hidden="1"/>
    <col min="10759" max="10759" width="7.7109375" hidden="1"/>
    <col min="10760" max="10760" width="12.85546875" hidden="1"/>
    <col min="10761" max="10761" width="13.85546875" hidden="1"/>
    <col min="10762" max="10762" width="9.85546875" hidden="1"/>
    <col min="10763" max="10763" width="14.7109375" hidden="1"/>
    <col min="10764" max="10764" width="16.42578125" hidden="1"/>
    <col min="10765" max="10767" width="13.85546875" hidden="1"/>
    <col min="10768" max="10768" width="12.85546875" hidden="1"/>
    <col min="10769" max="10769" width="14.140625" hidden="1"/>
    <col min="10770" max="10770" width="12.28515625" hidden="1"/>
    <col min="10771" max="10772" width="14.42578125" hidden="1"/>
    <col min="10773" max="10773" width="12.85546875" hidden="1"/>
    <col min="10774" max="10774" width="12.28515625" hidden="1"/>
    <col min="10775" max="10775" width="16.7109375" hidden="1"/>
    <col min="11003" max="11003" width="1.85546875" hidden="1"/>
    <col min="11004" max="11004" width="8" hidden="1"/>
    <col min="11005" max="11005" width="9.5703125" hidden="1"/>
    <col min="11006" max="11007" width="8" hidden="1"/>
    <col min="11008" max="11010" width="1.85546875" hidden="1"/>
    <col min="11011" max="11011" width="13.42578125" hidden="1"/>
    <col min="11012" max="11012" width="16.85546875" hidden="1"/>
    <col min="11013" max="11013" width="9.7109375" hidden="1"/>
    <col min="11014" max="11014" width="9.85546875" hidden="1"/>
    <col min="11015" max="11015" width="7.7109375" hidden="1"/>
    <col min="11016" max="11016" width="12.85546875" hidden="1"/>
    <col min="11017" max="11017" width="13.85546875" hidden="1"/>
    <col min="11018" max="11018" width="9.85546875" hidden="1"/>
    <col min="11019" max="11019" width="14.7109375" hidden="1"/>
    <col min="11020" max="11020" width="16.42578125" hidden="1"/>
    <col min="11021" max="11023" width="13.85546875" hidden="1"/>
    <col min="11024" max="11024" width="12.85546875" hidden="1"/>
    <col min="11025" max="11025" width="14.140625" hidden="1"/>
    <col min="11026" max="11026" width="12.28515625" hidden="1"/>
    <col min="11027" max="11028" width="14.42578125" hidden="1"/>
    <col min="11029" max="11029" width="12.85546875" hidden="1"/>
    <col min="11030" max="11030" width="12.28515625" hidden="1"/>
    <col min="11031" max="11031" width="16.7109375" hidden="1"/>
    <col min="11259" max="11259" width="1.85546875" hidden="1"/>
    <col min="11260" max="11260" width="8" hidden="1"/>
    <col min="11261" max="11261" width="9.5703125" hidden="1"/>
    <col min="11262" max="11263" width="8" hidden="1"/>
    <col min="11264" max="11266" width="1.85546875" hidden="1"/>
    <col min="11267" max="11267" width="13.42578125" hidden="1"/>
    <col min="11268" max="11268" width="16.85546875" hidden="1"/>
    <col min="11269" max="11269" width="9.7109375" hidden="1"/>
    <col min="11270" max="11270" width="9.85546875" hidden="1"/>
    <col min="11271" max="11271" width="7.7109375" hidden="1"/>
    <col min="11272" max="11272" width="12.85546875" hidden="1"/>
    <col min="11273" max="11273" width="13.85546875" hidden="1"/>
    <col min="11274" max="11274" width="9.85546875" hidden="1"/>
    <col min="11275" max="11275" width="14.7109375" hidden="1"/>
    <col min="11276" max="11276" width="16.42578125" hidden="1"/>
    <col min="11277" max="11279" width="13.85546875" hidden="1"/>
    <col min="11280" max="11280" width="12.85546875" hidden="1"/>
    <col min="11281" max="11281" width="14.140625" hidden="1"/>
    <col min="11282" max="11282" width="12.28515625" hidden="1"/>
    <col min="11283" max="11284" width="14.42578125" hidden="1"/>
    <col min="11285" max="11285" width="12.85546875" hidden="1"/>
    <col min="11286" max="11286" width="12.28515625" hidden="1"/>
    <col min="11287" max="11287" width="16.7109375" hidden="1"/>
    <col min="11515" max="11515" width="1.85546875" hidden="1"/>
    <col min="11516" max="11516" width="8" hidden="1"/>
    <col min="11517" max="11517" width="9.5703125" hidden="1"/>
    <col min="11518" max="11519" width="8" hidden="1"/>
    <col min="11520" max="11522" width="1.85546875" hidden="1"/>
    <col min="11523" max="11523" width="13.42578125" hidden="1"/>
    <col min="11524" max="11524" width="16.85546875" hidden="1"/>
    <col min="11525" max="11525" width="9.7109375" hidden="1"/>
    <col min="11526" max="11526" width="9.85546875" hidden="1"/>
    <col min="11527" max="11527" width="7.7109375" hidden="1"/>
    <col min="11528" max="11528" width="12.85546875" hidden="1"/>
    <col min="11529" max="11529" width="13.85546875" hidden="1"/>
    <col min="11530" max="11530" width="9.85546875" hidden="1"/>
    <col min="11531" max="11531" width="14.7109375" hidden="1"/>
    <col min="11532" max="11532" width="16.42578125" hidden="1"/>
    <col min="11533" max="11535" width="13.85546875" hidden="1"/>
    <col min="11536" max="11536" width="12.85546875" hidden="1"/>
    <col min="11537" max="11537" width="14.140625" hidden="1"/>
    <col min="11538" max="11538" width="12.28515625" hidden="1"/>
    <col min="11539" max="11540" width="14.42578125" hidden="1"/>
    <col min="11541" max="11541" width="12.85546875" hidden="1"/>
    <col min="11542" max="11542" width="12.28515625" hidden="1"/>
    <col min="11543" max="11543" width="16.7109375" hidden="1"/>
    <col min="11771" max="11771" width="1.85546875" hidden="1"/>
    <col min="11772" max="11772" width="8" hidden="1"/>
    <col min="11773" max="11773" width="9.5703125" hidden="1"/>
    <col min="11774" max="11775" width="8" hidden="1"/>
    <col min="11776" max="11778" width="1.85546875" hidden="1"/>
    <col min="11779" max="11779" width="13.42578125" hidden="1"/>
    <col min="11780" max="11780" width="16.85546875" hidden="1"/>
    <col min="11781" max="11781" width="9.7109375" hidden="1"/>
    <col min="11782" max="11782" width="9.85546875" hidden="1"/>
    <col min="11783" max="11783" width="7.7109375" hidden="1"/>
    <col min="11784" max="11784" width="12.85546875" hidden="1"/>
    <col min="11785" max="11785" width="13.85546875" hidden="1"/>
    <col min="11786" max="11786" width="9.85546875" hidden="1"/>
    <col min="11787" max="11787" width="14.7109375" hidden="1"/>
    <col min="11788" max="11788" width="16.42578125" hidden="1"/>
    <col min="11789" max="11791" width="13.85546875" hidden="1"/>
    <col min="11792" max="11792" width="12.85546875" hidden="1"/>
    <col min="11793" max="11793" width="14.140625" hidden="1"/>
    <col min="11794" max="11794" width="12.28515625" hidden="1"/>
    <col min="11795" max="11796" width="14.42578125" hidden="1"/>
    <col min="11797" max="11797" width="12.85546875" hidden="1"/>
    <col min="11798" max="11798" width="12.28515625" hidden="1"/>
    <col min="11799" max="11799" width="16.7109375" hidden="1"/>
    <col min="12027" max="12027" width="1.85546875" hidden="1"/>
    <col min="12028" max="12028" width="8" hidden="1"/>
    <col min="12029" max="12029" width="9.5703125" hidden="1"/>
    <col min="12030" max="12031" width="8" hidden="1"/>
    <col min="12032" max="12034" width="1.85546875" hidden="1"/>
    <col min="12035" max="12035" width="13.42578125" hidden="1"/>
    <col min="12036" max="12036" width="16.85546875" hidden="1"/>
    <col min="12037" max="12037" width="9.7109375" hidden="1"/>
    <col min="12038" max="12038" width="9.85546875" hidden="1"/>
    <col min="12039" max="12039" width="7.7109375" hidden="1"/>
    <col min="12040" max="12040" width="12.85546875" hidden="1"/>
    <col min="12041" max="12041" width="13.85546875" hidden="1"/>
    <col min="12042" max="12042" width="9.85546875" hidden="1"/>
    <col min="12043" max="12043" width="14.7109375" hidden="1"/>
    <col min="12044" max="12044" width="16.42578125" hidden="1"/>
    <col min="12045" max="12047" width="13.85546875" hidden="1"/>
    <col min="12048" max="12048" width="12.85546875" hidden="1"/>
    <col min="12049" max="12049" width="14.140625" hidden="1"/>
    <col min="12050" max="12050" width="12.28515625" hidden="1"/>
    <col min="12051" max="12052" width="14.42578125" hidden="1"/>
    <col min="12053" max="12053" width="12.85546875" hidden="1"/>
    <col min="12054" max="12054" width="12.28515625" hidden="1"/>
    <col min="12055" max="12055" width="16.7109375" hidden="1"/>
    <col min="12283" max="12283" width="1.85546875" hidden="1"/>
    <col min="12284" max="12284" width="8" hidden="1"/>
    <col min="12285" max="12285" width="9.5703125" hidden="1"/>
    <col min="12286" max="12287" width="8" hidden="1"/>
    <col min="12288" max="12290" width="1.85546875" hidden="1"/>
    <col min="12291" max="12291" width="13.42578125" hidden="1"/>
    <col min="12292" max="12292" width="16.85546875" hidden="1"/>
    <col min="12293" max="12293" width="9.7109375" hidden="1"/>
    <col min="12294" max="12294" width="9.85546875" hidden="1"/>
    <col min="12295" max="12295" width="7.7109375" hidden="1"/>
    <col min="12296" max="12296" width="12.85546875" hidden="1"/>
    <col min="12297" max="12297" width="13.85546875" hidden="1"/>
    <col min="12298" max="12298" width="9.85546875" hidden="1"/>
    <col min="12299" max="12299" width="14.7109375" hidden="1"/>
    <col min="12300" max="12300" width="16.42578125" hidden="1"/>
    <col min="12301" max="12303" width="13.85546875" hidden="1"/>
    <col min="12304" max="12304" width="12.85546875" hidden="1"/>
    <col min="12305" max="12305" width="14.140625" hidden="1"/>
    <col min="12306" max="12306" width="12.28515625" hidden="1"/>
    <col min="12307" max="12308" width="14.42578125" hidden="1"/>
    <col min="12309" max="12309" width="12.85546875" hidden="1"/>
    <col min="12310" max="12310" width="12.28515625" hidden="1"/>
    <col min="12311" max="12311" width="16.7109375" hidden="1"/>
    <col min="12539" max="12539" width="1.85546875" hidden="1"/>
    <col min="12540" max="12540" width="8" hidden="1"/>
    <col min="12541" max="12541" width="9.5703125" hidden="1"/>
    <col min="12542" max="12543" width="8" hidden="1"/>
    <col min="12544" max="12546" width="1.85546875" hidden="1"/>
    <col min="12547" max="12547" width="13.42578125" hidden="1"/>
    <col min="12548" max="12548" width="16.85546875" hidden="1"/>
    <col min="12549" max="12549" width="9.7109375" hidden="1"/>
    <col min="12550" max="12550" width="9.85546875" hidden="1"/>
    <col min="12551" max="12551" width="7.7109375" hidden="1"/>
    <col min="12552" max="12552" width="12.85546875" hidden="1"/>
    <col min="12553" max="12553" width="13.85546875" hidden="1"/>
    <col min="12554" max="12554" width="9.85546875" hidden="1"/>
    <col min="12555" max="12555" width="14.7109375" hidden="1"/>
    <col min="12556" max="12556" width="16.42578125" hidden="1"/>
    <col min="12557" max="12559" width="13.85546875" hidden="1"/>
    <col min="12560" max="12560" width="12.85546875" hidden="1"/>
    <col min="12561" max="12561" width="14.140625" hidden="1"/>
    <col min="12562" max="12562" width="12.28515625" hidden="1"/>
    <col min="12563" max="12564" width="14.42578125" hidden="1"/>
    <col min="12565" max="12565" width="12.85546875" hidden="1"/>
    <col min="12566" max="12566" width="12.28515625" hidden="1"/>
    <col min="12567" max="12567" width="16.7109375" hidden="1"/>
    <col min="12795" max="12795" width="1.85546875" hidden="1"/>
    <col min="12796" max="12796" width="8" hidden="1"/>
    <col min="12797" max="12797" width="9.5703125" hidden="1"/>
    <col min="12798" max="12799" width="8" hidden="1"/>
    <col min="12800" max="12802" width="1.85546875" hidden="1"/>
    <col min="12803" max="12803" width="13.42578125" hidden="1"/>
    <col min="12804" max="12804" width="16.85546875" hidden="1"/>
    <col min="12805" max="12805" width="9.7109375" hidden="1"/>
    <col min="12806" max="12806" width="9.85546875" hidden="1"/>
    <col min="12807" max="12807" width="7.7109375" hidden="1"/>
    <col min="12808" max="12808" width="12.85546875" hidden="1"/>
    <col min="12809" max="12809" width="13.85546875" hidden="1"/>
    <col min="12810" max="12810" width="9.85546875" hidden="1"/>
    <col min="12811" max="12811" width="14.7109375" hidden="1"/>
    <col min="12812" max="12812" width="16.42578125" hidden="1"/>
    <col min="12813" max="12815" width="13.85546875" hidden="1"/>
    <col min="12816" max="12816" width="12.85546875" hidden="1"/>
    <col min="12817" max="12817" width="14.140625" hidden="1"/>
    <col min="12818" max="12818" width="12.28515625" hidden="1"/>
    <col min="12819" max="12820" width="14.42578125" hidden="1"/>
    <col min="12821" max="12821" width="12.85546875" hidden="1"/>
    <col min="12822" max="12822" width="12.28515625" hidden="1"/>
    <col min="12823" max="12823" width="16.7109375" hidden="1"/>
    <col min="13051" max="13051" width="1.85546875" hidden="1"/>
    <col min="13052" max="13052" width="8" hidden="1"/>
    <col min="13053" max="13053" width="9.5703125" hidden="1"/>
    <col min="13054" max="13055" width="8" hidden="1"/>
    <col min="13056" max="13058" width="1.85546875" hidden="1"/>
    <col min="13059" max="13059" width="13.42578125" hidden="1"/>
    <col min="13060" max="13060" width="16.85546875" hidden="1"/>
    <col min="13061" max="13061" width="9.7109375" hidden="1"/>
    <col min="13062" max="13062" width="9.85546875" hidden="1"/>
    <col min="13063" max="13063" width="7.7109375" hidden="1"/>
    <col min="13064" max="13064" width="12.85546875" hidden="1"/>
    <col min="13065" max="13065" width="13.85546875" hidden="1"/>
    <col min="13066" max="13066" width="9.85546875" hidden="1"/>
    <col min="13067" max="13067" width="14.7109375" hidden="1"/>
    <col min="13068" max="13068" width="16.42578125" hidden="1"/>
    <col min="13069" max="13071" width="13.85546875" hidden="1"/>
    <col min="13072" max="13072" width="12.85546875" hidden="1"/>
    <col min="13073" max="13073" width="14.140625" hidden="1"/>
    <col min="13074" max="13074" width="12.28515625" hidden="1"/>
    <col min="13075" max="13076" width="14.42578125" hidden="1"/>
    <col min="13077" max="13077" width="12.85546875" hidden="1"/>
    <col min="13078" max="13078" width="12.28515625" hidden="1"/>
    <col min="13079" max="13079" width="16.7109375" hidden="1"/>
    <col min="13307" max="13307" width="1.85546875" hidden="1"/>
    <col min="13308" max="13308" width="8" hidden="1"/>
    <col min="13309" max="13309" width="9.5703125" hidden="1"/>
    <col min="13310" max="13311" width="8" hidden="1"/>
    <col min="13312" max="13314" width="1.85546875" hidden="1"/>
    <col min="13315" max="13315" width="13.42578125" hidden="1"/>
    <col min="13316" max="13316" width="16.85546875" hidden="1"/>
    <col min="13317" max="13317" width="9.7109375" hidden="1"/>
    <col min="13318" max="13318" width="9.85546875" hidden="1"/>
    <col min="13319" max="13319" width="7.7109375" hidden="1"/>
    <col min="13320" max="13320" width="12.85546875" hidden="1"/>
    <col min="13321" max="13321" width="13.85546875" hidden="1"/>
    <col min="13322" max="13322" width="9.85546875" hidden="1"/>
    <col min="13323" max="13323" width="14.7109375" hidden="1"/>
    <col min="13324" max="13324" width="16.42578125" hidden="1"/>
    <col min="13325" max="13327" width="13.85546875" hidden="1"/>
    <col min="13328" max="13328" width="12.85546875" hidden="1"/>
    <col min="13329" max="13329" width="14.140625" hidden="1"/>
    <col min="13330" max="13330" width="12.28515625" hidden="1"/>
    <col min="13331" max="13332" width="14.42578125" hidden="1"/>
    <col min="13333" max="13333" width="12.85546875" hidden="1"/>
    <col min="13334" max="13334" width="12.28515625" hidden="1"/>
    <col min="13335" max="13335" width="16.7109375" hidden="1"/>
    <col min="13563" max="13563" width="1.85546875" hidden="1"/>
    <col min="13564" max="13564" width="8" hidden="1"/>
    <col min="13565" max="13565" width="9.5703125" hidden="1"/>
    <col min="13566" max="13567" width="8" hidden="1"/>
    <col min="13568" max="13570" width="1.85546875" hidden="1"/>
    <col min="13571" max="13571" width="13.42578125" hidden="1"/>
    <col min="13572" max="13572" width="16.85546875" hidden="1"/>
    <col min="13573" max="13573" width="9.7109375" hidden="1"/>
    <col min="13574" max="13574" width="9.85546875" hidden="1"/>
    <col min="13575" max="13575" width="7.7109375" hidden="1"/>
    <col min="13576" max="13576" width="12.85546875" hidden="1"/>
    <col min="13577" max="13577" width="13.85546875" hidden="1"/>
    <col min="13578" max="13578" width="9.85546875" hidden="1"/>
    <col min="13579" max="13579" width="14.7109375" hidden="1"/>
    <col min="13580" max="13580" width="16.42578125" hidden="1"/>
    <col min="13581" max="13583" width="13.85546875" hidden="1"/>
    <col min="13584" max="13584" width="12.85546875" hidden="1"/>
    <col min="13585" max="13585" width="14.140625" hidden="1"/>
    <col min="13586" max="13586" width="12.28515625" hidden="1"/>
    <col min="13587" max="13588" width="14.42578125" hidden="1"/>
    <col min="13589" max="13589" width="12.85546875" hidden="1"/>
    <col min="13590" max="13590" width="12.28515625" hidden="1"/>
    <col min="13591" max="13591" width="16.7109375" hidden="1"/>
    <col min="13819" max="13819" width="1.85546875" hidden="1"/>
    <col min="13820" max="13820" width="8" hidden="1"/>
    <col min="13821" max="13821" width="9.5703125" hidden="1"/>
    <col min="13822" max="13823" width="8" hidden="1"/>
    <col min="13824" max="13826" width="1.85546875" hidden="1"/>
    <col min="13827" max="13827" width="13.42578125" hidden="1"/>
    <col min="13828" max="13828" width="16.85546875" hidden="1"/>
    <col min="13829" max="13829" width="9.7109375" hidden="1"/>
    <col min="13830" max="13830" width="9.85546875" hidden="1"/>
    <col min="13831" max="13831" width="7.7109375" hidden="1"/>
    <col min="13832" max="13832" width="12.85546875" hidden="1"/>
    <col min="13833" max="13833" width="13.85546875" hidden="1"/>
    <col min="13834" max="13834" width="9.85546875" hidden="1"/>
    <col min="13835" max="13835" width="14.7109375" hidden="1"/>
    <col min="13836" max="13836" width="16.42578125" hidden="1"/>
    <col min="13837" max="13839" width="13.85546875" hidden="1"/>
    <col min="13840" max="13840" width="12.85546875" hidden="1"/>
    <col min="13841" max="13841" width="14.140625" hidden="1"/>
    <col min="13842" max="13842" width="12.28515625" hidden="1"/>
    <col min="13843" max="13844" width="14.42578125" hidden="1"/>
    <col min="13845" max="13845" width="12.85546875" hidden="1"/>
    <col min="13846" max="13846" width="12.28515625" hidden="1"/>
    <col min="13847" max="13847" width="16.7109375" hidden="1"/>
    <col min="14075" max="14075" width="1.85546875" hidden="1"/>
    <col min="14076" max="14076" width="8" hidden="1"/>
    <col min="14077" max="14077" width="9.5703125" hidden="1"/>
    <col min="14078" max="14079" width="8" hidden="1"/>
    <col min="14080" max="14082" width="1.85546875" hidden="1"/>
    <col min="14083" max="14083" width="13.42578125" hidden="1"/>
    <col min="14084" max="14084" width="16.85546875" hidden="1"/>
    <col min="14085" max="14085" width="9.7109375" hidden="1"/>
    <col min="14086" max="14086" width="9.85546875" hidden="1"/>
    <col min="14087" max="14087" width="7.7109375" hidden="1"/>
    <col min="14088" max="14088" width="12.85546875" hidden="1"/>
    <col min="14089" max="14089" width="13.85546875" hidden="1"/>
    <col min="14090" max="14090" width="9.85546875" hidden="1"/>
    <col min="14091" max="14091" width="14.7109375" hidden="1"/>
    <col min="14092" max="14092" width="16.42578125" hidden="1"/>
    <col min="14093" max="14095" width="13.85546875" hidden="1"/>
    <col min="14096" max="14096" width="12.85546875" hidden="1"/>
    <col min="14097" max="14097" width="14.140625" hidden="1"/>
    <col min="14098" max="14098" width="12.28515625" hidden="1"/>
    <col min="14099" max="14100" width="14.42578125" hidden="1"/>
    <col min="14101" max="14101" width="12.85546875" hidden="1"/>
    <col min="14102" max="14102" width="12.28515625" hidden="1"/>
    <col min="14103" max="14103" width="16.7109375" hidden="1"/>
    <col min="14331" max="14331" width="1.85546875" hidden="1"/>
    <col min="14332" max="14332" width="8" hidden="1"/>
    <col min="14333" max="14333" width="9.5703125" hidden="1"/>
    <col min="14334" max="14335" width="8" hidden="1"/>
    <col min="14336" max="14338" width="1.85546875" hidden="1"/>
    <col min="14339" max="14339" width="13.42578125" hidden="1"/>
    <col min="14340" max="14340" width="16.85546875" hidden="1"/>
    <col min="14341" max="14341" width="9.7109375" hidden="1"/>
    <col min="14342" max="14342" width="9.85546875" hidden="1"/>
    <col min="14343" max="14343" width="7.7109375" hidden="1"/>
    <col min="14344" max="14344" width="12.85546875" hidden="1"/>
    <col min="14345" max="14345" width="13.85546875" hidden="1"/>
    <col min="14346" max="14346" width="9.85546875" hidden="1"/>
    <col min="14347" max="14347" width="14.7109375" hidden="1"/>
    <col min="14348" max="14348" width="16.42578125" hidden="1"/>
    <col min="14349" max="14351" width="13.85546875" hidden="1"/>
    <col min="14352" max="14352" width="12.85546875" hidden="1"/>
    <col min="14353" max="14353" width="14.140625" hidden="1"/>
    <col min="14354" max="14354" width="12.28515625" hidden="1"/>
    <col min="14355" max="14356" width="14.42578125" hidden="1"/>
    <col min="14357" max="14357" width="12.85546875" hidden="1"/>
    <col min="14358" max="14358" width="12.28515625" hidden="1"/>
    <col min="14359" max="14359" width="16.7109375" hidden="1"/>
    <col min="14587" max="14587" width="1.85546875" hidden="1"/>
    <col min="14588" max="14588" width="8" hidden="1"/>
    <col min="14589" max="14589" width="9.5703125" hidden="1"/>
    <col min="14590" max="14591" width="8" hidden="1"/>
    <col min="14592" max="14594" width="1.85546875" hidden="1"/>
    <col min="14595" max="14595" width="13.42578125" hidden="1"/>
    <col min="14596" max="14596" width="16.85546875" hidden="1"/>
    <col min="14597" max="14597" width="9.7109375" hidden="1"/>
    <col min="14598" max="14598" width="9.85546875" hidden="1"/>
    <col min="14599" max="14599" width="7.7109375" hidden="1"/>
    <col min="14600" max="14600" width="12.85546875" hidden="1"/>
    <col min="14601" max="14601" width="13.85546875" hidden="1"/>
    <col min="14602" max="14602" width="9.85546875" hidden="1"/>
    <col min="14603" max="14603" width="14.7109375" hidden="1"/>
    <col min="14604" max="14604" width="16.42578125" hidden="1"/>
    <col min="14605" max="14607" width="13.85546875" hidden="1"/>
    <col min="14608" max="14608" width="12.85546875" hidden="1"/>
    <col min="14609" max="14609" width="14.140625" hidden="1"/>
    <col min="14610" max="14610" width="12.28515625" hidden="1"/>
    <col min="14611" max="14612" width="14.42578125" hidden="1"/>
    <col min="14613" max="14613" width="12.85546875" hidden="1"/>
    <col min="14614" max="14614" width="12.28515625" hidden="1"/>
    <col min="14615" max="14615" width="16.7109375" hidden="1"/>
    <col min="14843" max="14843" width="1.85546875" hidden="1"/>
    <col min="14844" max="14844" width="8" hidden="1"/>
    <col min="14845" max="14845" width="9.5703125" hidden="1"/>
    <col min="14846" max="14847" width="8" hidden="1"/>
    <col min="14848" max="14850" width="1.85546875" hidden="1"/>
    <col min="14851" max="14851" width="13.42578125" hidden="1"/>
    <col min="14852" max="14852" width="16.85546875" hidden="1"/>
    <col min="14853" max="14853" width="9.7109375" hidden="1"/>
    <col min="14854" max="14854" width="9.85546875" hidden="1"/>
    <col min="14855" max="14855" width="7.7109375" hidden="1"/>
    <col min="14856" max="14856" width="12.85546875" hidden="1"/>
    <col min="14857" max="14857" width="13.85546875" hidden="1"/>
    <col min="14858" max="14858" width="9.85546875" hidden="1"/>
    <col min="14859" max="14859" width="14.7109375" hidden="1"/>
    <col min="14860" max="14860" width="16.42578125" hidden="1"/>
    <col min="14861" max="14863" width="13.85546875" hidden="1"/>
    <col min="14864" max="14864" width="12.85546875" hidden="1"/>
    <col min="14865" max="14865" width="14.140625" hidden="1"/>
    <col min="14866" max="14866" width="12.28515625" hidden="1"/>
    <col min="14867" max="14868" width="14.42578125" hidden="1"/>
    <col min="14869" max="14869" width="12.85546875" hidden="1"/>
    <col min="14870" max="14870" width="12.28515625" hidden="1"/>
    <col min="14871" max="14871" width="16.7109375" hidden="1"/>
    <col min="15099" max="15099" width="1.85546875" hidden="1"/>
    <col min="15100" max="15100" width="8" hidden="1"/>
    <col min="15101" max="15101" width="9.5703125" hidden="1"/>
    <col min="15102" max="15103" width="8" hidden="1"/>
    <col min="15104" max="15106" width="1.85546875" hidden="1"/>
    <col min="15107" max="15107" width="13.42578125" hidden="1"/>
    <col min="15108" max="15108" width="16.85546875" hidden="1"/>
    <col min="15109" max="15109" width="9.7109375" hidden="1"/>
    <col min="15110" max="15110" width="9.85546875" hidden="1"/>
    <col min="15111" max="15111" width="7.7109375" hidden="1"/>
    <col min="15112" max="15112" width="12.85546875" hidden="1"/>
    <col min="15113" max="15113" width="13.85546875" hidden="1"/>
    <col min="15114" max="15114" width="9.85546875" hidden="1"/>
    <col min="15115" max="15115" width="14.7109375" hidden="1"/>
    <col min="15116" max="15116" width="16.42578125" hidden="1"/>
    <col min="15117" max="15119" width="13.85546875" hidden="1"/>
    <col min="15120" max="15120" width="12.85546875" hidden="1"/>
    <col min="15121" max="15121" width="14.140625" hidden="1"/>
    <col min="15122" max="15122" width="12.28515625" hidden="1"/>
    <col min="15123" max="15124" width="14.42578125" hidden="1"/>
    <col min="15125" max="15125" width="12.85546875" hidden="1"/>
    <col min="15126" max="15126" width="12.28515625" hidden="1"/>
    <col min="15127" max="15127" width="16.7109375" hidden="1"/>
    <col min="15355" max="15355" width="1.85546875" hidden="1"/>
    <col min="15356" max="15356" width="8" hidden="1"/>
    <col min="15357" max="15357" width="9.5703125" hidden="1"/>
    <col min="15358" max="15359" width="8" hidden="1"/>
    <col min="15360" max="15362" width="1.85546875" hidden="1"/>
    <col min="15363" max="15363" width="13.42578125" hidden="1"/>
    <col min="15364" max="15364" width="16.85546875" hidden="1"/>
    <col min="15365" max="15365" width="9.7109375" hidden="1"/>
    <col min="15366" max="15366" width="9.85546875" hidden="1"/>
    <col min="15367" max="15367" width="7.7109375" hidden="1"/>
    <col min="15368" max="15368" width="12.85546875" hidden="1"/>
    <col min="15369" max="15369" width="13.85546875" hidden="1"/>
    <col min="15370" max="15370" width="9.85546875" hidden="1"/>
    <col min="15371" max="15371" width="14.7109375" hidden="1"/>
    <col min="15372" max="15372" width="16.42578125" hidden="1"/>
    <col min="15373" max="15375" width="13.85546875" hidden="1"/>
    <col min="15376" max="15376" width="12.85546875" hidden="1"/>
    <col min="15377" max="15377" width="14.140625" hidden="1"/>
    <col min="15378" max="15378" width="12.28515625" hidden="1"/>
    <col min="15379" max="15380" width="14.42578125" hidden="1"/>
    <col min="15381" max="15381" width="12.85546875" hidden="1"/>
    <col min="15382" max="15382" width="12.28515625" hidden="1"/>
    <col min="15383" max="15383" width="16.7109375" hidden="1"/>
    <col min="15611" max="15611" width="1.85546875" hidden="1"/>
    <col min="15612" max="15612" width="8" hidden="1"/>
    <col min="15613" max="15613" width="9.5703125" hidden="1"/>
    <col min="15614" max="15615" width="8" hidden="1"/>
    <col min="15616" max="15618" width="1.85546875" hidden="1"/>
    <col min="15619" max="15619" width="13.42578125" hidden="1"/>
    <col min="15620" max="15620" width="16.85546875" hidden="1"/>
    <col min="15621" max="15621" width="9.7109375" hidden="1"/>
    <col min="15622" max="15622" width="9.85546875" hidden="1"/>
    <col min="15623" max="15623" width="7.7109375" hidden="1"/>
    <col min="15624" max="15624" width="12.85546875" hidden="1"/>
    <col min="15625" max="15625" width="13.85546875" hidden="1"/>
    <col min="15626" max="15626" width="9.85546875" hidden="1"/>
    <col min="15627" max="15627" width="14.7109375" hidden="1"/>
    <col min="15628" max="15628" width="16.42578125" hidden="1"/>
    <col min="15629" max="15631" width="13.85546875" hidden="1"/>
    <col min="15632" max="15632" width="12.85546875" hidden="1"/>
    <col min="15633" max="15633" width="14.140625" hidden="1"/>
    <col min="15634" max="15634" width="12.28515625" hidden="1"/>
    <col min="15635" max="15636" width="14.42578125" hidden="1"/>
    <col min="15637" max="15637" width="12.85546875" hidden="1"/>
    <col min="15638" max="15638" width="12.28515625" hidden="1"/>
    <col min="15639" max="15639" width="16.7109375" hidden="1"/>
    <col min="15867" max="15867" width="1.85546875" hidden="1"/>
    <col min="15868" max="15868" width="8" hidden="1"/>
    <col min="15869" max="15869" width="9.5703125" hidden="1"/>
    <col min="15870" max="15871" width="8" hidden="1"/>
    <col min="15872" max="15874" width="1.85546875" hidden="1"/>
    <col min="15875" max="15875" width="13.42578125" hidden="1"/>
    <col min="15876" max="15876" width="16.85546875" hidden="1"/>
    <col min="15877" max="15877" width="9.7109375" hidden="1"/>
    <col min="15878" max="15878" width="9.85546875" hidden="1"/>
    <col min="15879" max="15879" width="7.7109375" hidden="1"/>
    <col min="15880" max="15880" width="12.85546875" hidden="1"/>
    <col min="15881" max="15881" width="13.85546875" hidden="1"/>
    <col min="15882" max="15882" width="9.85546875" hidden="1"/>
    <col min="15883" max="15883" width="14.7109375" hidden="1"/>
    <col min="15884" max="15884" width="16.42578125" hidden="1"/>
    <col min="15885" max="15887" width="13.85546875" hidden="1"/>
    <col min="15888" max="15888" width="12.85546875" hidden="1"/>
    <col min="15889" max="15889" width="14.140625" hidden="1"/>
    <col min="15890" max="15890" width="12.28515625" hidden="1"/>
    <col min="15891" max="15892" width="14.42578125" hidden="1"/>
    <col min="15893" max="15893" width="12.85546875" hidden="1"/>
    <col min="15894" max="15894" width="12.28515625" hidden="1"/>
    <col min="15895" max="15895" width="16.7109375" hidden="1"/>
    <col min="16123" max="16123" width="1.85546875" hidden="1"/>
    <col min="16124" max="16124" width="8" hidden="1"/>
    <col min="16125" max="16125" width="9.5703125" hidden="1"/>
    <col min="16126" max="16127" width="8" hidden="1"/>
    <col min="16128" max="16130" width="1.85546875" hidden="1"/>
    <col min="16131" max="16131" width="13.42578125" hidden="1"/>
    <col min="16132" max="16132" width="16.85546875" hidden="1"/>
    <col min="16133" max="16133" width="9.7109375" hidden="1"/>
    <col min="16134" max="16134" width="9.85546875" hidden="1"/>
    <col min="16135" max="16135" width="7.7109375" hidden="1"/>
    <col min="16136" max="16136" width="12.85546875" hidden="1"/>
    <col min="16137" max="16137" width="13.85546875" hidden="1"/>
    <col min="16138" max="16138" width="9.85546875" hidden="1"/>
    <col min="16139" max="16139" width="14.7109375" hidden="1"/>
    <col min="16140" max="16140" width="16.42578125" hidden="1"/>
    <col min="16141" max="16143" width="13.85546875" hidden="1"/>
    <col min="16144" max="16144" width="12.85546875" hidden="1"/>
    <col min="16145" max="16145" width="14.140625" hidden="1"/>
    <col min="16146" max="16146" width="12.28515625" hidden="1"/>
    <col min="16147" max="16148" width="14.42578125" hidden="1"/>
    <col min="16149" max="16149" width="12.85546875" hidden="1"/>
    <col min="16150" max="16150" width="12.28515625" hidden="1"/>
    <col min="16151" max="16151" width="16.7109375" hidden="1"/>
  </cols>
  <sheetData>
    <row r="1" spans="1:23">
      <c r="A1" s="1"/>
      <c r="B1" s="1"/>
      <c r="C1" s="184" t="s">
        <v>0</v>
      </c>
      <c r="D1" s="185"/>
      <c r="E1" s="185"/>
      <c r="F1" s="186" t="s">
        <v>1</v>
      </c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 t="s">
        <v>2</v>
      </c>
      <c r="U1" s="188"/>
      <c r="V1" s="188"/>
      <c r="W1" s="95"/>
    </row>
    <row r="2" spans="1:23">
      <c r="A2" s="1"/>
      <c r="B2" s="1"/>
      <c r="C2" s="185"/>
      <c r="D2" s="185"/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8" t="s">
        <v>3</v>
      </c>
      <c r="U2" s="188"/>
      <c r="V2" s="17" t="s">
        <v>4</v>
      </c>
      <c r="W2" s="95"/>
    </row>
    <row r="3" spans="1:23">
      <c r="A3" s="1"/>
      <c r="B3" s="1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8" t="s">
        <v>5</v>
      </c>
      <c r="U3" s="188"/>
      <c r="V3" s="188"/>
      <c r="W3" s="95"/>
    </row>
    <row r="4" spans="1:23">
      <c r="A4" s="1"/>
      <c r="B4" s="1"/>
      <c r="C4" s="185"/>
      <c r="D4" s="185"/>
      <c r="E4" s="185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8"/>
      <c r="U4" s="188"/>
      <c r="V4" s="188"/>
      <c r="W4" s="95"/>
    </row>
    <row r="5" spans="1:23" ht="23.25">
      <c r="A5" s="1"/>
      <c r="B5" s="1"/>
      <c r="C5" s="183" t="s">
        <v>6</v>
      </c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96"/>
    </row>
    <row r="6" spans="1:23" ht="18">
      <c r="A6" s="1"/>
      <c r="B6" s="1"/>
      <c r="C6" s="189" t="s">
        <v>7</v>
      </c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97"/>
    </row>
    <row r="7" spans="1:23" ht="24">
      <c r="A7" s="1"/>
      <c r="B7" s="1"/>
      <c r="C7" s="18" t="s">
        <v>8</v>
      </c>
      <c r="D7" s="18" t="s">
        <v>9</v>
      </c>
      <c r="E7" s="2" t="s">
        <v>10</v>
      </c>
      <c r="F7" s="190" t="s">
        <v>11</v>
      </c>
      <c r="G7" s="190"/>
      <c r="H7" s="190" t="s">
        <v>12</v>
      </c>
      <c r="I7" s="190"/>
      <c r="J7" s="190" t="s">
        <v>13</v>
      </c>
      <c r="K7" s="190"/>
      <c r="L7" s="18" t="s">
        <v>14</v>
      </c>
      <c r="M7" s="88" t="s">
        <v>15</v>
      </c>
      <c r="N7" s="190" t="s">
        <v>16</v>
      </c>
      <c r="O7" s="190"/>
      <c r="P7" s="190" t="s">
        <v>17</v>
      </c>
      <c r="Q7" s="190"/>
      <c r="R7" s="190" t="s">
        <v>18</v>
      </c>
      <c r="S7" s="190"/>
      <c r="T7" s="18" t="s">
        <v>19</v>
      </c>
      <c r="U7" s="190" t="s">
        <v>20</v>
      </c>
      <c r="V7" s="190"/>
      <c r="W7" s="98"/>
    </row>
    <row r="8" spans="1:23" s="21" customFormat="1">
      <c r="A8" s="9"/>
      <c r="B8" s="9"/>
      <c r="C8" s="3" t="s">
        <v>21</v>
      </c>
      <c r="D8" s="19" t="s">
        <v>22</v>
      </c>
      <c r="E8" s="20" t="s">
        <v>23</v>
      </c>
      <c r="F8" s="193" t="s">
        <v>24</v>
      </c>
      <c r="G8" s="193"/>
      <c r="H8" s="193" t="s">
        <v>25</v>
      </c>
      <c r="I8" s="193"/>
      <c r="J8" s="194" t="s">
        <v>26</v>
      </c>
      <c r="K8" s="194"/>
      <c r="L8" s="30" t="s">
        <v>27</v>
      </c>
      <c r="M8" s="89">
        <v>1998</v>
      </c>
      <c r="N8" s="193" t="s">
        <v>28</v>
      </c>
      <c r="O8" s="193"/>
      <c r="P8" s="195" t="s">
        <v>23</v>
      </c>
      <c r="Q8" s="195"/>
      <c r="R8" s="193">
        <v>10012891689</v>
      </c>
      <c r="S8" s="193"/>
      <c r="T8" s="16">
        <v>5</v>
      </c>
      <c r="U8" s="196" t="s">
        <v>29</v>
      </c>
      <c r="V8" s="196"/>
      <c r="W8" s="16"/>
    </row>
    <row r="9" spans="1:23" ht="18">
      <c r="A9" s="4"/>
      <c r="B9" s="4"/>
      <c r="C9" s="189" t="s">
        <v>30</v>
      </c>
      <c r="D9" s="189"/>
      <c r="E9" s="189"/>
      <c r="F9" s="189"/>
      <c r="G9" s="189"/>
      <c r="H9" s="189"/>
      <c r="I9" s="189" t="s">
        <v>31</v>
      </c>
      <c r="J9" s="189"/>
      <c r="K9" s="189"/>
      <c r="L9" s="189"/>
      <c r="M9" s="189"/>
      <c r="N9" s="189"/>
      <c r="O9" s="189"/>
      <c r="P9" s="189" t="s">
        <v>32</v>
      </c>
      <c r="Q9" s="189"/>
      <c r="R9" s="189"/>
      <c r="S9" s="189"/>
      <c r="T9" s="189"/>
      <c r="U9" s="189"/>
      <c r="V9" s="189"/>
      <c r="W9" s="97"/>
    </row>
    <row r="10" spans="1:23" ht="30" customHeight="1">
      <c r="A10" s="8"/>
      <c r="B10" s="8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35" t="s">
        <v>35</v>
      </c>
      <c r="I10" s="191" t="s">
        <v>36</v>
      </c>
      <c r="J10" s="191"/>
      <c r="K10" s="6" t="s">
        <v>34</v>
      </c>
      <c r="L10" s="6" t="s">
        <v>35</v>
      </c>
      <c r="M10" s="90"/>
      <c r="N10" s="6" t="s">
        <v>34</v>
      </c>
      <c r="O10" s="6" t="s">
        <v>35</v>
      </c>
      <c r="P10" s="7" t="s">
        <v>37</v>
      </c>
      <c r="Q10" s="191" t="s">
        <v>38</v>
      </c>
      <c r="R10" s="191"/>
      <c r="S10" s="191"/>
      <c r="T10" s="192" t="s">
        <v>39</v>
      </c>
      <c r="U10" s="192"/>
      <c r="V10" s="192"/>
      <c r="W10" s="99"/>
    </row>
    <row r="11" spans="1:23" s="26" customFormat="1" ht="12">
      <c r="A11" s="22"/>
      <c r="B11" s="22"/>
      <c r="C11" s="25">
        <v>165054492</v>
      </c>
      <c r="D11" s="23">
        <v>42683</v>
      </c>
      <c r="E11" s="23">
        <v>43047</v>
      </c>
      <c r="F11" s="25"/>
      <c r="G11" s="23"/>
      <c r="H11" s="78"/>
      <c r="I11" s="197"/>
      <c r="J11" s="198"/>
      <c r="K11" s="24"/>
      <c r="L11" s="40"/>
      <c r="M11" s="91"/>
      <c r="N11" s="24"/>
      <c r="O11" s="24"/>
      <c r="P11" s="24"/>
      <c r="Q11" s="193"/>
      <c r="R11" s="193"/>
      <c r="S11" s="193"/>
      <c r="T11" s="199"/>
      <c r="U11" s="199"/>
      <c r="V11" s="199"/>
      <c r="W11" s="100"/>
    </row>
    <row r="12" spans="1:23" s="26" customFormat="1" ht="12">
      <c r="A12" s="22"/>
      <c r="B12" s="22"/>
      <c r="C12" s="25">
        <v>7008001450959000</v>
      </c>
      <c r="D12" s="23">
        <v>43048</v>
      </c>
      <c r="E12" s="23">
        <v>43412</v>
      </c>
      <c r="F12" s="25"/>
      <c r="G12" s="23"/>
      <c r="H12" s="78"/>
      <c r="I12" s="200"/>
      <c r="J12" s="200"/>
      <c r="K12" s="24"/>
      <c r="L12" s="40"/>
      <c r="M12" s="92"/>
      <c r="N12" s="24"/>
      <c r="O12" s="24"/>
      <c r="P12" s="24"/>
      <c r="Q12" s="193"/>
      <c r="R12" s="193"/>
      <c r="S12" s="193"/>
      <c r="T12" s="199"/>
      <c r="U12" s="199"/>
      <c r="V12" s="199"/>
      <c r="W12" s="100"/>
    </row>
    <row r="13" spans="1:23" s="26" customFormat="1" ht="12">
      <c r="A13" s="22"/>
      <c r="B13" s="22"/>
      <c r="C13" s="25">
        <v>111608906</v>
      </c>
      <c r="D13" s="23">
        <v>43412</v>
      </c>
      <c r="E13" s="23">
        <v>43776</v>
      </c>
      <c r="F13" s="25"/>
      <c r="G13" s="23"/>
      <c r="H13" s="78"/>
      <c r="I13" s="200"/>
      <c r="J13" s="199"/>
      <c r="K13" s="24"/>
      <c r="L13" s="40"/>
      <c r="M13" s="92"/>
      <c r="N13" s="24"/>
      <c r="O13" s="24"/>
      <c r="P13" s="24"/>
      <c r="Q13" s="193"/>
      <c r="R13" s="193"/>
      <c r="S13" s="193"/>
      <c r="T13" s="199"/>
      <c r="U13" s="199"/>
      <c r="V13" s="199"/>
      <c r="W13" s="100"/>
    </row>
    <row r="14" spans="1:23" s="26" customFormat="1" ht="12">
      <c r="A14" s="22"/>
      <c r="B14" s="22"/>
      <c r="C14" s="25">
        <v>14730800002080</v>
      </c>
      <c r="D14" s="23">
        <v>44143</v>
      </c>
      <c r="E14" s="23">
        <v>44507</v>
      </c>
      <c r="F14" s="25"/>
      <c r="G14" s="23"/>
      <c r="H14" s="78"/>
      <c r="I14" s="200"/>
      <c r="J14" s="199"/>
      <c r="K14" s="24"/>
      <c r="L14" s="40"/>
      <c r="M14" s="91"/>
      <c r="N14" s="24"/>
      <c r="O14" s="24"/>
      <c r="P14" s="24"/>
      <c r="Q14" s="193"/>
      <c r="R14" s="193"/>
      <c r="S14" s="193"/>
      <c r="T14" s="199"/>
      <c r="U14" s="199"/>
      <c r="V14" s="199"/>
      <c r="W14" s="100"/>
    </row>
    <row r="15" spans="1:23" s="26" customFormat="1" ht="12">
      <c r="A15" s="22"/>
      <c r="B15" s="22"/>
      <c r="C15" s="25">
        <v>9201121000598</v>
      </c>
      <c r="D15" s="23">
        <v>44508</v>
      </c>
      <c r="E15" s="23">
        <v>44872</v>
      </c>
      <c r="F15" s="25"/>
      <c r="G15" s="23"/>
      <c r="H15" s="78"/>
      <c r="I15" s="200"/>
      <c r="J15" s="199"/>
      <c r="K15" s="24"/>
      <c r="L15" s="40"/>
      <c r="M15" s="91"/>
      <c r="N15" s="24"/>
      <c r="O15" s="24"/>
      <c r="P15" s="24"/>
      <c r="Q15" s="193"/>
      <c r="R15" s="193"/>
      <c r="S15" s="193"/>
      <c r="T15" s="199"/>
      <c r="U15" s="199"/>
      <c r="V15" s="199"/>
      <c r="W15" s="100"/>
    </row>
    <row r="16" spans="1:23" s="26" customFormat="1" ht="12">
      <c r="A16" s="22"/>
      <c r="B16" s="22"/>
      <c r="C16" s="25"/>
      <c r="D16" s="23"/>
      <c r="E16" s="23"/>
      <c r="F16" s="25"/>
      <c r="G16" s="23"/>
      <c r="H16" s="78"/>
      <c r="I16" s="200"/>
      <c r="J16" s="200"/>
      <c r="K16" s="24"/>
      <c r="L16" s="40"/>
      <c r="M16" s="92"/>
      <c r="N16" s="24"/>
      <c r="O16" s="24"/>
      <c r="P16" s="24"/>
      <c r="Q16" s="193"/>
      <c r="R16" s="193"/>
      <c r="S16" s="193"/>
      <c r="T16" s="199"/>
      <c r="U16" s="199"/>
      <c r="V16" s="199"/>
      <c r="W16" s="100"/>
    </row>
    <row r="17" spans="1:24" ht="18">
      <c r="A17" s="9"/>
      <c r="B17" s="9"/>
      <c r="C17" s="189" t="s">
        <v>40</v>
      </c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05"/>
    </row>
    <row r="18" spans="1:24" ht="59.25" customHeight="1">
      <c r="A18" s="9"/>
      <c r="B18" s="9"/>
      <c r="C18" s="10" t="s">
        <v>41</v>
      </c>
      <c r="D18" s="10" t="s">
        <v>42</v>
      </c>
      <c r="E18" s="10" t="s">
        <v>43</v>
      </c>
      <c r="F18" s="10" t="s">
        <v>44</v>
      </c>
      <c r="G18" s="10" t="s">
        <v>45</v>
      </c>
      <c r="H18" s="36" t="s">
        <v>46</v>
      </c>
      <c r="I18" s="11" t="s">
        <v>47</v>
      </c>
      <c r="J18" s="10" t="s">
        <v>48</v>
      </c>
      <c r="K18" s="10" t="s">
        <v>49</v>
      </c>
      <c r="L18" s="10" t="s">
        <v>50</v>
      </c>
      <c r="M18" s="10" t="s">
        <v>51</v>
      </c>
      <c r="N18" s="10" t="s">
        <v>52</v>
      </c>
      <c r="O18" s="10" t="s">
        <v>53</v>
      </c>
      <c r="P18" s="10" t="s">
        <v>54</v>
      </c>
      <c r="Q18" s="10" t="s">
        <v>55</v>
      </c>
      <c r="R18" s="10" t="s">
        <v>56</v>
      </c>
      <c r="S18" s="10" t="s">
        <v>57</v>
      </c>
      <c r="T18" s="10" t="s">
        <v>58</v>
      </c>
      <c r="U18" s="10" t="s">
        <v>59</v>
      </c>
      <c r="V18" s="107" t="s">
        <v>60</v>
      </c>
      <c r="W18" s="106" t="s">
        <v>61</v>
      </c>
      <c r="X18" s="108" t="s">
        <v>62</v>
      </c>
    </row>
    <row r="19" spans="1:24" ht="25.5" hidden="1" customHeight="1">
      <c r="A19" s="1"/>
      <c r="B19" s="1"/>
      <c r="C19" s="27">
        <v>42900</v>
      </c>
      <c r="D19" s="12"/>
      <c r="E19" s="12"/>
      <c r="F19" s="13"/>
      <c r="G19" s="14"/>
      <c r="H19" s="78">
        <v>9168</v>
      </c>
      <c r="I19" s="29">
        <v>42996</v>
      </c>
      <c r="J19" s="28" t="s">
        <v>63</v>
      </c>
      <c r="K19" s="81" t="s">
        <v>64</v>
      </c>
      <c r="L19" s="30" t="s">
        <v>65</v>
      </c>
      <c r="M19" s="31">
        <v>1</v>
      </c>
      <c r="N19" s="33">
        <v>0</v>
      </c>
      <c r="O19" s="33">
        <f>+N19*M19</f>
        <v>0</v>
      </c>
      <c r="P19" s="33">
        <f>+O19*0.19</f>
        <v>0</v>
      </c>
      <c r="Q19" s="32">
        <f>+P19+O19</f>
        <v>0</v>
      </c>
      <c r="R19" s="32">
        <v>25210</v>
      </c>
      <c r="S19" s="33">
        <f>+R19*M19</f>
        <v>25210</v>
      </c>
      <c r="T19" s="33">
        <f>+S19*0.19</f>
        <v>4789.8999999999996</v>
      </c>
      <c r="U19" s="33">
        <f>+T19+S19</f>
        <v>29999.9</v>
      </c>
      <c r="V19" s="34">
        <f>+U19+Q19</f>
        <v>29999.9</v>
      </c>
      <c r="W19" s="101"/>
    </row>
    <row r="20" spans="1:24" ht="25.5" hidden="1" customHeight="1">
      <c r="A20" s="15"/>
      <c r="B20" s="15"/>
      <c r="C20" s="27">
        <v>42996</v>
      </c>
      <c r="D20" s="12"/>
      <c r="E20" s="12"/>
      <c r="F20" s="13"/>
      <c r="G20" s="14"/>
      <c r="H20" s="78">
        <v>12443</v>
      </c>
      <c r="I20" s="29">
        <v>43025</v>
      </c>
      <c r="J20" s="28" t="s">
        <v>66</v>
      </c>
      <c r="K20" s="81" t="s">
        <v>64</v>
      </c>
      <c r="L20" s="30" t="s">
        <v>67</v>
      </c>
      <c r="M20" s="31">
        <v>2</v>
      </c>
      <c r="N20" s="33">
        <v>0</v>
      </c>
      <c r="O20" s="33">
        <f t="shared" ref="O20:O67" si="0">+N20*M20</f>
        <v>0</v>
      </c>
      <c r="P20" s="33">
        <f t="shared" ref="P20:P70" si="1">+O20*0.19</f>
        <v>0</v>
      </c>
      <c r="Q20" s="32">
        <f t="shared" ref="Q20:Q67" si="2">+P20+O20</f>
        <v>0</v>
      </c>
      <c r="R20" s="32">
        <v>29700</v>
      </c>
      <c r="S20" s="33">
        <f t="shared" ref="S20:S70" si="3">+R20*M20</f>
        <v>59400</v>
      </c>
      <c r="T20" s="33">
        <f t="shared" ref="T20:T70" si="4">+S20*0.19</f>
        <v>11286</v>
      </c>
      <c r="U20" s="33">
        <f t="shared" ref="U20:U70" si="5">+T20+S20</f>
        <v>70686</v>
      </c>
      <c r="V20" s="34">
        <f t="shared" ref="V20:V70" si="6">+U20+Q20</f>
        <v>70686</v>
      </c>
      <c r="W20" s="101"/>
    </row>
    <row r="21" spans="1:24" ht="25.5" hidden="1" customHeight="1">
      <c r="A21" s="1"/>
      <c r="B21" s="1"/>
      <c r="C21" s="27">
        <v>42996</v>
      </c>
      <c r="D21" s="12"/>
      <c r="E21" s="12"/>
      <c r="F21" s="13"/>
      <c r="G21" s="14"/>
      <c r="H21" s="78">
        <v>12443</v>
      </c>
      <c r="I21" s="29">
        <v>43025</v>
      </c>
      <c r="J21" s="28" t="s">
        <v>66</v>
      </c>
      <c r="K21" s="81" t="s">
        <v>64</v>
      </c>
      <c r="L21" s="30" t="s">
        <v>68</v>
      </c>
      <c r="M21" s="31">
        <v>1</v>
      </c>
      <c r="N21" s="33">
        <v>0</v>
      </c>
      <c r="O21" s="33">
        <f t="shared" si="0"/>
        <v>0</v>
      </c>
      <c r="P21" s="33">
        <f t="shared" si="1"/>
        <v>0</v>
      </c>
      <c r="Q21" s="32">
        <f t="shared" si="2"/>
        <v>0</v>
      </c>
      <c r="R21" s="32">
        <v>27500</v>
      </c>
      <c r="S21" s="33">
        <f t="shared" si="3"/>
        <v>27500</v>
      </c>
      <c r="T21" s="33">
        <f t="shared" si="4"/>
        <v>5225</v>
      </c>
      <c r="U21" s="33">
        <f t="shared" si="5"/>
        <v>32725</v>
      </c>
      <c r="V21" s="34">
        <f t="shared" si="6"/>
        <v>32725</v>
      </c>
      <c r="W21" s="101"/>
    </row>
    <row r="22" spans="1:24" ht="25.5" hidden="1" customHeight="1">
      <c r="A22" s="1"/>
      <c r="B22" s="1"/>
      <c r="C22" s="12"/>
      <c r="D22" s="12"/>
      <c r="E22" s="12"/>
      <c r="F22" s="13"/>
      <c r="G22" s="14"/>
      <c r="H22" s="78">
        <v>12443</v>
      </c>
      <c r="I22" s="29">
        <v>43054</v>
      </c>
      <c r="J22" s="28">
        <v>7406</v>
      </c>
      <c r="K22" s="81" t="s">
        <v>64</v>
      </c>
      <c r="L22" s="30" t="s">
        <v>65</v>
      </c>
      <c r="M22" s="31">
        <v>1</v>
      </c>
      <c r="N22" s="33">
        <v>0</v>
      </c>
      <c r="O22" s="33">
        <f t="shared" si="0"/>
        <v>0</v>
      </c>
      <c r="P22" s="33">
        <f t="shared" si="1"/>
        <v>0</v>
      </c>
      <c r="Q22" s="32">
        <f t="shared" si="2"/>
        <v>0</v>
      </c>
      <c r="R22" s="32">
        <v>25210</v>
      </c>
      <c r="S22" s="33">
        <f t="shared" si="3"/>
        <v>25210</v>
      </c>
      <c r="T22" s="33">
        <f t="shared" si="4"/>
        <v>4789.8999999999996</v>
      </c>
      <c r="U22" s="33">
        <f t="shared" si="5"/>
        <v>29999.9</v>
      </c>
      <c r="V22" s="34">
        <f t="shared" si="6"/>
        <v>29999.9</v>
      </c>
      <c r="W22" s="101"/>
    </row>
    <row r="23" spans="1:24" ht="25.5" hidden="1" customHeight="1">
      <c r="A23" s="1"/>
      <c r="B23" s="1"/>
      <c r="C23" s="12"/>
      <c r="D23" s="12"/>
      <c r="E23" s="12"/>
      <c r="F23" s="13"/>
      <c r="G23" s="14"/>
      <c r="H23" s="78">
        <v>13371</v>
      </c>
      <c r="I23" s="29">
        <v>43054</v>
      </c>
      <c r="J23" s="28">
        <v>7419</v>
      </c>
      <c r="K23" s="81" t="s">
        <v>64</v>
      </c>
      <c r="L23" s="30" t="s">
        <v>65</v>
      </c>
      <c r="M23" s="31">
        <v>1</v>
      </c>
      <c r="N23" s="33">
        <v>0</v>
      </c>
      <c r="O23" s="33">
        <f t="shared" si="0"/>
        <v>0</v>
      </c>
      <c r="P23" s="33">
        <f t="shared" si="1"/>
        <v>0</v>
      </c>
      <c r="Q23" s="32">
        <f t="shared" si="2"/>
        <v>0</v>
      </c>
      <c r="R23" s="32">
        <v>25210</v>
      </c>
      <c r="S23" s="33">
        <f t="shared" si="3"/>
        <v>25210</v>
      </c>
      <c r="T23" s="33">
        <f t="shared" si="4"/>
        <v>4789.8999999999996</v>
      </c>
      <c r="U23" s="33">
        <f t="shared" si="5"/>
        <v>29999.9</v>
      </c>
      <c r="V23" s="34">
        <f t="shared" si="6"/>
        <v>29999.9</v>
      </c>
      <c r="W23" s="101"/>
    </row>
    <row r="24" spans="1:24" ht="25.5" hidden="1" customHeight="1">
      <c r="A24" s="1"/>
      <c r="B24" s="1"/>
      <c r="C24" s="12"/>
      <c r="D24" s="12"/>
      <c r="E24" s="12"/>
      <c r="F24" s="13"/>
      <c r="G24" s="14"/>
      <c r="H24" s="78">
        <v>15362</v>
      </c>
      <c r="I24" s="29">
        <v>43082</v>
      </c>
      <c r="J24" s="28">
        <v>7473</v>
      </c>
      <c r="K24" s="81" t="s">
        <v>64</v>
      </c>
      <c r="L24" s="30" t="s">
        <v>65</v>
      </c>
      <c r="M24" s="31">
        <v>1</v>
      </c>
      <c r="N24" s="33">
        <v>0</v>
      </c>
      <c r="O24" s="33">
        <f t="shared" si="0"/>
        <v>0</v>
      </c>
      <c r="P24" s="33">
        <f t="shared" si="1"/>
        <v>0</v>
      </c>
      <c r="Q24" s="32">
        <f t="shared" si="2"/>
        <v>0</v>
      </c>
      <c r="R24" s="32">
        <v>25210</v>
      </c>
      <c r="S24" s="33">
        <f t="shared" si="3"/>
        <v>25210</v>
      </c>
      <c r="T24" s="33">
        <f t="shared" si="4"/>
        <v>4789.8999999999996</v>
      </c>
      <c r="U24" s="33">
        <f t="shared" si="5"/>
        <v>29999.9</v>
      </c>
      <c r="V24" s="34">
        <f t="shared" si="6"/>
        <v>29999.9</v>
      </c>
      <c r="W24" s="101"/>
    </row>
    <row r="25" spans="1:24" ht="25.5" hidden="1" customHeight="1">
      <c r="A25" s="1"/>
      <c r="B25" s="1"/>
      <c r="C25" s="12"/>
      <c r="D25" s="12"/>
      <c r="E25" s="12"/>
      <c r="F25" s="13"/>
      <c r="G25" s="14"/>
      <c r="H25" s="78">
        <v>15362</v>
      </c>
      <c r="I25" s="29">
        <v>43082</v>
      </c>
      <c r="J25" s="28">
        <v>7473</v>
      </c>
      <c r="K25" s="81" t="s">
        <v>64</v>
      </c>
      <c r="L25" s="30" t="s">
        <v>69</v>
      </c>
      <c r="M25" s="31">
        <v>1</v>
      </c>
      <c r="N25" s="33">
        <v>0</v>
      </c>
      <c r="O25" s="33">
        <f t="shared" si="0"/>
        <v>0</v>
      </c>
      <c r="P25" s="33">
        <f t="shared" si="1"/>
        <v>0</v>
      </c>
      <c r="Q25" s="32">
        <f t="shared" si="2"/>
        <v>0</v>
      </c>
      <c r="R25" s="32">
        <v>10084</v>
      </c>
      <c r="S25" s="33">
        <f t="shared" si="3"/>
        <v>10084</v>
      </c>
      <c r="T25" s="33">
        <f t="shared" si="4"/>
        <v>1915.96</v>
      </c>
      <c r="U25" s="33">
        <f t="shared" si="5"/>
        <v>11999.96</v>
      </c>
      <c r="V25" s="34">
        <f t="shared" si="6"/>
        <v>11999.96</v>
      </c>
      <c r="W25" s="101"/>
    </row>
    <row r="26" spans="1:24" ht="25.5" hidden="1" customHeight="1">
      <c r="A26" s="1"/>
      <c r="B26" s="1"/>
      <c r="C26" s="12"/>
      <c r="D26" s="12"/>
      <c r="E26" s="12"/>
      <c r="F26" s="13"/>
      <c r="G26" s="14"/>
      <c r="H26" s="78">
        <v>15690</v>
      </c>
      <c r="I26" s="29">
        <v>43082</v>
      </c>
      <c r="J26" s="28">
        <v>7466</v>
      </c>
      <c r="K26" s="81" t="s">
        <v>64</v>
      </c>
      <c r="L26" s="30" t="s">
        <v>69</v>
      </c>
      <c r="M26" s="31">
        <v>1</v>
      </c>
      <c r="N26" s="33">
        <v>0</v>
      </c>
      <c r="O26" s="33">
        <f t="shared" si="0"/>
        <v>0</v>
      </c>
      <c r="P26" s="33">
        <f t="shared" si="1"/>
        <v>0</v>
      </c>
      <c r="Q26" s="32">
        <f t="shared" si="2"/>
        <v>0</v>
      </c>
      <c r="R26" s="32">
        <v>10084</v>
      </c>
      <c r="S26" s="33">
        <f t="shared" si="3"/>
        <v>10084</v>
      </c>
      <c r="T26" s="33">
        <f t="shared" si="4"/>
        <v>1915.96</v>
      </c>
      <c r="U26" s="33">
        <f t="shared" si="5"/>
        <v>11999.96</v>
      </c>
      <c r="V26" s="34">
        <f t="shared" si="6"/>
        <v>11999.96</v>
      </c>
      <c r="W26" s="101"/>
    </row>
    <row r="27" spans="1:24" ht="25.5" hidden="1" customHeight="1">
      <c r="A27" s="1"/>
      <c r="B27" s="1"/>
      <c r="C27" s="12"/>
      <c r="D27" s="12"/>
      <c r="E27" s="12"/>
      <c r="F27" s="13"/>
      <c r="G27" s="14"/>
      <c r="H27" s="78">
        <v>14671</v>
      </c>
      <c r="I27" s="29">
        <v>43089</v>
      </c>
      <c r="J27" s="28">
        <v>7586</v>
      </c>
      <c r="K27" s="81" t="s">
        <v>64</v>
      </c>
      <c r="L27" s="30" t="s">
        <v>65</v>
      </c>
      <c r="M27" s="31">
        <v>1</v>
      </c>
      <c r="N27" s="33">
        <v>0</v>
      </c>
      <c r="O27" s="33">
        <f t="shared" si="0"/>
        <v>0</v>
      </c>
      <c r="P27" s="33">
        <f t="shared" si="1"/>
        <v>0</v>
      </c>
      <c r="Q27" s="32">
        <f t="shared" si="2"/>
        <v>0</v>
      </c>
      <c r="R27" s="32">
        <v>25210</v>
      </c>
      <c r="S27" s="33">
        <f t="shared" si="3"/>
        <v>25210</v>
      </c>
      <c r="T27" s="33">
        <f t="shared" si="4"/>
        <v>4789.8999999999996</v>
      </c>
      <c r="U27" s="33">
        <f t="shared" si="5"/>
        <v>29999.9</v>
      </c>
      <c r="V27" s="34">
        <f t="shared" si="6"/>
        <v>29999.9</v>
      </c>
      <c r="W27" s="101"/>
    </row>
    <row r="28" spans="1:24" ht="25.5" hidden="1" customHeight="1">
      <c r="A28" s="1"/>
      <c r="B28" s="1"/>
      <c r="C28" s="12"/>
      <c r="D28" s="12"/>
      <c r="E28" s="12"/>
      <c r="F28" s="13"/>
      <c r="G28" s="14"/>
      <c r="H28" s="78">
        <v>15690</v>
      </c>
      <c r="I28" s="29">
        <v>43082</v>
      </c>
      <c r="J28" s="28">
        <v>7466</v>
      </c>
      <c r="K28" s="81" t="s">
        <v>64</v>
      </c>
      <c r="L28" s="30" t="s">
        <v>69</v>
      </c>
      <c r="M28" s="31">
        <v>1</v>
      </c>
      <c r="N28" s="33">
        <v>0</v>
      </c>
      <c r="O28" s="33">
        <f t="shared" si="0"/>
        <v>0</v>
      </c>
      <c r="P28" s="33">
        <f t="shared" si="1"/>
        <v>0</v>
      </c>
      <c r="Q28" s="32">
        <f t="shared" si="2"/>
        <v>0</v>
      </c>
      <c r="R28" s="32">
        <v>10084</v>
      </c>
      <c r="S28" s="33">
        <f t="shared" si="3"/>
        <v>10084</v>
      </c>
      <c r="T28" s="33">
        <f t="shared" si="4"/>
        <v>1915.96</v>
      </c>
      <c r="U28" s="33">
        <f t="shared" si="5"/>
        <v>11999.96</v>
      </c>
      <c r="V28" s="34">
        <f t="shared" si="6"/>
        <v>11999.96</v>
      </c>
      <c r="W28" s="101"/>
    </row>
    <row r="29" spans="1:24" ht="25.5" hidden="1" customHeight="1">
      <c r="A29" s="1"/>
      <c r="B29" s="1"/>
      <c r="C29" s="12"/>
      <c r="D29" s="12"/>
      <c r="E29" s="12"/>
      <c r="F29" s="13"/>
      <c r="G29" s="14"/>
      <c r="H29" s="78">
        <v>15362</v>
      </c>
      <c r="I29" s="29" t="s">
        <v>70</v>
      </c>
      <c r="J29" s="28">
        <v>7473</v>
      </c>
      <c r="K29" s="81" t="s">
        <v>64</v>
      </c>
      <c r="L29" s="30" t="s">
        <v>65</v>
      </c>
      <c r="M29" s="31">
        <v>1</v>
      </c>
      <c r="N29" s="33">
        <v>0</v>
      </c>
      <c r="O29" s="33">
        <f t="shared" si="0"/>
        <v>0</v>
      </c>
      <c r="P29" s="33">
        <f t="shared" si="1"/>
        <v>0</v>
      </c>
      <c r="Q29" s="32">
        <f t="shared" si="2"/>
        <v>0</v>
      </c>
      <c r="R29" s="32">
        <v>25210</v>
      </c>
      <c r="S29" s="33">
        <f t="shared" si="3"/>
        <v>25210</v>
      </c>
      <c r="T29" s="33">
        <f t="shared" si="4"/>
        <v>4789.8999999999996</v>
      </c>
      <c r="U29" s="33">
        <f t="shared" si="5"/>
        <v>29999.9</v>
      </c>
      <c r="V29" s="34">
        <f t="shared" si="6"/>
        <v>29999.9</v>
      </c>
      <c r="W29" s="101"/>
    </row>
    <row r="30" spans="1:24" ht="25.5" hidden="1" customHeight="1">
      <c r="A30" s="1"/>
      <c r="B30" s="1"/>
      <c r="C30" s="12"/>
      <c r="D30" s="12"/>
      <c r="E30" s="12"/>
      <c r="F30" s="13"/>
      <c r="G30" s="14"/>
      <c r="H30" s="78">
        <v>14671</v>
      </c>
      <c r="I30" s="29" t="s">
        <v>70</v>
      </c>
      <c r="J30" s="28">
        <v>7477</v>
      </c>
      <c r="K30" s="81" t="s">
        <v>64</v>
      </c>
      <c r="L30" s="30" t="s">
        <v>69</v>
      </c>
      <c r="M30" s="31">
        <v>1</v>
      </c>
      <c r="N30" s="33">
        <v>0</v>
      </c>
      <c r="O30" s="33">
        <f t="shared" si="0"/>
        <v>0</v>
      </c>
      <c r="P30" s="33">
        <f t="shared" si="1"/>
        <v>0</v>
      </c>
      <c r="Q30" s="32">
        <f t="shared" si="2"/>
        <v>0</v>
      </c>
      <c r="R30" s="32">
        <v>10084</v>
      </c>
      <c r="S30" s="33">
        <f t="shared" si="3"/>
        <v>10084</v>
      </c>
      <c r="T30" s="33">
        <f t="shared" si="4"/>
        <v>1915.96</v>
      </c>
      <c r="U30" s="33">
        <f t="shared" si="5"/>
        <v>11999.96</v>
      </c>
      <c r="V30" s="34">
        <f t="shared" si="6"/>
        <v>11999.96</v>
      </c>
      <c r="W30" s="101"/>
    </row>
    <row r="31" spans="1:24" ht="25.5" hidden="1" customHeight="1">
      <c r="A31" s="1"/>
      <c r="B31" s="1"/>
      <c r="C31" s="12"/>
      <c r="D31" s="12"/>
      <c r="E31" s="12"/>
      <c r="F31" s="13"/>
      <c r="G31" s="14"/>
      <c r="H31" s="78">
        <v>17919</v>
      </c>
      <c r="I31" s="29">
        <v>43150</v>
      </c>
      <c r="J31" s="28">
        <v>7624</v>
      </c>
      <c r="K31" s="81" t="s">
        <v>64</v>
      </c>
      <c r="L31" s="30" t="s">
        <v>69</v>
      </c>
      <c r="M31" s="31">
        <v>1</v>
      </c>
      <c r="N31" s="33">
        <v>0</v>
      </c>
      <c r="O31" s="33">
        <f t="shared" si="0"/>
        <v>0</v>
      </c>
      <c r="P31" s="33">
        <f t="shared" si="1"/>
        <v>0</v>
      </c>
      <c r="Q31" s="32">
        <f t="shared" si="2"/>
        <v>0</v>
      </c>
      <c r="R31" s="32">
        <v>10084</v>
      </c>
      <c r="S31" s="33">
        <f t="shared" si="3"/>
        <v>10084</v>
      </c>
      <c r="T31" s="33">
        <f t="shared" si="4"/>
        <v>1915.96</v>
      </c>
      <c r="U31" s="33">
        <f t="shared" si="5"/>
        <v>11999.96</v>
      </c>
      <c r="V31" s="34">
        <f t="shared" si="6"/>
        <v>11999.96</v>
      </c>
      <c r="W31" s="101"/>
    </row>
    <row r="32" spans="1:24" ht="25.5" hidden="1" customHeight="1">
      <c r="A32" s="1"/>
      <c r="B32" s="1"/>
      <c r="C32" s="12"/>
      <c r="D32" s="12"/>
      <c r="E32" s="12"/>
      <c r="F32" s="13"/>
      <c r="G32" s="14"/>
      <c r="H32" s="78">
        <v>22243</v>
      </c>
      <c r="I32" s="29">
        <v>43220</v>
      </c>
      <c r="J32" s="28">
        <v>7736</v>
      </c>
      <c r="K32" s="81" t="s">
        <v>64</v>
      </c>
      <c r="L32" s="30" t="s">
        <v>65</v>
      </c>
      <c r="M32" s="31">
        <v>1</v>
      </c>
      <c r="N32" s="33">
        <v>0</v>
      </c>
      <c r="O32" s="33">
        <f t="shared" si="0"/>
        <v>0</v>
      </c>
      <c r="P32" s="33">
        <f t="shared" si="1"/>
        <v>0</v>
      </c>
      <c r="Q32" s="32">
        <f t="shared" si="2"/>
        <v>0</v>
      </c>
      <c r="R32" s="32">
        <v>25210</v>
      </c>
      <c r="S32" s="33">
        <f t="shared" si="3"/>
        <v>25210</v>
      </c>
      <c r="T32" s="33">
        <f t="shared" si="4"/>
        <v>4789.8999999999996</v>
      </c>
      <c r="U32" s="33">
        <f t="shared" si="5"/>
        <v>29999.9</v>
      </c>
      <c r="V32" s="34">
        <f t="shared" si="6"/>
        <v>29999.9</v>
      </c>
      <c r="W32" s="101"/>
    </row>
    <row r="33" spans="1:23" ht="25.5" hidden="1" customHeight="1">
      <c r="A33" s="1"/>
      <c r="B33" s="1"/>
      <c r="C33" s="12"/>
      <c r="D33" s="12"/>
      <c r="E33" s="12"/>
      <c r="F33" s="13"/>
      <c r="G33" s="14"/>
      <c r="H33" s="78">
        <v>22243</v>
      </c>
      <c r="I33" s="29">
        <v>43266</v>
      </c>
      <c r="J33" s="28">
        <v>7774</v>
      </c>
      <c r="K33" s="81" t="s">
        <v>64</v>
      </c>
      <c r="L33" s="30" t="s">
        <v>65</v>
      </c>
      <c r="M33" s="31">
        <v>1</v>
      </c>
      <c r="N33" s="33">
        <v>0</v>
      </c>
      <c r="O33" s="33">
        <f t="shared" si="0"/>
        <v>0</v>
      </c>
      <c r="P33" s="33">
        <f t="shared" si="1"/>
        <v>0</v>
      </c>
      <c r="Q33" s="32">
        <f t="shared" si="2"/>
        <v>0</v>
      </c>
      <c r="R33" s="32">
        <v>25210</v>
      </c>
      <c r="S33" s="33">
        <f t="shared" si="3"/>
        <v>25210</v>
      </c>
      <c r="T33" s="33">
        <f t="shared" si="4"/>
        <v>4789.8999999999996</v>
      </c>
      <c r="U33" s="33">
        <f t="shared" si="5"/>
        <v>29999.9</v>
      </c>
      <c r="V33" s="34">
        <f t="shared" si="6"/>
        <v>29999.9</v>
      </c>
      <c r="W33" s="101"/>
    </row>
    <row r="34" spans="1:23" ht="25.5" hidden="1" customHeight="1">
      <c r="A34" s="1"/>
      <c r="B34" s="1"/>
      <c r="C34" s="12"/>
      <c r="D34" s="12"/>
      <c r="E34" s="12"/>
      <c r="F34" s="13"/>
      <c r="G34" s="14"/>
      <c r="H34" s="78"/>
      <c r="I34" s="29">
        <v>43426</v>
      </c>
      <c r="J34" s="28" t="s">
        <v>71</v>
      </c>
      <c r="K34" s="81" t="s">
        <v>64</v>
      </c>
      <c r="L34" s="30" t="s">
        <v>65</v>
      </c>
      <c r="M34" s="31">
        <v>1</v>
      </c>
      <c r="N34" s="33">
        <v>0</v>
      </c>
      <c r="O34" s="33">
        <f t="shared" si="0"/>
        <v>0</v>
      </c>
      <c r="P34" s="33">
        <f t="shared" si="1"/>
        <v>0</v>
      </c>
      <c r="Q34" s="32">
        <f t="shared" si="2"/>
        <v>0</v>
      </c>
      <c r="R34" s="32">
        <v>30252</v>
      </c>
      <c r="S34" s="33">
        <f t="shared" si="3"/>
        <v>30252</v>
      </c>
      <c r="T34" s="33">
        <f t="shared" si="4"/>
        <v>5747.88</v>
      </c>
      <c r="U34" s="33">
        <f t="shared" si="5"/>
        <v>35999.879999999997</v>
      </c>
      <c r="V34" s="34">
        <f t="shared" si="6"/>
        <v>35999.879999999997</v>
      </c>
      <c r="W34" s="101"/>
    </row>
    <row r="35" spans="1:23" ht="25.5" hidden="1" customHeight="1">
      <c r="A35" s="1"/>
      <c r="B35" s="1"/>
      <c r="C35" s="12"/>
      <c r="D35" s="12"/>
      <c r="E35" s="12"/>
      <c r="F35" s="13"/>
      <c r="G35" s="14"/>
      <c r="H35" s="78"/>
      <c r="I35" s="29">
        <v>43610</v>
      </c>
      <c r="J35" s="28" t="s">
        <v>72</v>
      </c>
      <c r="K35" s="81" t="s">
        <v>64</v>
      </c>
      <c r="L35" s="30" t="s">
        <v>73</v>
      </c>
      <c r="M35" s="31">
        <v>1</v>
      </c>
      <c r="N35" s="33">
        <v>25412</v>
      </c>
      <c r="O35" s="33">
        <f t="shared" si="0"/>
        <v>25412</v>
      </c>
      <c r="P35" s="33">
        <f t="shared" si="1"/>
        <v>4828.28</v>
      </c>
      <c r="Q35" s="32">
        <f t="shared" si="2"/>
        <v>30240.28</v>
      </c>
      <c r="R35" s="32">
        <v>0</v>
      </c>
      <c r="S35" s="33">
        <f t="shared" si="3"/>
        <v>0</v>
      </c>
      <c r="T35" s="33">
        <f t="shared" si="4"/>
        <v>0</v>
      </c>
      <c r="U35" s="33">
        <f t="shared" si="5"/>
        <v>0</v>
      </c>
      <c r="V35" s="34">
        <f t="shared" si="6"/>
        <v>30240.28</v>
      </c>
      <c r="W35" s="101"/>
    </row>
    <row r="36" spans="1:23" ht="25.5" hidden="1" customHeight="1">
      <c r="A36" s="1"/>
      <c r="B36" s="1"/>
      <c r="C36" s="12"/>
      <c r="D36" s="12"/>
      <c r="E36" s="12"/>
      <c r="F36" s="13"/>
      <c r="G36" s="14"/>
      <c r="H36" s="78"/>
      <c r="I36" s="29">
        <v>43610</v>
      </c>
      <c r="J36" s="28" t="s">
        <v>72</v>
      </c>
      <c r="K36" s="81" t="s">
        <v>64</v>
      </c>
      <c r="L36" s="30" t="s">
        <v>74</v>
      </c>
      <c r="M36" s="31">
        <v>1</v>
      </c>
      <c r="N36" s="33">
        <v>34622</v>
      </c>
      <c r="O36" s="33">
        <f t="shared" si="0"/>
        <v>34622</v>
      </c>
      <c r="P36" s="33">
        <f t="shared" si="1"/>
        <v>6578.18</v>
      </c>
      <c r="Q36" s="32">
        <f t="shared" si="2"/>
        <v>41200.18</v>
      </c>
      <c r="R36" s="32">
        <v>0</v>
      </c>
      <c r="S36" s="33">
        <f t="shared" si="3"/>
        <v>0</v>
      </c>
      <c r="T36" s="33">
        <f t="shared" si="4"/>
        <v>0</v>
      </c>
      <c r="U36" s="33">
        <f t="shared" si="5"/>
        <v>0</v>
      </c>
      <c r="V36" s="34">
        <f t="shared" si="6"/>
        <v>41200.18</v>
      </c>
      <c r="W36" s="101"/>
    </row>
    <row r="37" spans="1:23" ht="25.5" hidden="1" customHeight="1">
      <c r="A37" s="1"/>
      <c r="B37" s="1"/>
      <c r="C37" s="12"/>
      <c r="D37" s="12"/>
      <c r="E37" s="12"/>
      <c r="F37" s="13"/>
      <c r="G37" s="14"/>
      <c r="H37" s="78"/>
      <c r="I37" s="29">
        <v>43610</v>
      </c>
      <c r="J37" s="28" t="s">
        <v>72</v>
      </c>
      <c r="K37" s="81" t="s">
        <v>64</v>
      </c>
      <c r="L37" s="30" t="s">
        <v>75</v>
      </c>
      <c r="M37" s="31">
        <v>1</v>
      </c>
      <c r="N37" s="33">
        <v>36303</v>
      </c>
      <c r="O37" s="33">
        <f t="shared" si="0"/>
        <v>36303</v>
      </c>
      <c r="P37" s="33">
        <f t="shared" si="1"/>
        <v>6897.57</v>
      </c>
      <c r="Q37" s="32">
        <f t="shared" si="2"/>
        <v>43200.57</v>
      </c>
      <c r="R37" s="32">
        <v>0</v>
      </c>
      <c r="S37" s="33">
        <f t="shared" si="3"/>
        <v>0</v>
      </c>
      <c r="T37" s="33">
        <f t="shared" si="4"/>
        <v>0</v>
      </c>
      <c r="U37" s="33">
        <f t="shared" si="5"/>
        <v>0</v>
      </c>
      <c r="V37" s="34">
        <f t="shared" si="6"/>
        <v>43200.57</v>
      </c>
      <c r="W37" s="101"/>
    </row>
    <row r="38" spans="1:23" ht="25.5" hidden="1" customHeight="1">
      <c r="A38" s="1"/>
      <c r="B38" s="1"/>
      <c r="C38" s="12"/>
      <c r="D38" s="12"/>
      <c r="E38" s="12"/>
      <c r="F38" s="13"/>
      <c r="G38" s="14"/>
      <c r="H38" s="79"/>
      <c r="I38" s="29">
        <v>43610</v>
      </c>
      <c r="J38" s="28" t="s">
        <v>72</v>
      </c>
      <c r="K38" s="81" t="s">
        <v>64</v>
      </c>
      <c r="L38" s="31" t="s">
        <v>76</v>
      </c>
      <c r="M38" s="31">
        <v>6</v>
      </c>
      <c r="N38" s="34">
        <v>34560</v>
      </c>
      <c r="O38" s="33">
        <f t="shared" si="0"/>
        <v>207360</v>
      </c>
      <c r="P38" s="33">
        <f t="shared" si="1"/>
        <v>39398.400000000001</v>
      </c>
      <c r="Q38" s="32">
        <f t="shared" si="2"/>
        <v>246758.39999999999</v>
      </c>
      <c r="R38" s="32">
        <v>0</v>
      </c>
      <c r="S38" s="33">
        <f t="shared" si="3"/>
        <v>0</v>
      </c>
      <c r="T38" s="33">
        <f t="shared" si="4"/>
        <v>0</v>
      </c>
      <c r="U38" s="33">
        <f t="shared" si="5"/>
        <v>0</v>
      </c>
      <c r="V38" s="34">
        <f t="shared" si="6"/>
        <v>246758.39999999999</v>
      </c>
      <c r="W38" s="101"/>
    </row>
    <row r="39" spans="1:23" ht="25.5" hidden="1" customHeight="1">
      <c r="A39" s="1"/>
      <c r="B39" s="1"/>
      <c r="C39" s="12"/>
      <c r="D39" s="12"/>
      <c r="E39" s="12"/>
      <c r="F39" s="13"/>
      <c r="G39" s="14"/>
      <c r="H39" s="79"/>
      <c r="I39" s="29">
        <v>43610</v>
      </c>
      <c r="J39" s="28" t="s">
        <v>72</v>
      </c>
      <c r="K39" s="81" t="s">
        <v>64</v>
      </c>
      <c r="L39" s="31" t="s">
        <v>77</v>
      </c>
      <c r="M39" s="31">
        <v>4</v>
      </c>
      <c r="N39" s="34">
        <v>9454</v>
      </c>
      <c r="O39" s="33">
        <f t="shared" si="0"/>
        <v>37816</v>
      </c>
      <c r="P39" s="33">
        <f t="shared" si="1"/>
        <v>7185.04</v>
      </c>
      <c r="Q39" s="32">
        <f t="shared" si="2"/>
        <v>45001.04</v>
      </c>
      <c r="R39" s="32">
        <v>0</v>
      </c>
      <c r="S39" s="33">
        <f t="shared" si="3"/>
        <v>0</v>
      </c>
      <c r="T39" s="33">
        <f t="shared" si="4"/>
        <v>0</v>
      </c>
      <c r="U39" s="33">
        <f t="shared" si="5"/>
        <v>0</v>
      </c>
      <c r="V39" s="34">
        <f t="shared" si="6"/>
        <v>45001.04</v>
      </c>
      <c r="W39" s="101"/>
    </row>
    <row r="40" spans="1:23" ht="25.5" hidden="1" customHeight="1">
      <c r="A40" s="1"/>
      <c r="B40" s="1"/>
      <c r="C40" s="12"/>
      <c r="D40" s="12"/>
      <c r="E40" s="12"/>
      <c r="F40" s="13"/>
      <c r="G40" s="14"/>
      <c r="H40" s="79"/>
      <c r="I40" s="29">
        <v>43610</v>
      </c>
      <c r="J40" s="28" t="s">
        <v>72</v>
      </c>
      <c r="K40" s="81" t="s">
        <v>78</v>
      </c>
      <c r="L40" s="31" t="s">
        <v>79</v>
      </c>
      <c r="M40" s="31">
        <v>1</v>
      </c>
      <c r="N40" s="34">
        <v>100800</v>
      </c>
      <c r="O40" s="33">
        <f t="shared" si="0"/>
        <v>100800</v>
      </c>
      <c r="P40" s="33">
        <f t="shared" si="1"/>
        <v>19152</v>
      </c>
      <c r="Q40" s="32">
        <f t="shared" si="2"/>
        <v>119952</v>
      </c>
      <c r="R40" s="32">
        <v>0</v>
      </c>
      <c r="S40" s="33">
        <f t="shared" si="3"/>
        <v>0</v>
      </c>
      <c r="T40" s="33">
        <f t="shared" si="4"/>
        <v>0</v>
      </c>
      <c r="U40" s="33">
        <f t="shared" si="5"/>
        <v>0</v>
      </c>
      <c r="V40" s="34">
        <f t="shared" si="6"/>
        <v>119952</v>
      </c>
      <c r="W40" s="101"/>
    </row>
    <row r="41" spans="1:23" ht="25.5" hidden="1" customHeight="1">
      <c r="A41" s="1"/>
      <c r="B41" s="1"/>
      <c r="C41" s="12"/>
      <c r="D41" s="12"/>
      <c r="E41" s="12"/>
      <c r="F41" s="13"/>
      <c r="G41" s="14"/>
      <c r="H41" s="79"/>
      <c r="I41" s="29">
        <v>43610</v>
      </c>
      <c r="J41" s="28" t="s">
        <v>72</v>
      </c>
      <c r="K41" s="81" t="s">
        <v>78</v>
      </c>
      <c r="L41" s="31" t="s">
        <v>80</v>
      </c>
      <c r="M41" s="31">
        <v>1</v>
      </c>
      <c r="N41" s="34">
        <v>150000</v>
      </c>
      <c r="O41" s="33">
        <f t="shared" si="0"/>
        <v>150000</v>
      </c>
      <c r="P41" s="33">
        <f t="shared" si="1"/>
        <v>28500</v>
      </c>
      <c r="Q41" s="32">
        <f t="shared" si="2"/>
        <v>178500</v>
      </c>
      <c r="R41" s="32">
        <v>0</v>
      </c>
      <c r="S41" s="33">
        <f t="shared" si="3"/>
        <v>0</v>
      </c>
      <c r="T41" s="33">
        <f t="shared" si="4"/>
        <v>0</v>
      </c>
      <c r="U41" s="33">
        <f t="shared" si="5"/>
        <v>0</v>
      </c>
      <c r="V41" s="34">
        <f t="shared" si="6"/>
        <v>178500</v>
      </c>
      <c r="W41" s="101"/>
    </row>
    <row r="42" spans="1:23" ht="25.5" hidden="1" customHeight="1">
      <c r="A42" s="1"/>
      <c r="B42" s="1"/>
      <c r="C42" s="12"/>
      <c r="D42" s="12"/>
      <c r="E42" s="12"/>
      <c r="F42" s="13"/>
      <c r="G42" s="14"/>
      <c r="H42" s="79"/>
      <c r="I42" s="29">
        <v>43610</v>
      </c>
      <c r="J42" s="28" t="s">
        <v>72</v>
      </c>
      <c r="K42" s="81" t="s">
        <v>78</v>
      </c>
      <c r="L42" s="31" t="s">
        <v>81</v>
      </c>
      <c r="M42" s="31">
        <v>30</v>
      </c>
      <c r="N42" s="34">
        <v>400</v>
      </c>
      <c r="O42" s="33">
        <f t="shared" si="0"/>
        <v>12000</v>
      </c>
      <c r="P42" s="33">
        <f t="shared" si="1"/>
        <v>2280</v>
      </c>
      <c r="Q42" s="32">
        <f t="shared" si="2"/>
        <v>14280</v>
      </c>
      <c r="R42" s="32">
        <v>0</v>
      </c>
      <c r="S42" s="33">
        <f t="shared" si="3"/>
        <v>0</v>
      </c>
      <c r="T42" s="33">
        <f t="shared" si="4"/>
        <v>0</v>
      </c>
      <c r="U42" s="33">
        <f t="shared" si="5"/>
        <v>0</v>
      </c>
      <c r="V42" s="34">
        <f t="shared" si="6"/>
        <v>14280</v>
      </c>
      <c r="W42" s="101"/>
    </row>
    <row r="43" spans="1:23" ht="25.5" hidden="1" customHeight="1">
      <c r="A43" s="1"/>
      <c r="B43" s="1"/>
      <c r="C43" s="12"/>
      <c r="D43" s="12"/>
      <c r="E43" s="12"/>
      <c r="F43" s="13"/>
      <c r="G43" s="14"/>
      <c r="H43" s="79"/>
      <c r="I43" s="29">
        <v>43610</v>
      </c>
      <c r="J43" s="28" t="s">
        <v>72</v>
      </c>
      <c r="K43" s="81" t="s">
        <v>78</v>
      </c>
      <c r="L43" s="31" t="s">
        <v>82</v>
      </c>
      <c r="M43" s="31">
        <v>1</v>
      </c>
      <c r="N43" s="34">
        <v>142941</v>
      </c>
      <c r="O43" s="33">
        <f t="shared" si="0"/>
        <v>142941</v>
      </c>
      <c r="P43" s="33">
        <f t="shared" si="1"/>
        <v>27158.79</v>
      </c>
      <c r="Q43" s="32">
        <f t="shared" si="2"/>
        <v>170099.79</v>
      </c>
      <c r="R43" s="32">
        <v>0</v>
      </c>
      <c r="S43" s="33">
        <f t="shared" si="3"/>
        <v>0</v>
      </c>
      <c r="T43" s="33">
        <f t="shared" si="4"/>
        <v>0</v>
      </c>
      <c r="U43" s="33">
        <f t="shared" si="5"/>
        <v>0</v>
      </c>
      <c r="V43" s="34">
        <f t="shared" si="6"/>
        <v>170099.79</v>
      </c>
      <c r="W43" s="101"/>
    </row>
    <row r="44" spans="1:23" ht="25.5" hidden="1" customHeight="1">
      <c r="A44" s="1"/>
      <c r="B44" s="1"/>
      <c r="C44" s="12"/>
      <c r="D44" s="12"/>
      <c r="E44" s="12"/>
      <c r="F44" s="13"/>
      <c r="G44" s="14"/>
      <c r="H44" s="79"/>
      <c r="I44" s="29">
        <v>43610</v>
      </c>
      <c r="J44" s="28" t="s">
        <v>72</v>
      </c>
      <c r="K44" s="81" t="s">
        <v>64</v>
      </c>
      <c r="L44" s="31" t="s">
        <v>83</v>
      </c>
      <c r="M44" s="31">
        <v>1</v>
      </c>
      <c r="N44" s="34">
        <v>0</v>
      </c>
      <c r="O44" s="33">
        <f t="shared" si="0"/>
        <v>0</v>
      </c>
      <c r="P44" s="33">
        <f t="shared" si="1"/>
        <v>0</v>
      </c>
      <c r="Q44" s="32">
        <f t="shared" si="2"/>
        <v>0</v>
      </c>
      <c r="R44" s="32">
        <v>13801</v>
      </c>
      <c r="S44" s="33">
        <f t="shared" si="3"/>
        <v>13801</v>
      </c>
      <c r="T44" s="33">
        <f t="shared" si="4"/>
        <v>2622.19</v>
      </c>
      <c r="U44" s="33">
        <f t="shared" si="5"/>
        <v>16423.189999999999</v>
      </c>
      <c r="V44" s="34">
        <f t="shared" si="6"/>
        <v>16423.189999999999</v>
      </c>
      <c r="W44" s="101"/>
    </row>
    <row r="45" spans="1:23" ht="25.5" hidden="1" customHeight="1">
      <c r="A45" s="1"/>
      <c r="B45" s="1"/>
      <c r="C45" s="12"/>
      <c r="D45" s="12"/>
      <c r="E45" s="12"/>
      <c r="F45" s="13"/>
      <c r="G45" s="14"/>
      <c r="H45" s="79"/>
      <c r="I45" s="29">
        <v>43610</v>
      </c>
      <c r="J45" s="28" t="s">
        <v>72</v>
      </c>
      <c r="K45" s="81" t="s">
        <v>64</v>
      </c>
      <c r="L45" s="31" t="s">
        <v>84</v>
      </c>
      <c r="M45" s="31">
        <v>1</v>
      </c>
      <c r="N45" s="34">
        <v>0</v>
      </c>
      <c r="O45" s="33">
        <f t="shared" si="0"/>
        <v>0</v>
      </c>
      <c r="P45" s="33">
        <f t="shared" si="1"/>
        <v>0</v>
      </c>
      <c r="Q45" s="32">
        <f t="shared" si="2"/>
        <v>0</v>
      </c>
      <c r="R45" s="32">
        <v>13801</v>
      </c>
      <c r="S45" s="33">
        <f t="shared" si="3"/>
        <v>13801</v>
      </c>
      <c r="T45" s="33">
        <f t="shared" si="4"/>
        <v>2622.19</v>
      </c>
      <c r="U45" s="33">
        <f t="shared" si="5"/>
        <v>16423.189999999999</v>
      </c>
      <c r="V45" s="34">
        <f t="shared" si="6"/>
        <v>16423.189999999999</v>
      </c>
      <c r="W45" s="101"/>
    </row>
    <row r="46" spans="1:23" ht="25.5" hidden="1" customHeight="1">
      <c r="A46" s="1"/>
      <c r="B46" s="1"/>
      <c r="C46" s="12"/>
      <c r="D46" s="12"/>
      <c r="E46" s="12"/>
      <c r="F46" s="13"/>
      <c r="G46" s="14"/>
      <c r="H46" s="79"/>
      <c r="I46" s="29">
        <v>43610</v>
      </c>
      <c r="J46" s="28" t="s">
        <v>72</v>
      </c>
      <c r="K46" s="82" t="s">
        <v>64</v>
      </c>
      <c r="L46" s="31" t="s">
        <v>85</v>
      </c>
      <c r="M46" s="31">
        <v>1</v>
      </c>
      <c r="N46" s="34">
        <v>0</v>
      </c>
      <c r="O46" s="33">
        <f t="shared" si="0"/>
        <v>0</v>
      </c>
      <c r="P46" s="33">
        <f t="shared" si="1"/>
        <v>0</v>
      </c>
      <c r="Q46" s="32">
        <f t="shared" si="2"/>
        <v>0</v>
      </c>
      <c r="R46" s="32">
        <v>20000</v>
      </c>
      <c r="S46" s="33">
        <f t="shared" si="3"/>
        <v>20000</v>
      </c>
      <c r="T46" s="33">
        <f t="shared" si="4"/>
        <v>3800</v>
      </c>
      <c r="U46" s="33">
        <f t="shared" si="5"/>
        <v>23800</v>
      </c>
      <c r="V46" s="34">
        <f t="shared" si="6"/>
        <v>23800</v>
      </c>
      <c r="W46" s="101"/>
    </row>
    <row r="47" spans="1:23" ht="25.5" hidden="1" customHeight="1">
      <c r="A47" s="1"/>
      <c r="B47" s="1"/>
      <c r="C47" s="12"/>
      <c r="D47" s="12"/>
      <c r="E47" s="12"/>
      <c r="F47" s="13"/>
      <c r="G47" s="14"/>
      <c r="H47" s="79"/>
      <c r="I47" s="29">
        <v>43610</v>
      </c>
      <c r="J47" s="28" t="s">
        <v>72</v>
      </c>
      <c r="K47" s="82" t="s">
        <v>78</v>
      </c>
      <c r="L47" s="31" t="s">
        <v>86</v>
      </c>
      <c r="M47" s="31">
        <v>1</v>
      </c>
      <c r="N47" s="34">
        <v>0</v>
      </c>
      <c r="O47" s="33">
        <f t="shared" si="0"/>
        <v>0</v>
      </c>
      <c r="P47" s="33">
        <f t="shared" si="1"/>
        <v>0</v>
      </c>
      <c r="Q47" s="32">
        <f t="shared" si="2"/>
        <v>0</v>
      </c>
      <c r="R47" s="32">
        <v>48428</v>
      </c>
      <c r="S47" s="33">
        <f t="shared" si="3"/>
        <v>48428</v>
      </c>
      <c r="T47" s="33">
        <f t="shared" si="4"/>
        <v>9201.32</v>
      </c>
      <c r="U47" s="33">
        <f t="shared" si="5"/>
        <v>57629.32</v>
      </c>
      <c r="V47" s="34">
        <f t="shared" si="6"/>
        <v>57629.32</v>
      </c>
      <c r="W47" s="101"/>
    </row>
    <row r="48" spans="1:23" ht="25.5" hidden="1" customHeight="1">
      <c r="A48" s="1"/>
      <c r="B48" s="1"/>
      <c r="C48" s="12"/>
      <c r="D48" s="12"/>
      <c r="E48" s="12"/>
      <c r="F48" s="13"/>
      <c r="G48" s="14"/>
      <c r="H48" s="79"/>
      <c r="I48" s="29">
        <v>43610</v>
      </c>
      <c r="J48" s="28" t="s">
        <v>72</v>
      </c>
      <c r="K48" s="82" t="s">
        <v>78</v>
      </c>
      <c r="L48" s="31" t="s">
        <v>87</v>
      </c>
      <c r="M48" s="31">
        <v>1</v>
      </c>
      <c r="N48" s="34">
        <v>0</v>
      </c>
      <c r="O48" s="33">
        <f t="shared" si="0"/>
        <v>0</v>
      </c>
      <c r="P48" s="33">
        <f t="shared" si="1"/>
        <v>0</v>
      </c>
      <c r="Q48" s="32">
        <f t="shared" si="2"/>
        <v>0</v>
      </c>
      <c r="R48" s="32">
        <v>34819</v>
      </c>
      <c r="S48" s="33">
        <f t="shared" si="3"/>
        <v>34819</v>
      </c>
      <c r="T48" s="33">
        <f t="shared" si="4"/>
        <v>6615.61</v>
      </c>
      <c r="U48" s="33">
        <f t="shared" si="5"/>
        <v>41434.61</v>
      </c>
      <c r="V48" s="34">
        <f t="shared" si="6"/>
        <v>41434.61</v>
      </c>
      <c r="W48" s="101"/>
    </row>
    <row r="49" spans="1:23" ht="25.5" hidden="1" customHeight="1">
      <c r="A49" s="1"/>
      <c r="B49" s="1"/>
      <c r="C49" s="12"/>
      <c r="D49" s="12"/>
      <c r="E49" s="12"/>
      <c r="F49" s="13"/>
      <c r="G49" s="14"/>
      <c r="H49" s="79"/>
      <c r="I49" s="29">
        <v>43610</v>
      </c>
      <c r="J49" s="28" t="s">
        <v>72</v>
      </c>
      <c r="K49" s="82" t="s">
        <v>78</v>
      </c>
      <c r="L49" s="31" t="s">
        <v>88</v>
      </c>
      <c r="M49" s="31">
        <v>1</v>
      </c>
      <c r="N49" s="34">
        <v>0</v>
      </c>
      <c r="O49" s="33">
        <f t="shared" si="0"/>
        <v>0</v>
      </c>
      <c r="P49" s="33">
        <f t="shared" si="1"/>
        <v>0</v>
      </c>
      <c r="Q49" s="32">
        <f t="shared" si="2"/>
        <v>0</v>
      </c>
      <c r="R49" s="32">
        <v>140000</v>
      </c>
      <c r="S49" s="33">
        <f t="shared" si="3"/>
        <v>140000</v>
      </c>
      <c r="T49" s="33">
        <f t="shared" si="4"/>
        <v>26600</v>
      </c>
      <c r="U49" s="33">
        <f t="shared" si="5"/>
        <v>166600</v>
      </c>
      <c r="V49" s="34">
        <f t="shared" si="6"/>
        <v>166600</v>
      </c>
      <c r="W49" s="101"/>
    </row>
    <row r="50" spans="1:23" ht="25.5" hidden="1" customHeight="1">
      <c r="A50" s="1"/>
      <c r="B50" s="1"/>
      <c r="C50" s="12"/>
      <c r="D50" s="12"/>
      <c r="E50" s="12"/>
      <c r="F50" s="13"/>
      <c r="G50" s="14"/>
      <c r="H50" s="79"/>
      <c r="I50" s="29">
        <v>43610</v>
      </c>
      <c r="J50" s="28" t="s">
        <v>72</v>
      </c>
      <c r="K50" s="82" t="s">
        <v>78</v>
      </c>
      <c r="L50" s="31" t="s">
        <v>89</v>
      </c>
      <c r="M50" s="31">
        <v>1</v>
      </c>
      <c r="N50" s="34">
        <v>0</v>
      </c>
      <c r="O50" s="33">
        <f t="shared" si="0"/>
        <v>0</v>
      </c>
      <c r="P50" s="33">
        <f t="shared" si="1"/>
        <v>0</v>
      </c>
      <c r="Q50" s="32">
        <f t="shared" si="2"/>
        <v>0</v>
      </c>
      <c r="R50" s="32">
        <v>14560</v>
      </c>
      <c r="S50" s="33">
        <f t="shared" si="3"/>
        <v>14560</v>
      </c>
      <c r="T50" s="33">
        <f t="shared" si="4"/>
        <v>2766.4</v>
      </c>
      <c r="U50" s="33">
        <f t="shared" si="5"/>
        <v>17326.400000000001</v>
      </c>
      <c r="V50" s="34">
        <f t="shared" si="6"/>
        <v>17326.400000000001</v>
      </c>
      <c r="W50" s="101"/>
    </row>
    <row r="51" spans="1:23" ht="25.5" hidden="1" customHeight="1">
      <c r="A51" s="1"/>
      <c r="B51" s="1"/>
      <c r="C51" s="12"/>
      <c r="D51" s="12"/>
      <c r="E51" s="12"/>
      <c r="F51" s="13"/>
      <c r="G51" s="14"/>
      <c r="H51" s="79"/>
      <c r="I51" s="29">
        <v>43610</v>
      </c>
      <c r="J51" s="28" t="s">
        <v>72</v>
      </c>
      <c r="K51" s="82" t="s">
        <v>78</v>
      </c>
      <c r="L51" s="31" t="s">
        <v>90</v>
      </c>
      <c r="M51" s="31">
        <v>1</v>
      </c>
      <c r="N51" s="34">
        <v>0</v>
      </c>
      <c r="O51" s="33">
        <f t="shared" si="0"/>
        <v>0</v>
      </c>
      <c r="P51" s="33">
        <f t="shared" si="1"/>
        <v>0</v>
      </c>
      <c r="Q51" s="32">
        <f t="shared" si="2"/>
        <v>0</v>
      </c>
      <c r="R51" s="32">
        <v>50000</v>
      </c>
      <c r="S51" s="33">
        <f t="shared" si="3"/>
        <v>50000</v>
      </c>
      <c r="T51" s="33">
        <f t="shared" si="4"/>
        <v>9500</v>
      </c>
      <c r="U51" s="33">
        <f t="shared" si="5"/>
        <v>59500</v>
      </c>
      <c r="V51" s="34">
        <f t="shared" si="6"/>
        <v>59500</v>
      </c>
      <c r="W51" s="101"/>
    </row>
    <row r="52" spans="1:23" ht="25.5" hidden="1" customHeight="1">
      <c r="A52" s="1"/>
      <c r="B52" s="1"/>
      <c r="C52" s="12"/>
      <c r="D52" s="12"/>
      <c r="E52" s="12"/>
      <c r="F52" s="13"/>
      <c r="G52" s="14"/>
      <c r="H52" s="79"/>
      <c r="I52" s="29">
        <v>43651</v>
      </c>
      <c r="J52" s="28" t="s">
        <v>91</v>
      </c>
      <c r="K52" s="82" t="s">
        <v>64</v>
      </c>
      <c r="L52" s="31" t="s">
        <v>92</v>
      </c>
      <c r="M52" s="31">
        <v>1</v>
      </c>
      <c r="N52" s="34">
        <v>0</v>
      </c>
      <c r="O52" s="33">
        <f t="shared" si="0"/>
        <v>0</v>
      </c>
      <c r="P52" s="33">
        <f t="shared" si="1"/>
        <v>0</v>
      </c>
      <c r="Q52" s="32">
        <f t="shared" si="2"/>
        <v>0</v>
      </c>
      <c r="R52" s="32">
        <v>49160</v>
      </c>
      <c r="S52" s="33">
        <f t="shared" si="3"/>
        <v>49160</v>
      </c>
      <c r="T52" s="33">
        <f t="shared" si="4"/>
        <v>9340.4</v>
      </c>
      <c r="U52" s="33">
        <f t="shared" si="5"/>
        <v>58500.4</v>
      </c>
      <c r="V52" s="34">
        <f t="shared" si="6"/>
        <v>58500.4</v>
      </c>
      <c r="W52" s="101"/>
    </row>
    <row r="53" spans="1:23" ht="25.5" hidden="1" customHeight="1">
      <c r="A53" s="1"/>
      <c r="B53" s="1"/>
      <c r="C53" s="12"/>
      <c r="D53" s="12"/>
      <c r="E53" s="12"/>
      <c r="F53" s="13"/>
      <c r="G53" s="14"/>
      <c r="H53" s="79"/>
      <c r="I53" s="29"/>
      <c r="J53" s="28"/>
      <c r="K53" s="82"/>
      <c r="L53" s="31"/>
      <c r="M53" s="31">
        <v>0</v>
      </c>
      <c r="N53" s="34">
        <v>0</v>
      </c>
      <c r="O53" s="33">
        <f t="shared" si="0"/>
        <v>0</v>
      </c>
      <c r="P53" s="33">
        <f t="shared" si="1"/>
        <v>0</v>
      </c>
      <c r="Q53" s="32">
        <f t="shared" si="2"/>
        <v>0</v>
      </c>
      <c r="R53" s="32">
        <v>0</v>
      </c>
      <c r="S53" s="33">
        <f t="shared" si="3"/>
        <v>0</v>
      </c>
      <c r="T53" s="33">
        <f t="shared" si="4"/>
        <v>0</v>
      </c>
      <c r="U53" s="33">
        <f t="shared" si="5"/>
        <v>0</v>
      </c>
      <c r="V53" s="34">
        <f t="shared" si="6"/>
        <v>0</v>
      </c>
      <c r="W53" s="101"/>
    </row>
    <row r="54" spans="1:23" ht="25.5" hidden="1" customHeight="1">
      <c r="A54" s="1"/>
      <c r="B54" s="1"/>
      <c r="C54" s="12"/>
      <c r="D54" s="12"/>
      <c r="E54" s="12"/>
      <c r="F54" s="13"/>
      <c r="G54" s="14"/>
      <c r="H54" s="79"/>
      <c r="I54" s="29"/>
      <c r="J54" s="28"/>
      <c r="K54" s="82"/>
      <c r="L54" s="31"/>
      <c r="M54" s="31">
        <v>0</v>
      </c>
      <c r="N54" s="34">
        <v>0</v>
      </c>
      <c r="O54" s="33">
        <f t="shared" si="0"/>
        <v>0</v>
      </c>
      <c r="P54" s="33">
        <f t="shared" si="1"/>
        <v>0</v>
      </c>
      <c r="Q54" s="32">
        <f t="shared" si="2"/>
        <v>0</v>
      </c>
      <c r="R54" s="32">
        <v>0</v>
      </c>
      <c r="S54" s="33">
        <f t="shared" si="3"/>
        <v>0</v>
      </c>
      <c r="T54" s="33">
        <f t="shared" si="4"/>
        <v>0</v>
      </c>
      <c r="U54" s="33">
        <f t="shared" si="5"/>
        <v>0</v>
      </c>
      <c r="V54" s="34">
        <f t="shared" si="6"/>
        <v>0</v>
      </c>
      <c r="W54" s="101"/>
    </row>
    <row r="55" spans="1:23" ht="25.5" hidden="1" customHeight="1">
      <c r="A55" s="1"/>
      <c r="B55" s="1"/>
      <c r="C55" s="12"/>
      <c r="D55" s="12"/>
      <c r="E55" s="12"/>
      <c r="F55" s="13"/>
      <c r="G55" s="14"/>
      <c r="H55" s="79">
        <v>52513</v>
      </c>
      <c r="I55" s="29">
        <v>43852</v>
      </c>
      <c r="J55" s="28" t="s">
        <v>93</v>
      </c>
      <c r="K55" s="82" t="s">
        <v>64</v>
      </c>
      <c r="L55" s="31" t="s">
        <v>94</v>
      </c>
      <c r="M55" s="31">
        <v>1</v>
      </c>
      <c r="N55" s="34">
        <v>16639</v>
      </c>
      <c r="O55" s="33">
        <f t="shared" si="0"/>
        <v>16639</v>
      </c>
      <c r="P55" s="33">
        <f t="shared" si="1"/>
        <v>3161.41</v>
      </c>
      <c r="Q55" s="32">
        <f t="shared" si="2"/>
        <v>19800.41</v>
      </c>
      <c r="R55" s="32">
        <v>0</v>
      </c>
      <c r="S55" s="33">
        <f t="shared" si="3"/>
        <v>0</v>
      </c>
      <c r="T55" s="33">
        <f t="shared" si="4"/>
        <v>0</v>
      </c>
      <c r="U55" s="33">
        <f t="shared" si="5"/>
        <v>0</v>
      </c>
      <c r="V55" s="34">
        <f t="shared" si="6"/>
        <v>19800.41</v>
      </c>
      <c r="W55" s="101"/>
    </row>
    <row r="56" spans="1:23" ht="25.5" hidden="1" customHeight="1">
      <c r="A56" s="1"/>
      <c r="B56" s="1"/>
      <c r="C56" s="12"/>
      <c r="D56" s="12"/>
      <c r="E56" s="12"/>
      <c r="F56" s="13"/>
      <c r="G56" s="14"/>
      <c r="H56" s="79">
        <v>52504</v>
      </c>
      <c r="I56" s="29">
        <v>43852</v>
      </c>
      <c r="J56" s="28" t="s">
        <v>93</v>
      </c>
      <c r="K56" s="82" t="s">
        <v>64</v>
      </c>
      <c r="L56" s="31" t="s">
        <v>95</v>
      </c>
      <c r="M56" s="31">
        <v>1</v>
      </c>
      <c r="N56" s="34">
        <v>54502</v>
      </c>
      <c r="O56" s="33">
        <f t="shared" si="0"/>
        <v>54502</v>
      </c>
      <c r="P56" s="33">
        <f t="shared" si="1"/>
        <v>10355.380000000001</v>
      </c>
      <c r="Q56" s="32">
        <f t="shared" si="2"/>
        <v>64857.380000000005</v>
      </c>
      <c r="R56" s="32">
        <v>0</v>
      </c>
      <c r="S56" s="33">
        <f t="shared" si="3"/>
        <v>0</v>
      </c>
      <c r="T56" s="33">
        <f t="shared" si="4"/>
        <v>0</v>
      </c>
      <c r="U56" s="33">
        <f t="shared" si="5"/>
        <v>0</v>
      </c>
      <c r="V56" s="34">
        <f t="shared" si="6"/>
        <v>64857.380000000005</v>
      </c>
      <c r="W56" s="101"/>
    </row>
    <row r="57" spans="1:23" ht="25.5" hidden="1" customHeight="1">
      <c r="A57" s="1"/>
      <c r="B57" s="1"/>
      <c r="C57" s="12"/>
      <c r="D57" s="12"/>
      <c r="E57" s="12"/>
      <c r="F57" s="13"/>
      <c r="G57" s="14"/>
      <c r="H57" s="79">
        <v>51597</v>
      </c>
      <c r="I57" s="29">
        <v>43852</v>
      </c>
      <c r="J57" s="28" t="s">
        <v>93</v>
      </c>
      <c r="K57" s="82" t="s">
        <v>64</v>
      </c>
      <c r="L57" s="31" t="s">
        <v>69</v>
      </c>
      <c r="M57" s="31">
        <v>1</v>
      </c>
      <c r="N57" s="34">
        <v>18908</v>
      </c>
      <c r="O57" s="33">
        <f t="shared" si="0"/>
        <v>18908</v>
      </c>
      <c r="P57" s="33">
        <f t="shared" si="1"/>
        <v>3592.52</v>
      </c>
      <c r="Q57" s="32">
        <f t="shared" si="2"/>
        <v>22500.52</v>
      </c>
      <c r="R57" s="32">
        <v>0</v>
      </c>
      <c r="S57" s="33">
        <f t="shared" si="3"/>
        <v>0</v>
      </c>
      <c r="T57" s="33">
        <f t="shared" si="4"/>
        <v>0</v>
      </c>
      <c r="U57" s="33">
        <f t="shared" si="5"/>
        <v>0</v>
      </c>
      <c r="V57" s="34">
        <f t="shared" si="6"/>
        <v>22500.52</v>
      </c>
      <c r="W57" s="101"/>
    </row>
    <row r="58" spans="1:23" ht="25.5" hidden="1" customHeight="1">
      <c r="A58" s="1"/>
      <c r="B58" s="1"/>
      <c r="C58" s="12"/>
      <c r="D58" s="12"/>
      <c r="E58" s="12"/>
      <c r="F58" s="13"/>
      <c r="G58" s="14"/>
      <c r="H58" s="79">
        <v>53333</v>
      </c>
      <c r="I58" s="29">
        <v>43852</v>
      </c>
      <c r="J58" s="28" t="s">
        <v>96</v>
      </c>
      <c r="K58" s="82" t="s">
        <v>64</v>
      </c>
      <c r="L58" s="31" t="s">
        <v>69</v>
      </c>
      <c r="M58" s="31">
        <v>1</v>
      </c>
      <c r="N58" s="34">
        <v>18908</v>
      </c>
      <c r="O58" s="33">
        <f t="shared" si="0"/>
        <v>18908</v>
      </c>
      <c r="P58" s="33">
        <f t="shared" si="1"/>
        <v>3592.52</v>
      </c>
      <c r="Q58" s="32">
        <f t="shared" si="2"/>
        <v>22500.52</v>
      </c>
      <c r="R58" s="32">
        <v>0</v>
      </c>
      <c r="S58" s="33">
        <f t="shared" si="3"/>
        <v>0</v>
      </c>
      <c r="T58" s="33">
        <f t="shared" si="4"/>
        <v>0</v>
      </c>
      <c r="U58" s="33">
        <f t="shared" si="5"/>
        <v>0</v>
      </c>
      <c r="V58" s="34">
        <f t="shared" si="6"/>
        <v>22500.52</v>
      </c>
      <c r="W58" s="101"/>
    </row>
    <row r="59" spans="1:23" ht="25.5" hidden="1" customHeight="1">
      <c r="A59" s="1"/>
      <c r="B59" s="1"/>
      <c r="C59" s="12"/>
      <c r="D59" s="12"/>
      <c r="E59" s="12"/>
      <c r="F59" s="13"/>
      <c r="G59" s="14"/>
      <c r="H59" s="79"/>
      <c r="I59" s="29"/>
      <c r="J59" s="28"/>
      <c r="K59" s="82"/>
      <c r="L59" s="31"/>
      <c r="M59" s="31">
        <v>0</v>
      </c>
      <c r="N59" s="34">
        <v>0</v>
      </c>
      <c r="O59" s="33">
        <f t="shared" si="0"/>
        <v>0</v>
      </c>
      <c r="P59" s="33">
        <f t="shared" si="1"/>
        <v>0</v>
      </c>
      <c r="Q59" s="32">
        <f t="shared" si="2"/>
        <v>0</v>
      </c>
      <c r="R59" s="32">
        <v>0</v>
      </c>
      <c r="S59" s="33">
        <f t="shared" si="3"/>
        <v>0</v>
      </c>
      <c r="T59" s="33">
        <f t="shared" si="4"/>
        <v>0</v>
      </c>
      <c r="U59" s="33">
        <f t="shared" si="5"/>
        <v>0</v>
      </c>
      <c r="V59" s="34">
        <f t="shared" si="6"/>
        <v>0</v>
      </c>
      <c r="W59" s="101"/>
    </row>
    <row r="60" spans="1:23" ht="25.5" hidden="1" customHeight="1">
      <c r="A60" s="1"/>
      <c r="B60" s="1"/>
      <c r="C60" s="12"/>
      <c r="D60" s="12"/>
      <c r="E60" s="12"/>
      <c r="F60" s="13"/>
      <c r="G60" s="14"/>
      <c r="H60" s="79">
        <v>57393</v>
      </c>
      <c r="I60" s="29">
        <v>43944</v>
      </c>
      <c r="J60" s="28" t="s">
        <v>97</v>
      </c>
      <c r="K60" s="82" t="s">
        <v>78</v>
      </c>
      <c r="L60" s="31" t="s">
        <v>98</v>
      </c>
      <c r="M60" s="31">
        <v>1</v>
      </c>
      <c r="N60" s="34">
        <v>18908</v>
      </c>
      <c r="O60" s="33">
        <f t="shared" si="0"/>
        <v>18908</v>
      </c>
      <c r="P60" s="33">
        <f t="shared" si="1"/>
        <v>3592.52</v>
      </c>
      <c r="Q60" s="32">
        <f t="shared" si="2"/>
        <v>22500.52</v>
      </c>
      <c r="R60" s="32">
        <v>0</v>
      </c>
      <c r="S60" s="33">
        <f t="shared" si="3"/>
        <v>0</v>
      </c>
      <c r="T60" s="33">
        <f t="shared" si="4"/>
        <v>0</v>
      </c>
      <c r="U60" s="33">
        <f t="shared" si="5"/>
        <v>0</v>
      </c>
      <c r="V60" s="34">
        <f t="shared" si="6"/>
        <v>22500.52</v>
      </c>
      <c r="W60" s="101"/>
    </row>
    <row r="61" spans="1:23" ht="25.5" hidden="1" customHeight="1">
      <c r="A61" s="1"/>
      <c r="B61" s="1"/>
      <c r="C61" s="12"/>
      <c r="D61" s="12"/>
      <c r="E61" s="12"/>
      <c r="F61" s="13"/>
      <c r="G61" s="14"/>
      <c r="H61" s="79"/>
      <c r="I61" s="29"/>
      <c r="J61" s="28" t="s">
        <v>97</v>
      </c>
      <c r="K61" s="82" t="s">
        <v>78</v>
      </c>
      <c r="L61" s="31" t="s">
        <v>99</v>
      </c>
      <c r="M61" s="31">
        <v>1</v>
      </c>
      <c r="N61" s="34">
        <v>40000</v>
      </c>
      <c r="O61" s="33">
        <f t="shared" si="0"/>
        <v>40000</v>
      </c>
      <c r="P61" s="33">
        <f t="shared" si="1"/>
        <v>7600</v>
      </c>
      <c r="Q61" s="32">
        <f t="shared" si="2"/>
        <v>47600</v>
      </c>
      <c r="R61" s="32">
        <v>0</v>
      </c>
      <c r="S61" s="33">
        <f t="shared" si="3"/>
        <v>0</v>
      </c>
      <c r="T61" s="33">
        <f t="shared" si="4"/>
        <v>0</v>
      </c>
      <c r="U61" s="33">
        <f t="shared" si="5"/>
        <v>0</v>
      </c>
      <c r="V61" s="34">
        <f t="shared" si="6"/>
        <v>47600</v>
      </c>
      <c r="W61" s="101"/>
    </row>
    <row r="62" spans="1:23" ht="25.5" hidden="1" customHeight="1">
      <c r="A62" s="1"/>
      <c r="B62" s="1"/>
      <c r="C62" s="12"/>
      <c r="D62" s="12"/>
      <c r="E62" s="12"/>
      <c r="F62" s="13"/>
      <c r="G62" s="14"/>
      <c r="H62" s="79"/>
      <c r="I62" s="29"/>
      <c r="J62" s="28" t="s">
        <v>97</v>
      </c>
      <c r="K62" s="82" t="s">
        <v>78</v>
      </c>
      <c r="L62" s="31" t="s">
        <v>100</v>
      </c>
      <c r="M62" s="31">
        <v>1</v>
      </c>
      <c r="N62" s="34">
        <v>140000</v>
      </c>
      <c r="O62" s="33">
        <f t="shared" si="0"/>
        <v>140000</v>
      </c>
      <c r="P62" s="33">
        <f t="shared" si="1"/>
        <v>26600</v>
      </c>
      <c r="Q62" s="32">
        <f t="shared" si="2"/>
        <v>166600</v>
      </c>
      <c r="R62" s="32">
        <v>0</v>
      </c>
      <c r="S62" s="33">
        <f t="shared" si="3"/>
        <v>0</v>
      </c>
      <c r="T62" s="33">
        <f t="shared" si="4"/>
        <v>0</v>
      </c>
      <c r="U62" s="33">
        <f t="shared" si="5"/>
        <v>0</v>
      </c>
      <c r="V62" s="34">
        <f t="shared" si="6"/>
        <v>166600</v>
      </c>
      <c r="W62" s="101"/>
    </row>
    <row r="63" spans="1:23" ht="25.5" hidden="1" customHeight="1">
      <c r="A63" s="1"/>
      <c r="B63" s="1"/>
      <c r="C63" s="12"/>
      <c r="D63" s="12"/>
      <c r="E63" s="12"/>
      <c r="F63" s="13"/>
      <c r="G63" s="14"/>
      <c r="H63" s="79"/>
      <c r="I63" s="29"/>
      <c r="J63" s="28" t="s">
        <v>97</v>
      </c>
      <c r="K63" s="82" t="s">
        <v>78</v>
      </c>
      <c r="L63" s="31" t="s">
        <v>101</v>
      </c>
      <c r="M63" s="31">
        <v>2</v>
      </c>
      <c r="N63" s="34">
        <v>45000</v>
      </c>
      <c r="O63" s="33">
        <f t="shared" si="0"/>
        <v>90000</v>
      </c>
      <c r="P63" s="33">
        <f t="shared" si="1"/>
        <v>17100</v>
      </c>
      <c r="Q63" s="32">
        <f t="shared" si="2"/>
        <v>107100</v>
      </c>
      <c r="R63" s="32">
        <v>0</v>
      </c>
      <c r="S63" s="33">
        <f t="shared" si="3"/>
        <v>0</v>
      </c>
      <c r="T63" s="33">
        <f t="shared" si="4"/>
        <v>0</v>
      </c>
      <c r="U63" s="33">
        <f t="shared" si="5"/>
        <v>0</v>
      </c>
      <c r="V63" s="34">
        <f t="shared" si="6"/>
        <v>107100</v>
      </c>
      <c r="W63" s="101"/>
    </row>
    <row r="64" spans="1:23" ht="25.5" hidden="1" customHeight="1">
      <c r="A64" s="1"/>
      <c r="B64" s="1"/>
      <c r="C64" s="12"/>
      <c r="D64" s="12"/>
      <c r="E64" s="12"/>
      <c r="F64" s="13"/>
      <c r="G64" s="14"/>
      <c r="H64" s="79"/>
      <c r="I64" s="29"/>
      <c r="J64" s="28" t="s">
        <v>97</v>
      </c>
      <c r="K64" s="82" t="s">
        <v>78</v>
      </c>
      <c r="L64" s="31" t="s">
        <v>87</v>
      </c>
      <c r="M64" s="31">
        <v>1</v>
      </c>
      <c r="N64" s="34">
        <v>0</v>
      </c>
      <c r="O64" s="33">
        <f t="shared" si="0"/>
        <v>0</v>
      </c>
      <c r="P64" s="33">
        <f t="shared" si="1"/>
        <v>0</v>
      </c>
      <c r="Q64" s="32">
        <f t="shared" si="2"/>
        <v>0</v>
      </c>
      <c r="R64" s="32">
        <v>34818</v>
      </c>
      <c r="S64" s="33">
        <f t="shared" si="3"/>
        <v>34818</v>
      </c>
      <c r="T64" s="33">
        <f t="shared" si="4"/>
        <v>6615.42</v>
      </c>
      <c r="U64" s="33">
        <f t="shared" si="5"/>
        <v>41433.42</v>
      </c>
      <c r="V64" s="34">
        <f t="shared" si="6"/>
        <v>41433.42</v>
      </c>
      <c r="W64" s="101"/>
    </row>
    <row r="65" spans="1:23" ht="25.5" hidden="1" customHeight="1">
      <c r="A65" s="1"/>
      <c r="B65" s="1"/>
      <c r="C65" s="12"/>
      <c r="D65" s="12"/>
      <c r="E65" s="12"/>
      <c r="F65" s="13"/>
      <c r="G65" s="14"/>
      <c r="H65" s="79"/>
      <c r="I65" s="29"/>
      <c r="J65" s="28" t="s">
        <v>97</v>
      </c>
      <c r="K65" s="82" t="s">
        <v>78</v>
      </c>
      <c r="L65" s="31" t="s">
        <v>102</v>
      </c>
      <c r="M65" s="31">
        <v>1</v>
      </c>
      <c r="N65" s="34">
        <v>0</v>
      </c>
      <c r="O65" s="33">
        <f t="shared" si="0"/>
        <v>0</v>
      </c>
      <c r="P65" s="33">
        <f t="shared" si="1"/>
        <v>0</v>
      </c>
      <c r="Q65" s="32">
        <f t="shared" si="2"/>
        <v>0</v>
      </c>
      <c r="R65" s="32">
        <v>320000</v>
      </c>
      <c r="S65" s="33">
        <f t="shared" si="3"/>
        <v>320000</v>
      </c>
      <c r="T65" s="33">
        <f t="shared" si="4"/>
        <v>60800</v>
      </c>
      <c r="U65" s="33">
        <f t="shared" si="5"/>
        <v>380800</v>
      </c>
      <c r="V65" s="34">
        <f t="shared" si="6"/>
        <v>380800</v>
      </c>
      <c r="W65" s="101"/>
    </row>
    <row r="66" spans="1:23" ht="25.5" hidden="1" customHeight="1">
      <c r="A66" s="1"/>
      <c r="B66" s="1"/>
      <c r="C66" s="12"/>
      <c r="D66" s="12"/>
      <c r="E66" s="12"/>
      <c r="F66" s="13"/>
      <c r="G66" s="14"/>
      <c r="H66" s="79"/>
      <c r="I66" s="29"/>
      <c r="J66" s="28" t="s">
        <v>97</v>
      </c>
      <c r="K66" s="82" t="s">
        <v>78</v>
      </c>
      <c r="L66" s="31" t="s">
        <v>103</v>
      </c>
      <c r="M66" s="31">
        <v>1</v>
      </c>
      <c r="N66" s="34">
        <v>0</v>
      </c>
      <c r="O66" s="33">
        <f t="shared" si="0"/>
        <v>0</v>
      </c>
      <c r="P66" s="33">
        <f t="shared" si="1"/>
        <v>0</v>
      </c>
      <c r="Q66" s="32">
        <f t="shared" si="2"/>
        <v>0</v>
      </c>
      <c r="R66" s="32">
        <v>90000</v>
      </c>
      <c r="S66" s="33">
        <f t="shared" si="3"/>
        <v>90000</v>
      </c>
      <c r="T66" s="33">
        <f t="shared" si="4"/>
        <v>17100</v>
      </c>
      <c r="U66" s="33">
        <f t="shared" si="5"/>
        <v>107100</v>
      </c>
      <c r="V66" s="34">
        <f t="shared" si="6"/>
        <v>107100</v>
      </c>
      <c r="W66" s="101"/>
    </row>
    <row r="67" spans="1:23" ht="25.5" hidden="1" customHeight="1">
      <c r="A67" s="1"/>
      <c r="B67" s="1"/>
      <c r="C67" s="12"/>
      <c r="D67" s="12"/>
      <c r="E67" s="12"/>
      <c r="F67" s="13"/>
      <c r="G67" s="14"/>
      <c r="H67" s="79">
        <v>55907</v>
      </c>
      <c r="I67" s="29">
        <v>43944</v>
      </c>
      <c r="J67" s="28" t="s">
        <v>104</v>
      </c>
      <c r="K67" s="82" t="s">
        <v>64</v>
      </c>
      <c r="L67" s="31" t="s">
        <v>65</v>
      </c>
      <c r="M67" s="31">
        <v>1</v>
      </c>
      <c r="N67" s="34">
        <v>0</v>
      </c>
      <c r="O67" s="33">
        <f t="shared" si="0"/>
        <v>0</v>
      </c>
      <c r="P67" s="33">
        <f t="shared" si="1"/>
        <v>0</v>
      </c>
      <c r="Q67" s="32">
        <f t="shared" si="2"/>
        <v>0</v>
      </c>
      <c r="R67" s="32">
        <v>30252</v>
      </c>
      <c r="S67" s="33">
        <f t="shared" si="3"/>
        <v>30252</v>
      </c>
      <c r="T67" s="33">
        <f t="shared" si="4"/>
        <v>5747.88</v>
      </c>
      <c r="U67" s="33">
        <f t="shared" si="5"/>
        <v>35999.879999999997</v>
      </c>
      <c r="V67" s="34">
        <f t="shared" si="6"/>
        <v>35999.879999999997</v>
      </c>
      <c r="W67" s="101"/>
    </row>
    <row r="68" spans="1:23" ht="25.5" hidden="1" customHeight="1">
      <c r="A68" s="1"/>
      <c r="B68" s="1"/>
      <c r="C68" s="12"/>
      <c r="D68" s="12"/>
      <c r="E68" s="12"/>
      <c r="F68" s="13"/>
      <c r="G68" s="14"/>
      <c r="H68" s="79">
        <v>60479</v>
      </c>
      <c r="I68" s="29">
        <v>43993</v>
      </c>
      <c r="J68" s="28" t="s">
        <v>105</v>
      </c>
      <c r="K68" s="82" t="s">
        <v>64</v>
      </c>
      <c r="L68" s="31" t="s">
        <v>106</v>
      </c>
      <c r="M68" s="31">
        <v>1</v>
      </c>
      <c r="N68" s="34">
        <v>36302</v>
      </c>
      <c r="O68" s="33">
        <f t="shared" ref="O68:O70" si="7">+N68*M68</f>
        <v>36302</v>
      </c>
      <c r="P68" s="33">
        <f t="shared" si="1"/>
        <v>6897.38</v>
      </c>
      <c r="Q68" s="32">
        <f t="shared" ref="Q68:Q70" si="8">+P68+O68</f>
        <v>43199.38</v>
      </c>
      <c r="R68" s="32">
        <v>13801</v>
      </c>
      <c r="S68" s="33">
        <f t="shared" si="3"/>
        <v>13801</v>
      </c>
      <c r="T68" s="33">
        <f t="shared" si="4"/>
        <v>2622.19</v>
      </c>
      <c r="U68" s="33">
        <f t="shared" si="5"/>
        <v>16423.189999999999</v>
      </c>
      <c r="V68" s="34">
        <f t="shared" si="6"/>
        <v>59622.569999999992</v>
      </c>
      <c r="W68" s="101"/>
    </row>
    <row r="69" spans="1:23" ht="25.5" hidden="1" customHeight="1">
      <c r="A69" s="1"/>
      <c r="B69" s="1"/>
      <c r="C69" s="12"/>
      <c r="D69" s="12"/>
      <c r="E69" s="12"/>
      <c r="F69" s="13"/>
      <c r="G69" s="14"/>
      <c r="H69" s="79">
        <v>60479</v>
      </c>
      <c r="I69" s="29">
        <v>43993</v>
      </c>
      <c r="J69" s="28" t="s">
        <v>105</v>
      </c>
      <c r="K69" s="82" t="s">
        <v>64</v>
      </c>
      <c r="L69" s="31" t="s">
        <v>73</v>
      </c>
      <c r="M69" s="31">
        <v>1</v>
      </c>
      <c r="N69" s="34">
        <v>25412</v>
      </c>
      <c r="O69" s="33">
        <f t="shared" si="7"/>
        <v>25412</v>
      </c>
      <c r="P69" s="33">
        <f t="shared" si="1"/>
        <v>4828.28</v>
      </c>
      <c r="Q69" s="32">
        <f t="shared" si="8"/>
        <v>30240.28</v>
      </c>
      <c r="R69" s="32">
        <v>17941</v>
      </c>
      <c r="S69" s="33">
        <f t="shared" si="3"/>
        <v>17941</v>
      </c>
      <c r="T69" s="33">
        <f t="shared" si="4"/>
        <v>3408.79</v>
      </c>
      <c r="U69" s="33">
        <f t="shared" si="5"/>
        <v>21349.79</v>
      </c>
      <c r="V69" s="34">
        <f t="shared" si="6"/>
        <v>51590.07</v>
      </c>
      <c r="W69" s="101"/>
    </row>
    <row r="70" spans="1:23" ht="25.5" hidden="1" customHeight="1">
      <c r="A70" s="1"/>
      <c r="B70" s="1"/>
      <c r="C70" s="12"/>
      <c r="D70" s="12"/>
      <c r="E70" s="12"/>
      <c r="F70" s="13"/>
      <c r="G70" s="14"/>
      <c r="H70" s="79">
        <v>60479</v>
      </c>
      <c r="I70" s="29">
        <v>43993</v>
      </c>
      <c r="J70" s="28" t="s">
        <v>105</v>
      </c>
      <c r="K70" s="82" t="s">
        <v>64</v>
      </c>
      <c r="L70" s="31" t="s">
        <v>107</v>
      </c>
      <c r="M70" s="31">
        <v>6</v>
      </c>
      <c r="N70" s="34">
        <v>29042</v>
      </c>
      <c r="O70" s="33">
        <f t="shared" si="7"/>
        <v>174252</v>
      </c>
      <c r="P70" s="33">
        <f t="shared" si="1"/>
        <v>33107.879999999997</v>
      </c>
      <c r="Q70" s="32">
        <f t="shared" si="8"/>
        <v>207359.88</v>
      </c>
      <c r="R70" s="32">
        <v>0</v>
      </c>
      <c r="S70" s="33">
        <f t="shared" si="3"/>
        <v>0</v>
      </c>
      <c r="T70" s="33">
        <f t="shared" si="4"/>
        <v>0</v>
      </c>
      <c r="U70" s="33">
        <f t="shared" si="5"/>
        <v>0</v>
      </c>
      <c r="V70" s="34">
        <f t="shared" si="6"/>
        <v>207359.88</v>
      </c>
      <c r="W70" s="101"/>
    </row>
    <row r="71" spans="1:23" ht="25.5" hidden="1" customHeight="1">
      <c r="A71" s="1"/>
      <c r="B71" s="1"/>
      <c r="C71" s="12"/>
      <c r="D71" s="12"/>
      <c r="E71" s="12"/>
      <c r="F71" s="13"/>
      <c r="G71" s="14"/>
      <c r="H71" s="79">
        <v>60479</v>
      </c>
      <c r="I71" s="37">
        <v>43993</v>
      </c>
      <c r="J71" s="23" t="s">
        <v>108</v>
      </c>
      <c r="K71" s="83" t="s">
        <v>78</v>
      </c>
      <c r="L71" s="39" t="s">
        <v>109</v>
      </c>
      <c r="M71" s="31">
        <v>1</v>
      </c>
      <c r="N71" s="34">
        <v>5672</v>
      </c>
      <c r="O71" s="33">
        <f t="shared" ref="O71:O107" si="9">+N71*M71</f>
        <v>5672</v>
      </c>
      <c r="P71" s="33">
        <f t="shared" ref="P71:P107" si="10">+O71*0.19</f>
        <v>1077.68</v>
      </c>
      <c r="Q71" s="32">
        <f t="shared" ref="Q71:Q107" si="11">+P71+O71</f>
        <v>6749.68</v>
      </c>
      <c r="R71" s="32">
        <v>35294</v>
      </c>
      <c r="S71" s="33">
        <f t="shared" ref="S71:S107" si="12">+R71*M71</f>
        <v>35294</v>
      </c>
      <c r="T71" s="33">
        <f t="shared" ref="T71:T107" si="13">+S71*0.19</f>
        <v>6705.86</v>
      </c>
      <c r="U71" s="33">
        <f t="shared" ref="U71:U107" si="14">+T71+S71</f>
        <v>41999.86</v>
      </c>
      <c r="V71" s="34">
        <f t="shared" ref="V71:V107" si="15">+U71+Q71</f>
        <v>48749.54</v>
      </c>
      <c r="W71" s="101"/>
    </row>
    <row r="72" spans="1:23" s="53" customFormat="1" ht="25.5" hidden="1" customHeight="1">
      <c r="A72" s="43"/>
      <c r="B72" s="43"/>
      <c r="C72" s="44"/>
      <c r="D72" s="44"/>
      <c r="E72" s="44"/>
      <c r="F72" s="45"/>
      <c r="G72" s="30" t="s">
        <v>110</v>
      </c>
      <c r="H72" s="38">
        <v>65729</v>
      </c>
      <c r="I72" s="46">
        <v>44179</v>
      </c>
      <c r="J72" s="47" t="s">
        <v>111</v>
      </c>
      <c r="K72" s="84" t="s">
        <v>78</v>
      </c>
      <c r="L72" s="48" t="s">
        <v>112</v>
      </c>
      <c r="M72" s="49">
        <v>3</v>
      </c>
      <c r="N72" s="50">
        <v>20609</v>
      </c>
      <c r="O72" s="51">
        <f t="shared" si="9"/>
        <v>61827</v>
      </c>
      <c r="P72" s="51">
        <f t="shared" si="10"/>
        <v>11747.130000000001</v>
      </c>
      <c r="Q72" s="52">
        <f t="shared" si="11"/>
        <v>73574.13</v>
      </c>
      <c r="R72" s="52">
        <v>0</v>
      </c>
      <c r="S72" s="51">
        <f t="shared" si="12"/>
        <v>0</v>
      </c>
      <c r="T72" s="51">
        <f t="shared" si="13"/>
        <v>0</v>
      </c>
      <c r="U72" s="51">
        <f t="shared" si="14"/>
        <v>0</v>
      </c>
      <c r="V72" s="50">
        <f t="shared" si="15"/>
        <v>73574.13</v>
      </c>
      <c r="W72" s="102"/>
    </row>
    <row r="73" spans="1:23" ht="25.5" hidden="1" customHeight="1">
      <c r="A73" s="1"/>
      <c r="B73" s="1"/>
      <c r="C73" s="12"/>
      <c r="D73" s="12"/>
      <c r="E73" s="12"/>
      <c r="F73" s="13"/>
      <c r="G73" s="30" t="s">
        <v>110</v>
      </c>
      <c r="H73" s="38">
        <v>65729</v>
      </c>
      <c r="I73" s="46">
        <v>44179</v>
      </c>
      <c r="J73" s="47" t="s">
        <v>111</v>
      </c>
      <c r="K73" s="83" t="s">
        <v>78</v>
      </c>
      <c r="L73" s="39" t="s">
        <v>113</v>
      </c>
      <c r="M73" s="31">
        <v>1</v>
      </c>
      <c r="N73" s="34">
        <v>17385</v>
      </c>
      <c r="O73" s="33">
        <f t="shared" si="9"/>
        <v>17385</v>
      </c>
      <c r="P73" s="33">
        <f t="shared" si="10"/>
        <v>3303.15</v>
      </c>
      <c r="Q73" s="32">
        <f t="shared" si="11"/>
        <v>20688.150000000001</v>
      </c>
      <c r="R73" s="32">
        <v>32849</v>
      </c>
      <c r="S73" s="33">
        <f t="shared" si="12"/>
        <v>32849</v>
      </c>
      <c r="T73" s="33">
        <f t="shared" si="13"/>
        <v>6241.31</v>
      </c>
      <c r="U73" s="33">
        <f t="shared" si="14"/>
        <v>39090.31</v>
      </c>
      <c r="V73" s="34">
        <f t="shared" si="15"/>
        <v>59778.46</v>
      </c>
      <c r="W73" s="101"/>
    </row>
    <row r="74" spans="1:23" ht="25.5" hidden="1" customHeight="1">
      <c r="A74" s="1"/>
      <c r="B74" s="1"/>
      <c r="C74" s="12"/>
      <c r="D74" s="12"/>
      <c r="E74" s="12"/>
      <c r="F74" s="13"/>
      <c r="G74" s="30" t="s">
        <v>110</v>
      </c>
      <c r="H74" s="38">
        <v>65729</v>
      </c>
      <c r="I74" s="46">
        <v>44179</v>
      </c>
      <c r="J74" s="47" t="s">
        <v>111</v>
      </c>
      <c r="K74" s="83" t="s">
        <v>114</v>
      </c>
      <c r="L74" s="39" t="s">
        <v>107</v>
      </c>
      <c r="M74" s="31">
        <v>6</v>
      </c>
      <c r="N74" s="34">
        <v>22396</v>
      </c>
      <c r="O74" s="33">
        <f t="shared" si="9"/>
        <v>134376</v>
      </c>
      <c r="P74" s="33">
        <f t="shared" si="10"/>
        <v>25531.439999999999</v>
      </c>
      <c r="Q74" s="32">
        <f t="shared" si="11"/>
        <v>159907.44</v>
      </c>
      <c r="R74" s="32">
        <v>0</v>
      </c>
      <c r="S74" s="33">
        <f t="shared" si="12"/>
        <v>0</v>
      </c>
      <c r="T74" s="33">
        <f t="shared" si="13"/>
        <v>0</v>
      </c>
      <c r="U74" s="33">
        <f t="shared" si="14"/>
        <v>0</v>
      </c>
      <c r="V74" s="34">
        <f t="shared" si="15"/>
        <v>159907.44</v>
      </c>
      <c r="W74" s="101"/>
    </row>
    <row r="75" spans="1:23" ht="25.5" hidden="1" customHeight="1">
      <c r="A75" s="1"/>
      <c r="B75" s="1"/>
      <c r="C75" s="12"/>
      <c r="D75" s="12"/>
      <c r="E75" s="12"/>
      <c r="F75" s="13"/>
      <c r="G75" s="30" t="s">
        <v>110</v>
      </c>
      <c r="H75" s="38">
        <v>65729</v>
      </c>
      <c r="I75" s="46">
        <v>44179</v>
      </c>
      <c r="J75" s="47" t="s">
        <v>111</v>
      </c>
      <c r="K75" s="83" t="s">
        <v>114</v>
      </c>
      <c r="L75" s="39" t="s">
        <v>115</v>
      </c>
      <c r="M75" s="31">
        <v>1</v>
      </c>
      <c r="N75" s="34">
        <v>28803</v>
      </c>
      <c r="O75" s="33">
        <f t="shared" si="9"/>
        <v>28803</v>
      </c>
      <c r="P75" s="33">
        <f t="shared" si="10"/>
        <v>5472.57</v>
      </c>
      <c r="Q75" s="32">
        <f t="shared" si="11"/>
        <v>34275.57</v>
      </c>
      <c r="R75" s="32">
        <v>8200</v>
      </c>
      <c r="S75" s="33">
        <f t="shared" si="12"/>
        <v>8200</v>
      </c>
      <c r="T75" s="33">
        <f t="shared" si="13"/>
        <v>1558</v>
      </c>
      <c r="U75" s="33">
        <f t="shared" si="14"/>
        <v>9758</v>
      </c>
      <c r="V75" s="34">
        <f t="shared" si="15"/>
        <v>44033.57</v>
      </c>
      <c r="W75" s="101"/>
    </row>
    <row r="76" spans="1:23" ht="25.5" hidden="1" customHeight="1">
      <c r="A76" s="1"/>
      <c r="B76" s="1"/>
      <c r="C76" s="12"/>
      <c r="D76" s="12"/>
      <c r="E76" s="12"/>
      <c r="F76" s="13"/>
      <c r="G76" s="30" t="s">
        <v>110</v>
      </c>
      <c r="H76" s="38">
        <v>65729</v>
      </c>
      <c r="I76" s="46">
        <v>44179</v>
      </c>
      <c r="J76" s="47" t="s">
        <v>111</v>
      </c>
      <c r="K76" s="83" t="s">
        <v>78</v>
      </c>
      <c r="L76" s="39" t="s">
        <v>116</v>
      </c>
      <c r="M76" s="31">
        <v>1</v>
      </c>
      <c r="N76" s="34">
        <v>140000</v>
      </c>
      <c r="O76" s="33">
        <f t="shared" si="9"/>
        <v>140000</v>
      </c>
      <c r="P76" s="33">
        <f t="shared" si="10"/>
        <v>26600</v>
      </c>
      <c r="Q76" s="32">
        <f t="shared" si="11"/>
        <v>166600</v>
      </c>
      <c r="R76" s="32">
        <v>0</v>
      </c>
      <c r="S76" s="33">
        <f t="shared" si="12"/>
        <v>0</v>
      </c>
      <c r="T76" s="33">
        <f t="shared" si="13"/>
        <v>0</v>
      </c>
      <c r="U76" s="33">
        <f t="shared" si="14"/>
        <v>0</v>
      </c>
      <c r="V76" s="34">
        <f t="shared" si="15"/>
        <v>166600</v>
      </c>
      <c r="W76" s="101"/>
    </row>
    <row r="77" spans="1:23" ht="25.5" hidden="1" customHeight="1">
      <c r="A77" s="1"/>
      <c r="B77" s="1"/>
      <c r="C77" s="12"/>
      <c r="D77" s="12"/>
      <c r="E77" s="12"/>
      <c r="F77" s="13"/>
      <c r="G77" s="30" t="s">
        <v>110</v>
      </c>
      <c r="H77" s="38">
        <v>65729</v>
      </c>
      <c r="I77" s="46">
        <v>44179</v>
      </c>
      <c r="J77" s="47" t="s">
        <v>111</v>
      </c>
      <c r="K77" s="83" t="s">
        <v>78</v>
      </c>
      <c r="L77" s="39" t="s">
        <v>117</v>
      </c>
      <c r="M77" s="31">
        <v>2</v>
      </c>
      <c r="N77" s="34">
        <v>335000</v>
      </c>
      <c r="O77" s="33">
        <f t="shared" si="9"/>
        <v>670000</v>
      </c>
      <c r="P77" s="33">
        <f t="shared" si="10"/>
        <v>127300</v>
      </c>
      <c r="Q77" s="32">
        <f t="shared" si="11"/>
        <v>797300</v>
      </c>
      <c r="R77" s="32">
        <v>60000</v>
      </c>
      <c r="S77" s="33">
        <f t="shared" si="12"/>
        <v>120000</v>
      </c>
      <c r="T77" s="33">
        <f t="shared" si="13"/>
        <v>22800</v>
      </c>
      <c r="U77" s="33">
        <f t="shared" si="14"/>
        <v>142800</v>
      </c>
      <c r="V77" s="34">
        <f t="shared" si="15"/>
        <v>940100</v>
      </c>
      <c r="W77" s="101"/>
    </row>
    <row r="78" spans="1:23" ht="25.5" hidden="1" customHeight="1">
      <c r="A78" s="1"/>
      <c r="B78" s="1"/>
      <c r="C78" s="12"/>
      <c r="D78" s="12"/>
      <c r="E78" s="12"/>
      <c r="F78" s="13"/>
      <c r="G78" s="30" t="s">
        <v>110</v>
      </c>
      <c r="H78" s="38">
        <v>65729</v>
      </c>
      <c r="I78" s="46">
        <v>44179</v>
      </c>
      <c r="J78" s="47" t="s">
        <v>111</v>
      </c>
      <c r="K78" s="83" t="s">
        <v>78</v>
      </c>
      <c r="L78" s="39" t="s">
        <v>118</v>
      </c>
      <c r="M78" s="31">
        <v>1</v>
      </c>
      <c r="N78" s="34">
        <v>198261</v>
      </c>
      <c r="O78" s="33">
        <f t="shared" si="9"/>
        <v>198261</v>
      </c>
      <c r="P78" s="33">
        <f t="shared" si="10"/>
        <v>37669.590000000004</v>
      </c>
      <c r="Q78" s="32">
        <f t="shared" si="11"/>
        <v>235930.59</v>
      </c>
      <c r="R78" s="32">
        <v>58078</v>
      </c>
      <c r="S78" s="33">
        <f t="shared" si="12"/>
        <v>58078</v>
      </c>
      <c r="T78" s="33">
        <f t="shared" si="13"/>
        <v>11034.82</v>
      </c>
      <c r="U78" s="33">
        <f t="shared" si="14"/>
        <v>69112.820000000007</v>
      </c>
      <c r="V78" s="34">
        <f t="shared" si="15"/>
        <v>305043.41000000003</v>
      </c>
      <c r="W78" s="101"/>
    </row>
    <row r="79" spans="1:23" ht="25.5" hidden="1" customHeight="1">
      <c r="A79" s="1"/>
      <c r="B79" s="1"/>
      <c r="C79" s="12"/>
      <c r="D79" s="12"/>
      <c r="E79" s="12"/>
      <c r="F79" s="13"/>
      <c r="G79" s="30" t="s">
        <v>110</v>
      </c>
      <c r="H79" s="38">
        <v>65729</v>
      </c>
      <c r="I79" s="46">
        <v>44179</v>
      </c>
      <c r="J79" s="47" t="s">
        <v>111</v>
      </c>
      <c r="K79" s="83" t="s">
        <v>78</v>
      </c>
      <c r="L79" s="39" t="s">
        <v>119</v>
      </c>
      <c r="M79" s="31">
        <v>2</v>
      </c>
      <c r="N79" s="34">
        <v>142000</v>
      </c>
      <c r="O79" s="33">
        <f t="shared" si="9"/>
        <v>284000</v>
      </c>
      <c r="P79" s="33">
        <f t="shared" si="10"/>
        <v>53960</v>
      </c>
      <c r="Q79" s="32">
        <f t="shared" si="11"/>
        <v>337960</v>
      </c>
      <c r="R79" s="32">
        <v>0</v>
      </c>
      <c r="S79" s="33">
        <f t="shared" si="12"/>
        <v>0</v>
      </c>
      <c r="T79" s="33">
        <f t="shared" si="13"/>
        <v>0</v>
      </c>
      <c r="U79" s="33">
        <f t="shared" si="14"/>
        <v>0</v>
      </c>
      <c r="V79" s="34">
        <f t="shared" si="15"/>
        <v>337960</v>
      </c>
      <c r="W79" s="101"/>
    </row>
    <row r="80" spans="1:23" ht="25.5" hidden="1" customHeight="1">
      <c r="A80" s="1"/>
      <c r="B80" s="1"/>
      <c r="C80" s="12"/>
      <c r="D80" s="12"/>
      <c r="E80" s="12"/>
      <c r="F80" s="13"/>
      <c r="G80" s="30" t="s">
        <v>110</v>
      </c>
      <c r="H80" s="38">
        <v>65729</v>
      </c>
      <c r="I80" s="46">
        <v>44179</v>
      </c>
      <c r="J80" s="47" t="s">
        <v>111</v>
      </c>
      <c r="K80" s="83" t="s">
        <v>78</v>
      </c>
      <c r="L80" s="39" t="s">
        <v>120</v>
      </c>
      <c r="M80" s="31">
        <v>1</v>
      </c>
      <c r="N80" s="34">
        <v>98200</v>
      </c>
      <c r="O80" s="33">
        <f t="shared" si="9"/>
        <v>98200</v>
      </c>
      <c r="P80" s="33">
        <f t="shared" si="10"/>
        <v>18658</v>
      </c>
      <c r="Q80" s="32">
        <f t="shared" si="11"/>
        <v>116858</v>
      </c>
      <c r="R80" s="32">
        <v>0</v>
      </c>
      <c r="S80" s="33">
        <f t="shared" si="12"/>
        <v>0</v>
      </c>
      <c r="T80" s="33">
        <f t="shared" si="13"/>
        <v>0</v>
      </c>
      <c r="U80" s="33">
        <f t="shared" si="14"/>
        <v>0</v>
      </c>
      <c r="V80" s="34">
        <f t="shared" si="15"/>
        <v>116858</v>
      </c>
      <c r="W80" s="101"/>
    </row>
    <row r="81" spans="1:23" ht="25.5" hidden="1" customHeight="1">
      <c r="A81" s="1"/>
      <c r="B81" s="1"/>
      <c r="C81" s="12"/>
      <c r="D81" s="12"/>
      <c r="E81" s="12"/>
      <c r="F81" s="13"/>
      <c r="G81" s="30" t="s">
        <v>110</v>
      </c>
      <c r="H81" s="38">
        <v>65729</v>
      </c>
      <c r="I81" s="46">
        <v>44179</v>
      </c>
      <c r="J81" s="47" t="s">
        <v>111</v>
      </c>
      <c r="K81" s="83" t="s">
        <v>78</v>
      </c>
      <c r="L81" s="39" t="s">
        <v>121</v>
      </c>
      <c r="M81" s="31">
        <v>1</v>
      </c>
      <c r="N81" s="34">
        <v>365879</v>
      </c>
      <c r="O81" s="33">
        <f t="shared" si="9"/>
        <v>365879</v>
      </c>
      <c r="P81" s="33">
        <f t="shared" si="10"/>
        <v>69517.009999999995</v>
      </c>
      <c r="Q81" s="32">
        <f t="shared" si="11"/>
        <v>435396.01</v>
      </c>
      <c r="R81" s="32">
        <v>0</v>
      </c>
      <c r="S81" s="33">
        <f t="shared" si="12"/>
        <v>0</v>
      </c>
      <c r="T81" s="33">
        <f t="shared" si="13"/>
        <v>0</v>
      </c>
      <c r="U81" s="33">
        <f t="shared" si="14"/>
        <v>0</v>
      </c>
      <c r="V81" s="34">
        <f t="shared" si="15"/>
        <v>435396.01</v>
      </c>
      <c r="W81" s="101"/>
    </row>
    <row r="82" spans="1:23" ht="25.5" hidden="1" customHeight="1">
      <c r="A82" s="1"/>
      <c r="B82" s="1"/>
      <c r="C82" s="12"/>
      <c r="D82" s="12"/>
      <c r="E82" s="12"/>
      <c r="F82" s="13"/>
      <c r="G82" s="30" t="s">
        <v>110</v>
      </c>
      <c r="H82" s="38">
        <v>65729</v>
      </c>
      <c r="I82" s="46">
        <v>44179</v>
      </c>
      <c r="J82" s="47" t="s">
        <v>111</v>
      </c>
      <c r="K82" s="83" t="s">
        <v>78</v>
      </c>
      <c r="L82" s="39" t="s">
        <v>122</v>
      </c>
      <c r="M82" s="31">
        <v>1</v>
      </c>
      <c r="N82" s="34">
        <v>285000</v>
      </c>
      <c r="O82" s="33">
        <f t="shared" si="9"/>
        <v>285000</v>
      </c>
      <c r="P82" s="33">
        <f t="shared" si="10"/>
        <v>54150</v>
      </c>
      <c r="Q82" s="32">
        <f t="shared" si="11"/>
        <v>339150</v>
      </c>
      <c r="R82" s="32">
        <v>0</v>
      </c>
      <c r="S82" s="33">
        <f t="shared" si="12"/>
        <v>0</v>
      </c>
      <c r="T82" s="33">
        <f t="shared" si="13"/>
        <v>0</v>
      </c>
      <c r="U82" s="33">
        <f t="shared" si="14"/>
        <v>0</v>
      </c>
      <c r="V82" s="34">
        <f t="shared" si="15"/>
        <v>339150</v>
      </c>
      <c r="W82" s="101"/>
    </row>
    <row r="83" spans="1:23" ht="25.5" hidden="1" customHeight="1">
      <c r="A83" s="1"/>
      <c r="B83" s="1"/>
      <c r="C83" s="12"/>
      <c r="D83" s="12"/>
      <c r="E83" s="12"/>
      <c r="F83" s="13"/>
      <c r="G83" s="30" t="s">
        <v>110</v>
      </c>
      <c r="H83" s="38">
        <v>65729</v>
      </c>
      <c r="I83" s="46">
        <v>44179</v>
      </c>
      <c r="J83" s="47" t="s">
        <v>111</v>
      </c>
      <c r="K83" s="83" t="s">
        <v>78</v>
      </c>
      <c r="L83" s="39" t="s">
        <v>123</v>
      </c>
      <c r="M83" s="31">
        <v>2</v>
      </c>
      <c r="N83" s="34">
        <v>40000</v>
      </c>
      <c r="O83" s="33">
        <f t="shared" si="9"/>
        <v>80000</v>
      </c>
      <c r="P83" s="33">
        <f t="shared" si="10"/>
        <v>15200</v>
      </c>
      <c r="Q83" s="32">
        <f t="shared" si="11"/>
        <v>95200</v>
      </c>
      <c r="R83" s="32">
        <v>160000</v>
      </c>
      <c r="S83" s="33">
        <f t="shared" si="12"/>
        <v>320000</v>
      </c>
      <c r="T83" s="33">
        <f t="shared" si="13"/>
        <v>60800</v>
      </c>
      <c r="U83" s="33">
        <f t="shared" si="14"/>
        <v>380800</v>
      </c>
      <c r="V83" s="34">
        <f t="shared" si="15"/>
        <v>476000</v>
      </c>
      <c r="W83" s="101"/>
    </row>
    <row r="84" spans="1:23" ht="25.5" hidden="1" customHeight="1">
      <c r="A84" s="1"/>
      <c r="B84" s="1"/>
      <c r="C84" s="12"/>
      <c r="D84" s="12"/>
      <c r="E84" s="12"/>
      <c r="F84" s="13"/>
      <c r="G84" s="30" t="s">
        <v>110</v>
      </c>
      <c r="H84" s="38">
        <v>65729</v>
      </c>
      <c r="I84" s="46">
        <v>44179</v>
      </c>
      <c r="J84" s="47" t="s">
        <v>111</v>
      </c>
      <c r="K84" s="83" t="s">
        <v>78</v>
      </c>
      <c r="L84" s="39" t="s">
        <v>124</v>
      </c>
      <c r="M84" s="31">
        <v>1</v>
      </c>
      <c r="N84" s="34">
        <v>300000</v>
      </c>
      <c r="O84" s="33">
        <f t="shared" si="9"/>
        <v>300000</v>
      </c>
      <c r="P84" s="33">
        <f t="shared" si="10"/>
        <v>57000</v>
      </c>
      <c r="Q84" s="32">
        <f t="shared" si="11"/>
        <v>357000</v>
      </c>
      <c r="R84" s="32">
        <v>124662</v>
      </c>
      <c r="S84" s="33">
        <f t="shared" si="12"/>
        <v>124662</v>
      </c>
      <c r="T84" s="33">
        <f t="shared" si="13"/>
        <v>23685.78</v>
      </c>
      <c r="U84" s="33">
        <f t="shared" si="14"/>
        <v>148347.78</v>
      </c>
      <c r="V84" s="34">
        <f t="shared" si="15"/>
        <v>505347.78</v>
      </c>
      <c r="W84" s="101"/>
    </row>
    <row r="85" spans="1:23" ht="25.5" hidden="1" customHeight="1">
      <c r="A85" s="1"/>
      <c r="B85" s="1"/>
      <c r="C85" s="12"/>
      <c r="D85" s="12"/>
      <c r="E85" s="12"/>
      <c r="F85" s="13"/>
      <c r="G85" s="30" t="s">
        <v>110</v>
      </c>
      <c r="H85" s="38">
        <v>65729</v>
      </c>
      <c r="I85" s="46">
        <v>44179</v>
      </c>
      <c r="J85" s="47" t="s">
        <v>111</v>
      </c>
      <c r="K85" s="83" t="s">
        <v>78</v>
      </c>
      <c r="L85" s="39" t="s">
        <v>125</v>
      </c>
      <c r="M85" s="31">
        <v>1</v>
      </c>
      <c r="N85" s="34">
        <v>63252</v>
      </c>
      <c r="O85" s="33">
        <f t="shared" si="9"/>
        <v>63252</v>
      </c>
      <c r="P85" s="33">
        <f t="shared" si="10"/>
        <v>12017.880000000001</v>
      </c>
      <c r="Q85" s="32">
        <f t="shared" si="11"/>
        <v>75269.88</v>
      </c>
      <c r="R85" s="32">
        <v>350000</v>
      </c>
      <c r="S85" s="33">
        <f t="shared" si="12"/>
        <v>350000</v>
      </c>
      <c r="T85" s="33">
        <f t="shared" si="13"/>
        <v>66500</v>
      </c>
      <c r="U85" s="33">
        <f t="shared" si="14"/>
        <v>416500</v>
      </c>
      <c r="V85" s="34">
        <f t="shared" si="15"/>
        <v>491769.88</v>
      </c>
      <c r="W85" s="101"/>
    </row>
    <row r="86" spans="1:23" ht="25.5" hidden="1" customHeight="1">
      <c r="A86" s="1"/>
      <c r="B86" s="1"/>
      <c r="C86" s="12"/>
      <c r="D86" s="12"/>
      <c r="E86" s="12"/>
      <c r="F86" s="13"/>
      <c r="G86" s="30" t="s">
        <v>110</v>
      </c>
      <c r="H86" s="38">
        <v>65729</v>
      </c>
      <c r="I86" s="46">
        <v>44179</v>
      </c>
      <c r="J86" s="47" t="s">
        <v>111</v>
      </c>
      <c r="K86" s="83" t="s">
        <v>78</v>
      </c>
      <c r="L86" s="39" t="s">
        <v>126</v>
      </c>
      <c r="M86" s="31">
        <v>2</v>
      </c>
      <c r="N86" s="34">
        <v>90000</v>
      </c>
      <c r="O86" s="33">
        <f t="shared" si="9"/>
        <v>180000</v>
      </c>
      <c r="P86" s="33">
        <f t="shared" si="10"/>
        <v>34200</v>
      </c>
      <c r="Q86" s="32">
        <f t="shared" si="11"/>
        <v>214200</v>
      </c>
      <c r="R86" s="32">
        <v>0</v>
      </c>
      <c r="S86" s="33">
        <f t="shared" si="12"/>
        <v>0</v>
      </c>
      <c r="T86" s="33">
        <f t="shared" si="13"/>
        <v>0</v>
      </c>
      <c r="U86" s="33">
        <f t="shared" si="14"/>
        <v>0</v>
      </c>
      <c r="V86" s="34">
        <f t="shared" si="15"/>
        <v>214200</v>
      </c>
      <c r="W86" s="101"/>
    </row>
    <row r="87" spans="1:23" ht="25.5" hidden="1" customHeight="1">
      <c r="A87" s="1"/>
      <c r="B87" s="1"/>
      <c r="C87" s="12"/>
      <c r="D87" s="12"/>
      <c r="E87" s="12"/>
      <c r="F87" s="13"/>
      <c r="G87" s="30" t="s">
        <v>110</v>
      </c>
      <c r="H87" s="38">
        <v>65729</v>
      </c>
      <c r="I87" s="46">
        <v>44179</v>
      </c>
      <c r="J87" s="47" t="s">
        <v>111</v>
      </c>
      <c r="K87" s="83" t="s">
        <v>78</v>
      </c>
      <c r="L87" s="39" t="s">
        <v>127</v>
      </c>
      <c r="M87" s="31">
        <v>1</v>
      </c>
      <c r="N87" s="34">
        <v>80000</v>
      </c>
      <c r="O87" s="33">
        <f t="shared" si="9"/>
        <v>80000</v>
      </c>
      <c r="P87" s="33">
        <f t="shared" si="10"/>
        <v>15200</v>
      </c>
      <c r="Q87" s="32">
        <f t="shared" si="11"/>
        <v>95200</v>
      </c>
      <c r="R87" s="32">
        <v>24949</v>
      </c>
      <c r="S87" s="33">
        <f t="shared" si="12"/>
        <v>24949</v>
      </c>
      <c r="T87" s="33">
        <f t="shared" si="13"/>
        <v>4740.3100000000004</v>
      </c>
      <c r="U87" s="33">
        <f t="shared" si="14"/>
        <v>29689.31</v>
      </c>
      <c r="V87" s="34">
        <f t="shared" si="15"/>
        <v>124889.31</v>
      </c>
      <c r="W87" s="101"/>
    </row>
    <row r="88" spans="1:23" ht="25.5" hidden="1" customHeight="1">
      <c r="A88" s="1"/>
      <c r="B88" s="1"/>
      <c r="C88" s="12"/>
      <c r="D88" s="12"/>
      <c r="E88" s="12"/>
      <c r="F88" s="13"/>
      <c r="G88" s="30" t="s">
        <v>110</v>
      </c>
      <c r="H88" s="38">
        <v>65729</v>
      </c>
      <c r="I88" s="46">
        <v>44179</v>
      </c>
      <c r="J88" s="47" t="s">
        <v>111</v>
      </c>
      <c r="K88" s="83" t="s">
        <v>78</v>
      </c>
      <c r="L88" s="39" t="s">
        <v>128</v>
      </c>
      <c r="M88" s="31">
        <v>1</v>
      </c>
      <c r="N88" s="34">
        <v>81482</v>
      </c>
      <c r="O88" s="33">
        <f t="shared" si="9"/>
        <v>81482</v>
      </c>
      <c r="P88" s="33">
        <f t="shared" si="10"/>
        <v>15481.58</v>
      </c>
      <c r="Q88" s="32">
        <f t="shared" si="11"/>
        <v>96963.58</v>
      </c>
      <c r="R88" s="32">
        <v>0</v>
      </c>
      <c r="S88" s="33">
        <f t="shared" si="12"/>
        <v>0</v>
      </c>
      <c r="T88" s="33">
        <f t="shared" si="13"/>
        <v>0</v>
      </c>
      <c r="U88" s="33">
        <f t="shared" si="14"/>
        <v>0</v>
      </c>
      <c r="V88" s="34">
        <f t="shared" si="15"/>
        <v>96963.58</v>
      </c>
      <c r="W88" s="101"/>
    </row>
    <row r="89" spans="1:23" ht="25.5" hidden="1" customHeight="1">
      <c r="A89" s="1"/>
      <c r="B89" s="1"/>
      <c r="C89" s="12"/>
      <c r="D89" s="12"/>
      <c r="E89" s="12"/>
      <c r="F89" s="13"/>
      <c r="G89" s="30" t="s">
        <v>110</v>
      </c>
      <c r="H89" s="38">
        <v>65729</v>
      </c>
      <c r="I89" s="46">
        <v>44179</v>
      </c>
      <c r="J89" s="47" t="s">
        <v>111</v>
      </c>
      <c r="K89" s="83" t="s">
        <v>78</v>
      </c>
      <c r="L89" s="39" t="s">
        <v>129</v>
      </c>
      <c r="M89" s="31">
        <v>2</v>
      </c>
      <c r="N89" s="34">
        <v>35000</v>
      </c>
      <c r="O89" s="33">
        <f t="shared" si="9"/>
        <v>70000</v>
      </c>
      <c r="P89" s="33">
        <f t="shared" si="10"/>
        <v>13300</v>
      </c>
      <c r="Q89" s="32">
        <f t="shared" si="11"/>
        <v>83300</v>
      </c>
      <c r="R89" s="32">
        <v>0</v>
      </c>
      <c r="S89" s="33">
        <f t="shared" si="12"/>
        <v>0</v>
      </c>
      <c r="T89" s="33">
        <f t="shared" si="13"/>
        <v>0</v>
      </c>
      <c r="U89" s="33">
        <f t="shared" si="14"/>
        <v>0</v>
      </c>
      <c r="V89" s="34">
        <f t="shared" si="15"/>
        <v>83300</v>
      </c>
      <c r="W89" s="101"/>
    </row>
    <row r="90" spans="1:23" ht="25.5" hidden="1" customHeight="1">
      <c r="A90" s="1"/>
      <c r="B90" s="1"/>
      <c r="C90" s="12"/>
      <c r="D90" s="12"/>
      <c r="E90" s="12"/>
      <c r="F90" s="13"/>
      <c r="G90" s="30" t="s">
        <v>110</v>
      </c>
      <c r="H90" s="38">
        <v>65729</v>
      </c>
      <c r="I90" s="46">
        <v>44179</v>
      </c>
      <c r="J90" s="47" t="s">
        <v>111</v>
      </c>
      <c r="K90" s="83" t="s">
        <v>78</v>
      </c>
      <c r="L90" s="39" t="s">
        <v>130</v>
      </c>
      <c r="M90" s="31">
        <v>1</v>
      </c>
      <c r="N90" s="34">
        <v>182000</v>
      </c>
      <c r="O90" s="33">
        <f t="shared" si="9"/>
        <v>182000</v>
      </c>
      <c r="P90" s="33">
        <f t="shared" si="10"/>
        <v>34580</v>
      </c>
      <c r="Q90" s="32">
        <f t="shared" si="11"/>
        <v>216580</v>
      </c>
      <c r="R90" s="32">
        <v>60000</v>
      </c>
      <c r="S90" s="33">
        <f t="shared" si="12"/>
        <v>60000</v>
      </c>
      <c r="T90" s="33">
        <f t="shared" si="13"/>
        <v>11400</v>
      </c>
      <c r="U90" s="33">
        <f t="shared" si="14"/>
        <v>71400</v>
      </c>
      <c r="V90" s="34">
        <f t="shared" si="15"/>
        <v>287980</v>
      </c>
      <c r="W90" s="101"/>
    </row>
    <row r="91" spans="1:23" ht="25.5" hidden="1" customHeight="1">
      <c r="A91" s="1"/>
      <c r="B91" s="1"/>
      <c r="C91" s="12"/>
      <c r="D91" s="12"/>
      <c r="E91" s="12"/>
      <c r="F91" s="13"/>
      <c r="G91" s="30" t="s">
        <v>110</v>
      </c>
      <c r="H91" s="38">
        <v>65729</v>
      </c>
      <c r="I91" s="46">
        <v>44179</v>
      </c>
      <c r="J91" s="47" t="s">
        <v>111</v>
      </c>
      <c r="K91" s="83" t="s">
        <v>78</v>
      </c>
      <c r="L91" s="39" t="s">
        <v>131</v>
      </c>
      <c r="M91" s="31">
        <v>1</v>
      </c>
      <c r="N91" s="34">
        <v>183000</v>
      </c>
      <c r="O91" s="33">
        <f t="shared" si="9"/>
        <v>183000</v>
      </c>
      <c r="P91" s="33">
        <f t="shared" si="10"/>
        <v>34770</v>
      </c>
      <c r="Q91" s="32">
        <f t="shared" si="11"/>
        <v>217770</v>
      </c>
      <c r="R91" s="32">
        <v>90000</v>
      </c>
      <c r="S91" s="33">
        <f t="shared" si="12"/>
        <v>90000</v>
      </c>
      <c r="T91" s="33">
        <f t="shared" si="13"/>
        <v>17100</v>
      </c>
      <c r="U91" s="33">
        <f t="shared" si="14"/>
        <v>107100</v>
      </c>
      <c r="V91" s="34">
        <f t="shared" si="15"/>
        <v>324870</v>
      </c>
      <c r="W91" s="101"/>
    </row>
    <row r="92" spans="1:23" ht="25.5" hidden="1" customHeight="1">
      <c r="A92" s="1"/>
      <c r="B92" s="1"/>
      <c r="C92" s="12"/>
      <c r="D92" s="12"/>
      <c r="E92" s="12"/>
      <c r="F92" s="13"/>
      <c r="G92" s="30" t="s">
        <v>110</v>
      </c>
      <c r="H92" s="38">
        <v>65729</v>
      </c>
      <c r="I92" s="46">
        <v>44179</v>
      </c>
      <c r="J92" s="47" t="s">
        <v>111</v>
      </c>
      <c r="K92" s="83" t="s">
        <v>78</v>
      </c>
      <c r="L92" s="31" t="s">
        <v>132</v>
      </c>
      <c r="M92" s="31">
        <v>2</v>
      </c>
      <c r="N92" s="34">
        <v>13542</v>
      </c>
      <c r="O92" s="33">
        <f t="shared" si="9"/>
        <v>27084</v>
      </c>
      <c r="P92" s="33">
        <f t="shared" si="10"/>
        <v>5145.96</v>
      </c>
      <c r="Q92" s="32">
        <f t="shared" si="11"/>
        <v>32229.96</v>
      </c>
      <c r="R92" s="32">
        <v>60000</v>
      </c>
      <c r="S92" s="33">
        <f t="shared" si="12"/>
        <v>120000</v>
      </c>
      <c r="T92" s="33">
        <f t="shared" si="13"/>
        <v>22800</v>
      </c>
      <c r="U92" s="33">
        <f t="shared" si="14"/>
        <v>142800</v>
      </c>
      <c r="V92" s="34">
        <f t="shared" si="15"/>
        <v>175029.96</v>
      </c>
      <c r="W92" s="101"/>
    </row>
    <row r="93" spans="1:23" ht="25.5" hidden="1" customHeight="1">
      <c r="A93" s="1"/>
      <c r="B93" s="1"/>
      <c r="C93" s="12"/>
      <c r="D93" s="12"/>
      <c r="E93" s="12"/>
      <c r="F93" s="13"/>
      <c r="G93" s="30" t="s">
        <v>110</v>
      </c>
      <c r="H93" s="38">
        <v>65729</v>
      </c>
      <c r="I93" s="46">
        <v>44179</v>
      </c>
      <c r="J93" s="47" t="s">
        <v>111</v>
      </c>
      <c r="K93" s="83" t="s">
        <v>78</v>
      </c>
      <c r="L93" s="39" t="s">
        <v>133</v>
      </c>
      <c r="M93" s="31">
        <v>1</v>
      </c>
      <c r="N93" s="34">
        <v>0</v>
      </c>
      <c r="O93" s="33">
        <f t="shared" si="9"/>
        <v>0</v>
      </c>
      <c r="P93" s="33">
        <f t="shared" si="10"/>
        <v>0</v>
      </c>
      <c r="Q93" s="32">
        <f t="shared" si="11"/>
        <v>0</v>
      </c>
      <c r="R93" s="32">
        <v>100000</v>
      </c>
      <c r="S93" s="33">
        <f t="shared" si="12"/>
        <v>100000</v>
      </c>
      <c r="T93" s="33">
        <f t="shared" si="13"/>
        <v>19000</v>
      </c>
      <c r="U93" s="33">
        <f t="shared" si="14"/>
        <v>119000</v>
      </c>
      <c r="V93" s="34">
        <f t="shared" si="15"/>
        <v>119000</v>
      </c>
      <c r="W93" s="101"/>
    </row>
    <row r="94" spans="1:23" ht="25.5" hidden="1" customHeight="1">
      <c r="A94" s="1"/>
      <c r="B94" s="1"/>
      <c r="C94" s="12"/>
      <c r="D94" s="12"/>
      <c r="E94" s="12"/>
      <c r="F94" s="13"/>
      <c r="G94" s="30" t="s">
        <v>110</v>
      </c>
      <c r="H94" s="38">
        <v>65729</v>
      </c>
      <c r="I94" s="46">
        <v>44179</v>
      </c>
      <c r="J94" s="47" t="s">
        <v>111</v>
      </c>
      <c r="K94" s="83" t="s">
        <v>78</v>
      </c>
      <c r="L94" s="39" t="s">
        <v>134</v>
      </c>
      <c r="M94" s="31">
        <v>1</v>
      </c>
      <c r="N94" s="34">
        <v>0</v>
      </c>
      <c r="O94" s="33">
        <f t="shared" si="9"/>
        <v>0</v>
      </c>
      <c r="P94" s="33">
        <f t="shared" si="10"/>
        <v>0</v>
      </c>
      <c r="Q94" s="32">
        <f t="shared" si="11"/>
        <v>0</v>
      </c>
      <c r="R94" s="32">
        <v>60716</v>
      </c>
      <c r="S94" s="33">
        <f t="shared" si="12"/>
        <v>60716</v>
      </c>
      <c r="T94" s="33">
        <f t="shared" si="13"/>
        <v>11536.04</v>
      </c>
      <c r="U94" s="33">
        <f t="shared" si="14"/>
        <v>72252.040000000008</v>
      </c>
      <c r="V94" s="34">
        <f t="shared" si="15"/>
        <v>72252.040000000008</v>
      </c>
      <c r="W94" s="101"/>
    </row>
    <row r="95" spans="1:23" ht="25.5" hidden="1" customHeight="1">
      <c r="A95" s="1"/>
      <c r="B95" s="1"/>
      <c r="C95" s="12"/>
      <c r="D95" s="12"/>
      <c r="E95" s="12"/>
      <c r="F95" s="13"/>
      <c r="G95" s="30" t="s">
        <v>110</v>
      </c>
      <c r="H95" s="38">
        <v>65729</v>
      </c>
      <c r="I95" s="46">
        <v>44179</v>
      </c>
      <c r="J95" s="47" t="s">
        <v>111</v>
      </c>
      <c r="K95" s="83" t="s">
        <v>78</v>
      </c>
      <c r="L95" s="39" t="s">
        <v>135</v>
      </c>
      <c r="M95" s="31">
        <v>1</v>
      </c>
      <c r="N95" s="34">
        <v>0</v>
      </c>
      <c r="O95" s="33">
        <f t="shared" si="9"/>
        <v>0</v>
      </c>
      <c r="P95" s="33">
        <f t="shared" si="10"/>
        <v>0</v>
      </c>
      <c r="Q95" s="32">
        <f t="shared" si="11"/>
        <v>0</v>
      </c>
      <c r="R95" s="32">
        <v>49465</v>
      </c>
      <c r="S95" s="33">
        <f t="shared" si="12"/>
        <v>49465</v>
      </c>
      <c r="T95" s="33">
        <f t="shared" si="13"/>
        <v>9398.35</v>
      </c>
      <c r="U95" s="33">
        <f t="shared" si="14"/>
        <v>58863.35</v>
      </c>
      <c r="V95" s="34">
        <f t="shared" si="15"/>
        <v>58863.35</v>
      </c>
      <c r="W95" s="101"/>
    </row>
    <row r="96" spans="1:23" ht="25.5" hidden="1" customHeight="1">
      <c r="A96" s="1"/>
      <c r="B96" s="1"/>
      <c r="C96" s="12"/>
      <c r="D96" s="12"/>
      <c r="E96" s="12"/>
      <c r="F96" s="13"/>
      <c r="G96" s="30" t="s">
        <v>110</v>
      </c>
      <c r="H96" s="38">
        <v>65729</v>
      </c>
      <c r="I96" s="46">
        <v>44179</v>
      </c>
      <c r="J96" s="47" t="s">
        <v>111</v>
      </c>
      <c r="K96" s="83" t="s">
        <v>78</v>
      </c>
      <c r="L96" s="39" t="s">
        <v>136</v>
      </c>
      <c r="M96" s="31">
        <v>1</v>
      </c>
      <c r="N96" s="34">
        <v>0</v>
      </c>
      <c r="O96" s="33">
        <f t="shared" si="9"/>
        <v>0</v>
      </c>
      <c r="P96" s="33">
        <f t="shared" si="10"/>
        <v>0</v>
      </c>
      <c r="Q96" s="32">
        <f t="shared" si="11"/>
        <v>0</v>
      </c>
      <c r="R96" s="32">
        <v>24100</v>
      </c>
      <c r="S96" s="33">
        <f t="shared" si="12"/>
        <v>24100</v>
      </c>
      <c r="T96" s="33">
        <f t="shared" si="13"/>
        <v>4579</v>
      </c>
      <c r="U96" s="33">
        <f t="shared" si="14"/>
        <v>28679</v>
      </c>
      <c r="V96" s="34">
        <f t="shared" si="15"/>
        <v>28679</v>
      </c>
      <c r="W96" s="101"/>
    </row>
    <row r="97" spans="1:24" ht="25.5" hidden="1" customHeight="1">
      <c r="A97" s="1"/>
      <c r="B97" s="1"/>
      <c r="C97" s="12"/>
      <c r="D97" s="12"/>
      <c r="E97" s="12"/>
      <c r="F97" s="13"/>
      <c r="G97" s="30" t="s">
        <v>110</v>
      </c>
      <c r="H97" s="38">
        <v>65729</v>
      </c>
      <c r="I97" s="46">
        <v>44179</v>
      </c>
      <c r="J97" s="47" t="s">
        <v>111</v>
      </c>
      <c r="K97" s="83" t="s">
        <v>78</v>
      </c>
      <c r="L97" s="39" t="s">
        <v>137</v>
      </c>
      <c r="M97" s="31">
        <v>1</v>
      </c>
      <c r="N97" s="34">
        <v>0</v>
      </c>
      <c r="O97" s="33">
        <f t="shared" si="9"/>
        <v>0</v>
      </c>
      <c r="P97" s="33">
        <f t="shared" si="10"/>
        <v>0</v>
      </c>
      <c r="Q97" s="32">
        <f t="shared" si="11"/>
        <v>0</v>
      </c>
      <c r="R97" s="32">
        <v>120000</v>
      </c>
      <c r="S97" s="33">
        <f t="shared" si="12"/>
        <v>120000</v>
      </c>
      <c r="T97" s="33">
        <f t="shared" si="13"/>
        <v>22800</v>
      </c>
      <c r="U97" s="33">
        <f t="shared" si="14"/>
        <v>142800</v>
      </c>
      <c r="V97" s="34">
        <f t="shared" si="15"/>
        <v>142800</v>
      </c>
      <c r="W97" s="101"/>
    </row>
    <row r="98" spans="1:24" ht="25.5" hidden="1" customHeight="1">
      <c r="A98" s="1"/>
      <c r="B98" s="1"/>
      <c r="C98" s="12"/>
      <c r="D98" s="12"/>
      <c r="E98" s="12"/>
      <c r="F98" s="13"/>
      <c r="G98" s="30" t="s">
        <v>110</v>
      </c>
      <c r="H98" s="38">
        <v>65729</v>
      </c>
      <c r="I98" s="46">
        <v>44179</v>
      </c>
      <c r="J98" s="47" t="s">
        <v>111</v>
      </c>
      <c r="K98" s="83" t="s">
        <v>78</v>
      </c>
      <c r="L98" s="39" t="s">
        <v>138</v>
      </c>
      <c r="M98" s="31">
        <v>2</v>
      </c>
      <c r="N98" s="34">
        <v>0</v>
      </c>
      <c r="O98" s="33">
        <f t="shared" si="9"/>
        <v>0</v>
      </c>
      <c r="P98" s="33">
        <f t="shared" si="10"/>
        <v>0</v>
      </c>
      <c r="Q98" s="32">
        <f t="shared" si="11"/>
        <v>0</v>
      </c>
      <c r="R98" s="32">
        <v>20690</v>
      </c>
      <c r="S98" s="33">
        <f t="shared" si="12"/>
        <v>41380</v>
      </c>
      <c r="T98" s="33">
        <f t="shared" si="13"/>
        <v>7862.2</v>
      </c>
      <c r="U98" s="33">
        <f t="shared" si="14"/>
        <v>49242.2</v>
      </c>
      <c r="V98" s="34">
        <f t="shared" si="15"/>
        <v>49242.2</v>
      </c>
      <c r="W98" s="101"/>
    </row>
    <row r="99" spans="1:24" ht="25.5" hidden="1" customHeight="1">
      <c r="A99" s="1"/>
      <c r="B99" s="1"/>
      <c r="C99" s="12"/>
      <c r="D99" s="12"/>
      <c r="E99" s="12"/>
      <c r="F99" s="13"/>
      <c r="G99" s="30" t="s">
        <v>110</v>
      </c>
      <c r="H99" s="38">
        <v>65729</v>
      </c>
      <c r="I99" s="46">
        <v>44179</v>
      </c>
      <c r="J99" s="47" t="s">
        <v>111</v>
      </c>
      <c r="K99" s="83" t="s">
        <v>78</v>
      </c>
      <c r="L99" s="39" t="s">
        <v>139</v>
      </c>
      <c r="M99" s="31">
        <v>4</v>
      </c>
      <c r="N99" s="34">
        <v>0</v>
      </c>
      <c r="O99" s="33">
        <f t="shared" si="9"/>
        <v>0</v>
      </c>
      <c r="P99" s="33">
        <f t="shared" si="10"/>
        <v>0</v>
      </c>
      <c r="Q99" s="32">
        <f t="shared" si="11"/>
        <v>0</v>
      </c>
      <c r="R99" s="32">
        <v>7259</v>
      </c>
      <c r="S99" s="33">
        <f t="shared" si="12"/>
        <v>29036</v>
      </c>
      <c r="T99" s="33">
        <f t="shared" si="13"/>
        <v>5516.84</v>
      </c>
      <c r="U99" s="33">
        <f t="shared" si="14"/>
        <v>34552.839999999997</v>
      </c>
      <c r="V99" s="34">
        <f t="shared" si="15"/>
        <v>34552.839999999997</v>
      </c>
      <c r="W99" s="101"/>
    </row>
    <row r="100" spans="1:24" ht="25.5" hidden="1" customHeight="1">
      <c r="A100" s="1"/>
      <c r="B100" s="1"/>
      <c r="C100" s="12"/>
      <c r="D100" s="12"/>
      <c r="E100" s="12"/>
      <c r="F100" s="13"/>
      <c r="G100" s="30" t="s">
        <v>110</v>
      </c>
      <c r="H100" s="38">
        <v>65729</v>
      </c>
      <c r="I100" s="46">
        <v>44179</v>
      </c>
      <c r="J100" s="47" t="s">
        <v>111</v>
      </c>
      <c r="K100" s="83" t="s">
        <v>78</v>
      </c>
      <c r="L100" s="39" t="s">
        <v>140</v>
      </c>
      <c r="M100" s="31">
        <v>1</v>
      </c>
      <c r="N100" s="34"/>
      <c r="O100" s="33">
        <f t="shared" si="9"/>
        <v>0</v>
      </c>
      <c r="P100" s="33">
        <f t="shared" si="10"/>
        <v>0</v>
      </c>
      <c r="Q100" s="32">
        <f t="shared" si="11"/>
        <v>0</v>
      </c>
      <c r="R100" s="32">
        <v>60000</v>
      </c>
      <c r="S100" s="33">
        <f t="shared" si="12"/>
        <v>60000</v>
      </c>
      <c r="T100" s="33">
        <f t="shared" si="13"/>
        <v>11400</v>
      </c>
      <c r="U100" s="33">
        <f t="shared" si="14"/>
        <v>71400</v>
      </c>
      <c r="V100" s="34">
        <f t="shared" si="15"/>
        <v>71400</v>
      </c>
      <c r="W100" s="101"/>
      <c r="X100" s="73">
        <f>SUM(V72:V100)</f>
        <v>6335540.96</v>
      </c>
    </row>
    <row r="101" spans="1:24" s="53" customFormat="1" ht="25.5" hidden="1" customHeight="1">
      <c r="A101" s="43"/>
      <c r="B101" s="43"/>
      <c r="C101" s="44"/>
      <c r="D101" s="44"/>
      <c r="E101" s="44"/>
      <c r="F101" s="45"/>
      <c r="G101" s="30" t="s">
        <v>110</v>
      </c>
      <c r="H101" s="38">
        <v>68189</v>
      </c>
      <c r="I101" s="75">
        <v>44237</v>
      </c>
      <c r="J101" s="73" t="s">
        <v>141</v>
      </c>
      <c r="K101" s="84" t="s">
        <v>78</v>
      </c>
      <c r="L101" s="48" t="s">
        <v>142</v>
      </c>
      <c r="M101" s="49">
        <v>1</v>
      </c>
      <c r="N101" s="50">
        <v>32340</v>
      </c>
      <c r="O101" s="51">
        <f t="shared" si="9"/>
        <v>32340</v>
      </c>
      <c r="P101" s="51">
        <f t="shared" si="10"/>
        <v>6144.6</v>
      </c>
      <c r="Q101" s="52">
        <f t="shared" si="11"/>
        <v>38484.6</v>
      </c>
      <c r="R101" s="52">
        <v>0</v>
      </c>
      <c r="S101" s="51">
        <f t="shared" si="12"/>
        <v>0</v>
      </c>
      <c r="T101" s="51">
        <f t="shared" si="13"/>
        <v>0</v>
      </c>
      <c r="U101" s="51">
        <f t="shared" si="14"/>
        <v>0</v>
      </c>
      <c r="V101" s="50">
        <f t="shared" si="15"/>
        <v>38484.6</v>
      </c>
      <c r="W101" s="102"/>
    </row>
    <row r="102" spans="1:24" ht="25.5" hidden="1" customHeight="1">
      <c r="A102" s="1"/>
      <c r="B102" s="1"/>
      <c r="C102" s="12"/>
      <c r="D102" s="12"/>
      <c r="E102" s="12"/>
      <c r="F102" s="13"/>
      <c r="G102" s="30" t="s">
        <v>110</v>
      </c>
      <c r="H102" s="38">
        <v>68189</v>
      </c>
      <c r="I102" s="75">
        <v>44237</v>
      </c>
      <c r="J102" s="73" t="s">
        <v>141</v>
      </c>
      <c r="K102" s="83" t="s">
        <v>78</v>
      </c>
      <c r="L102" s="39" t="s">
        <v>143</v>
      </c>
      <c r="M102" s="31">
        <v>1</v>
      </c>
      <c r="N102" s="34">
        <v>86765</v>
      </c>
      <c r="O102" s="33">
        <f t="shared" si="9"/>
        <v>86765</v>
      </c>
      <c r="P102" s="33">
        <f t="shared" si="10"/>
        <v>16485.349999999999</v>
      </c>
      <c r="Q102" s="32">
        <f t="shared" si="11"/>
        <v>103250.35</v>
      </c>
      <c r="R102" s="32">
        <v>0</v>
      </c>
      <c r="S102" s="33">
        <f t="shared" si="12"/>
        <v>0</v>
      </c>
      <c r="T102" s="33">
        <f t="shared" si="13"/>
        <v>0</v>
      </c>
      <c r="U102" s="33">
        <f t="shared" si="14"/>
        <v>0</v>
      </c>
      <c r="V102" s="34">
        <f t="shared" si="15"/>
        <v>103250.35</v>
      </c>
      <c r="W102" s="101"/>
    </row>
    <row r="103" spans="1:24" ht="25.5" hidden="1" customHeight="1">
      <c r="A103" s="1"/>
      <c r="B103" s="1"/>
      <c r="C103" s="12"/>
      <c r="D103" s="12"/>
      <c r="E103" s="12"/>
      <c r="F103" s="13"/>
      <c r="G103" s="30" t="s">
        <v>110</v>
      </c>
      <c r="H103" s="38">
        <v>68189</v>
      </c>
      <c r="I103" s="75">
        <v>44237</v>
      </c>
      <c r="J103" s="73" t="s">
        <v>141</v>
      </c>
      <c r="K103" s="83" t="s">
        <v>78</v>
      </c>
      <c r="L103" s="39" t="s">
        <v>144</v>
      </c>
      <c r="M103" s="31">
        <v>1</v>
      </c>
      <c r="N103" s="34">
        <v>0</v>
      </c>
      <c r="O103" s="33">
        <f t="shared" si="9"/>
        <v>0</v>
      </c>
      <c r="P103" s="33">
        <f t="shared" si="10"/>
        <v>0</v>
      </c>
      <c r="Q103" s="32">
        <f t="shared" si="11"/>
        <v>0</v>
      </c>
      <c r="R103" s="32">
        <v>150000</v>
      </c>
      <c r="S103" s="33">
        <f t="shared" si="12"/>
        <v>150000</v>
      </c>
      <c r="T103" s="33">
        <f t="shared" si="13"/>
        <v>28500</v>
      </c>
      <c r="U103" s="33">
        <f t="shared" si="14"/>
        <v>178500</v>
      </c>
      <c r="V103" s="34">
        <f t="shared" si="15"/>
        <v>178500</v>
      </c>
      <c r="W103" s="101"/>
    </row>
    <row r="104" spans="1:24" ht="25.5" hidden="1" customHeight="1">
      <c r="A104" s="1"/>
      <c r="B104" s="1"/>
      <c r="C104" s="12"/>
      <c r="D104" s="12"/>
      <c r="E104" s="12"/>
      <c r="G104" s="30" t="s">
        <v>110</v>
      </c>
      <c r="H104" s="38">
        <v>68189</v>
      </c>
      <c r="I104" s="75">
        <v>44237</v>
      </c>
      <c r="J104" s="73" t="s">
        <v>141</v>
      </c>
      <c r="K104" s="83" t="s">
        <v>78</v>
      </c>
      <c r="L104" s="41" t="s">
        <v>145</v>
      </c>
      <c r="M104" s="31">
        <v>1</v>
      </c>
      <c r="N104" s="34">
        <v>0</v>
      </c>
      <c r="O104" s="33">
        <f t="shared" si="9"/>
        <v>0</v>
      </c>
      <c r="P104" s="33">
        <f t="shared" si="10"/>
        <v>0</v>
      </c>
      <c r="Q104" s="32">
        <f t="shared" si="11"/>
        <v>0</v>
      </c>
      <c r="R104" s="32">
        <v>260000</v>
      </c>
      <c r="S104" s="33">
        <f t="shared" si="12"/>
        <v>260000</v>
      </c>
      <c r="T104" s="33">
        <f t="shared" si="13"/>
        <v>49400</v>
      </c>
      <c r="U104" s="33">
        <f t="shared" si="14"/>
        <v>309400</v>
      </c>
      <c r="V104" s="34">
        <f t="shared" si="15"/>
        <v>309400</v>
      </c>
      <c r="W104" s="101"/>
    </row>
    <row r="105" spans="1:24" ht="25.5" hidden="1" customHeight="1">
      <c r="A105" s="1"/>
      <c r="B105" s="1"/>
      <c r="C105" s="12"/>
      <c r="D105" s="12"/>
      <c r="E105" s="12"/>
      <c r="F105" s="13"/>
      <c r="G105" s="30" t="s">
        <v>110</v>
      </c>
      <c r="H105" s="38">
        <v>68189</v>
      </c>
      <c r="I105" s="75">
        <v>44237</v>
      </c>
      <c r="J105" s="73" t="s">
        <v>141</v>
      </c>
      <c r="K105" s="83" t="s">
        <v>78</v>
      </c>
      <c r="L105" s="41" t="s">
        <v>65</v>
      </c>
      <c r="M105" s="31">
        <v>1</v>
      </c>
      <c r="N105" s="34">
        <v>0</v>
      </c>
      <c r="O105" s="33">
        <f t="shared" si="9"/>
        <v>0</v>
      </c>
      <c r="P105" s="33">
        <f t="shared" si="10"/>
        <v>0</v>
      </c>
      <c r="Q105" s="32">
        <f t="shared" si="11"/>
        <v>0</v>
      </c>
      <c r="R105" s="32">
        <v>24118</v>
      </c>
      <c r="S105" s="33">
        <f t="shared" si="12"/>
        <v>24118</v>
      </c>
      <c r="T105" s="33">
        <f t="shared" si="13"/>
        <v>4582.42</v>
      </c>
      <c r="U105" s="33">
        <f t="shared" si="14"/>
        <v>28700.42</v>
      </c>
      <c r="V105" s="34">
        <f t="shared" si="15"/>
        <v>28700.42</v>
      </c>
      <c r="W105" s="101"/>
      <c r="X105" s="73">
        <f>SUM(V101:V105)</f>
        <v>658335.37</v>
      </c>
    </row>
    <row r="106" spans="1:24" s="53" customFormat="1" ht="25.5" hidden="1" customHeight="1">
      <c r="A106" s="43"/>
      <c r="B106" s="43"/>
      <c r="C106" s="44"/>
      <c r="D106" s="44"/>
      <c r="E106" s="44"/>
      <c r="F106" s="45"/>
      <c r="G106" s="30" t="s">
        <v>110</v>
      </c>
      <c r="H106" s="63">
        <v>70507</v>
      </c>
      <c r="I106" s="75">
        <v>44237</v>
      </c>
      <c r="J106" s="64" t="s">
        <v>146</v>
      </c>
      <c r="K106" s="85" t="s">
        <v>64</v>
      </c>
      <c r="L106" s="65" t="s">
        <v>147</v>
      </c>
      <c r="M106" s="66">
        <v>1</v>
      </c>
      <c r="N106" s="67">
        <v>21216</v>
      </c>
      <c r="O106" s="68">
        <f t="shared" si="9"/>
        <v>21216</v>
      </c>
      <c r="P106" s="68">
        <f t="shared" si="10"/>
        <v>4031.04</v>
      </c>
      <c r="Q106" s="69">
        <f t="shared" si="11"/>
        <v>25247.040000000001</v>
      </c>
      <c r="R106" s="69">
        <v>10243</v>
      </c>
      <c r="S106" s="68">
        <f t="shared" si="12"/>
        <v>10243</v>
      </c>
      <c r="T106" s="68">
        <f t="shared" si="13"/>
        <v>1946.17</v>
      </c>
      <c r="U106" s="68">
        <f t="shared" si="14"/>
        <v>12189.17</v>
      </c>
      <c r="V106" s="67">
        <f t="shared" si="15"/>
        <v>37436.21</v>
      </c>
      <c r="W106" s="103"/>
    </row>
    <row r="107" spans="1:24" ht="25.5" hidden="1" customHeight="1">
      <c r="A107" s="1"/>
      <c r="B107" s="1"/>
      <c r="C107" s="12"/>
      <c r="D107" s="12"/>
      <c r="E107" s="12"/>
      <c r="F107" s="13"/>
      <c r="G107" s="30" t="s">
        <v>110</v>
      </c>
      <c r="H107" s="55">
        <v>70507</v>
      </c>
      <c r="I107" s="75">
        <v>44237</v>
      </c>
      <c r="J107" s="64" t="s">
        <v>146</v>
      </c>
      <c r="K107" s="85" t="s">
        <v>64</v>
      </c>
      <c r="L107" s="58" t="s">
        <v>148</v>
      </c>
      <c r="M107" s="59">
        <v>1</v>
      </c>
      <c r="N107" s="60">
        <v>30207</v>
      </c>
      <c r="O107" s="61">
        <f t="shared" si="9"/>
        <v>30207</v>
      </c>
      <c r="P107" s="61">
        <f t="shared" si="10"/>
        <v>5739.33</v>
      </c>
      <c r="Q107" s="62">
        <f t="shared" si="11"/>
        <v>35946.33</v>
      </c>
      <c r="R107" s="62">
        <v>11965</v>
      </c>
      <c r="S107" s="61">
        <f t="shared" si="12"/>
        <v>11965</v>
      </c>
      <c r="T107" s="61">
        <f t="shared" si="13"/>
        <v>2273.35</v>
      </c>
      <c r="U107" s="61">
        <f t="shared" si="14"/>
        <v>14238.35</v>
      </c>
      <c r="V107" s="60">
        <f t="shared" si="15"/>
        <v>50184.68</v>
      </c>
      <c r="W107" s="104"/>
    </row>
    <row r="108" spans="1:24" ht="25.5" hidden="1" customHeight="1">
      <c r="A108" s="1"/>
      <c r="B108" s="1"/>
      <c r="C108" s="12"/>
      <c r="D108" s="12"/>
      <c r="E108" s="12"/>
      <c r="F108" s="13"/>
      <c r="G108" s="30" t="s">
        <v>110</v>
      </c>
      <c r="H108" s="55">
        <v>70507</v>
      </c>
      <c r="I108" s="75">
        <v>44237</v>
      </c>
      <c r="J108" s="64" t="s">
        <v>146</v>
      </c>
      <c r="K108" s="85" t="s">
        <v>64</v>
      </c>
      <c r="L108" s="58" t="s">
        <v>149</v>
      </c>
      <c r="M108" s="59">
        <v>1</v>
      </c>
      <c r="N108" s="60">
        <v>25365</v>
      </c>
      <c r="O108" s="61">
        <f t="shared" ref="O108:O118" si="16">+N108*M108</f>
        <v>25365</v>
      </c>
      <c r="P108" s="61">
        <f t="shared" ref="P108:P118" si="17">+O108*0.19</f>
        <v>4819.3500000000004</v>
      </c>
      <c r="Q108" s="62">
        <f t="shared" ref="Q108:Q118" si="18">+P108+O108</f>
        <v>30184.35</v>
      </c>
      <c r="R108" s="62"/>
      <c r="S108" s="61">
        <f t="shared" ref="S108:S118" si="19">+R108*M108</f>
        <v>0</v>
      </c>
      <c r="T108" s="61">
        <f t="shared" ref="T108:T118" si="20">+S108*0.19</f>
        <v>0</v>
      </c>
      <c r="U108" s="61">
        <f t="shared" ref="U108:U118" si="21">+T108+S108</f>
        <v>0</v>
      </c>
      <c r="V108" s="60">
        <f t="shared" ref="V108:V118" si="22">+U108+Q108</f>
        <v>30184.35</v>
      </c>
      <c r="W108" s="104"/>
    </row>
    <row r="109" spans="1:24" ht="25.5" hidden="1" customHeight="1">
      <c r="A109" s="1"/>
      <c r="B109" s="1"/>
      <c r="C109" s="12"/>
      <c r="D109" s="12"/>
      <c r="E109" s="12"/>
      <c r="F109" s="13"/>
      <c r="G109" s="30" t="s">
        <v>110</v>
      </c>
      <c r="H109" s="55">
        <v>70507</v>
      </c>
      <c r="I109" s="75">
        <v>44237</v>
      </c>
      <c r="J109" s="64" t="s">
        <v>146</v>
      </c>
      <c r="K109" s="85" t="s">
        <v>64</v>
      </c>
      <c r="L109" s="58" t="s">
        <v>150</v>
      </c>
      <c r="M109" s="59">
        <v>3</v>
      </c>
      <c r="N109" s="60">
        <v>16074</v>
      </c>
      <c r="O109" s="61">
        <f t="shared" si="16"/>
        <v>48222</v>
      </c>
      <c r="P109" s="61">
        <f t="shared" si="17"/>
        <v>9162.18</v>
      </c>
      <c r="Q109" s="62">
        <f t="shared" si="18"/>
        <v>57384.18</v>
      </c>
      <c r="R109" s="62"/>
      <c r="S109" s="61">
        <f t="shared" si="19"/>
        <v>0</v>
      </c>
      <c r="T109" s="61">
        <f t="shared" si="20"/>
        <v>0</v>
      </c>
      <c r="U109" s="61">
        <f t="shared" si="21"/>
        <v>0</v>
      </c>
      <c r="V109" s="60">
        <f t="shared" si="22"/>
        <v>57384.18</v>
      </c>
      <c r="W109" s="104"/>
    </row>
    <row r="110" spans="1:24" ht="25.5" hidden="1" customHeight="1">
      <c r="A110" s="1"/>
      <c r="B110" s="1"/>
      <c r="C110" s="12"/>
      <c r="D110" s="12"/>
      <c r="E110" s="12"/>
      <c r="F110" s="13"/>
      <c r="G110" s="30" t="s">
        <v>110</v>
      </c>
      <c r="H110" s="55">
        <v>70507</v>
      </c>
      <c r="I110" s="75">
        <v>44237</v>
      </c>
      <c r="J110" s="64" t="s">
        <v>146</v>
      </c>
      <c r="K110" s="85" t="s">
        <v>64</v>
      </c>
      <c r="L110" s="58" t="s">
        <v>151</v>
      </c>
      <c r="M110" s="59">
        <v>1</v>
      </c>
      <c r="N110" s="60">
        <v>300000</v>
      </c>
      <c r="O110" s="61">
        <f t="shared" si="16"/>
        <v>300000</v>
      </c>
      <c r="P110" s="61">
        <f t="shared" si="17"/>
        <v>57000</v>
      </c>
      <c r="Q110" s="62">
        <f t="shared" si="18"/>
        <v>357000</v>
      </c>
      <c r="R110" s="62">
        <v>120000</v>
      </c>
      <c r="S110" s="61">
        <f t="shared" si="19"/>
        <v>120000</v>
      </c>
      <c r="T110" s="61">
        <f t="shared" si="20"/>
        <v>22800</v>
      </c>
      <c r="U110" s="61">
        <f t="shared" si="21"/>
        <v>142800</v>
      </c>
      <c r="V110" s="60">
        <f t="shared" si="22"/>
        <v>499800</v>
      </c>
      <c r="W110" s="104"/>
    </row>
    <row r="111" spans="1:24" ht="25.5" hidden="1" customHeight="1">
      <c r="A111" s="1"/>
      <c r="B111" s="1"/>
      <c r="C111" s="12"/>
      <c r="D111" s="12"/>
      <c r="E111" s="12"/>
      <c r="F111" s="13"/>
      <c r="G111" s="30" t="s">
        <v>110</v>
      </c>
      <c r="H111" s="55">
        <v>70507</v>
      </c>
      <c r="I111" s="75">
        <v>44237</v>
      </c>
      <c r="J111" s="64" t="s">
        <v>146</v>
      </c>
      <c r="K111" s="86" t="s">
        <v>78</v>
      </c>
      <c r="L111" s="58" t="s">
        <v>116</v>
      </c>
      <c r="M111" s="59">
        <v>1</v>
      </c>
      <c r="N111" s="60">
        <v>140000</v>
      </c>
      <c r="O111" s="61">
        <f t="shared" si="16"/>
        <v>140000</v>
      </c>
      <c r="P111" s="61">
        <f t="shared" si="17"/>
        <v>26600</v>
      </c>
      <c r="Q111" s="62">
        <f t="shared" si="18"/>
        <v>166600</v>
      </c>
      <c r="R111" s="62"/>
      <c r="S111" s="61">
        <f t="shared" si="19"/>
        <v>0</v>
      </c>
      <c r="T111" s="61">
        <f t="shared" si="20"/>
        <v>0</v>
      </c>
      <c r="U111" s="61">
        <f t="shared" si="21"/>
        <v>0</v>
      </c>
      <c r="V111" s="60">
        <f t="shared" si="22"/>
        <v>166600</v>
      </c>
      <c r="W111" s="104"/>
    </row>
    <row r="112" spans="1:24" ht="25.5" hidden="1" customHeight="1">
      <c r="A112" s="1"/>
      <c r="B112" s="1"/>
      <c r="C112" s="12"/>
      <c r="D112" s="12"/>
      <c r="E112" s="12"/>
      <c r="F112" s="13"/>
      <c r="G112" s="30" t="s">
        <v>110</v>
      </c>
      <c r="H112" s="55">
        <v>70507</v>
      </c>
      <c r="I112" s="75">
        <v>44237</v>
      </c>
      <c r="J112" s="64" t="s">
        <v>146</v>
      </c>
      <c r="K112" s="86" t="s">
        <v>64</v>
      </c>
      <c r="L112" s="58" t="s">
        <v>152</v>
      </c>
      <c r="M112" s="59">
        <v>1</v>
      </c>
      <c r="N112" s="60">
        <v>0</v>
      </c>
      <c r="O112" s="61">
        <f t="shared" si="16"/>
        <v>0</v>
      </c>
      <c r="P112" s="61">
        <f t="shared" si="17"/>
        <v>0</v>
      </c>
      <c r="Q112" s="62">
        <f t="shared" si="18"/>
        <v>0</v>
      </c>
      <c r="R112" s="62">
        <v>24949</v>
      </c>
      <c r="S112" s="61">
        <f t="shared" si="19"/>
        <v>24949</v>
      </c>
      <c r="T112" s="61">
        <f t="shared" si="20"/>
        <v>4740.3100000000004</v>
      </c>
      <c r="U112" s="61">
        <f t="shared" si="21"/>
        <v>29689.31</v>
      </c>
      <c r="V112" s="60">
        <f t="shared" si="22"/>
        <v>29689.31</v>
      </c>
      <c r="W112" s="104"/>
    </row>
    <row r="113" spans="1:24" ht="25.5" hidden="1" customHeight="1">
      <c r="A113" s="1"/>
      <c r="B113" s="1"/>
      <c r="C113" s="12"/>
      <c r="D113" s="12"/>
      <c r="E113" s="12"/>
      <c r="F113" s="13"/>
      <c r="G113" s="30" t="s">
        <v>110</v>
      </c>
      <c r="H113" s="55">
        <v>70507</v>
      </c>
      <c r="I113" s="75">
        <v>44237</v>
      </c>
      <c r="J113" s="64" t="s">
        <v>146</v>
      </c>
      <c r="K113" s="86" t="s">
        <v>64</v>
      </c>
      <c r="L113" s="58" t="s">
        <v>153</v>
      </c>
      <c r="M113" s="59">
        <v>1</v>
      </c>
      <c r="N113" s="60">
        <v>20690</v>
      </c>
      <c r="O113" s="61">
        <f t="shared" si="16"/>
        <v>20690</v>
      </c>
      <c r="P113" s="61">
        <f t="shared" si="17"/>
        <v>3931.1</v>
      </c>
      <c r="Q113" s="62">
        <f t="shared" si="18"/>
        <v>24621.1</v>
      </c>
      <c r="R113" s="62"/>
      <c r="S113" s="61">
        <f t="shared" si="19"/>
        <v>0</v>
      </c>
      <c r="T113" s="61">
        <f t="shared" si="20"/>
        <v>0</v>
      </c>
      <c r="U113" s="61">
        <f t="shared" si="21"/>
        <v>0</v>
      </c>
      <c r="V113" s="60">
        <f t="shared" si="22"/>
        <v>24621.1</v>
      </c>
      <c r="W113" s="104"/>
    </row>
    <row r="114" spans="1:24" ht="25.5" hidden="1" customHeight="1">
      <c r="A114" s="1"/>
      <c r="B114" s="1"/>
      <c r="C114" s="12"/>
      <c r="D114" s="12"/>
      <c r="E114" s="12"/>
      <c r="F114" s="13"/>
      <c r="G114" s="30" t="s">
        <v>110</v>
      </c>
      <c r="H114" s="55">
        <v>70507</v>
      </c>
      <c r="I114" s="75">
        <v>44237</v>
      </c>
      <c r="J114" s="64" t="s">
        <v>146</v>
      </c>
      <c r="K114" s="86" t="s">
        <v>64</v>
      </c>
      <c r="L114" s="58" t="s">
        <v>139</v>
      </c>
      <c r="M114" s="59">
        <v>4</v>
      </c>
      <c r="N114" s="60">
        <v>7259</v>
      </c>
      <c r="O114" s="61">
        <f t="shared" si="16"/>
        <v>29036</v>
      </c>
      <c r="P114" s="61">
        <f t="shared" si="17"/>
        <v>5516.84</v>
      </c>
      <c r="Q114" s="62">
        <f t="shared" si="18"/>
        <v>34552.839999999997</v>
      </c>
      <c r="R114" s="62">
        <v>0</v>
      </c>
      <c r="S114" s="61">
        <f t="shared" si="19"/>
        <v>0</v>
      </c>
      <c r="T114" s="61">
        <f t="shared" si="20"/>
        <v>0</v>
      </c>
      <c r="U114" s="61">
        <f t="shared" si="21"/>
        <v>0</v>
      </c>
      <c r="V114" s="60">
        <f t="shared" si="22"/>
        <v>34552.839999999997</v>
      </c>
      <c r="W114" s="104"/>
    </row>
    <row r="115" spans="1:24" ht="25.5" hidden="1" customHeight="1">
      <c r="A115" s="1"/>
      <c r="B115" s="1"/>
      <c r="C115" s="12"/>
      <c r="D115" s="12"/>
      <c r="E115" s="12"/>
      <c r="F115" s="13"/>
      <c r="G115" s="30" t="s">
        <v>110</v>
      </c>
      <c r="H115" s="55">
        <v>70507</v>
      </c>
      <c r="I115" s="75">
        <v>44237</v>
      </c>
      <c r="J115" s="64" t="s">
        <v>146</v>
      </c>
      <c r="K115" s="86" t="s">
        <v>78</v>
      </c>
      <c r="L115" s="58" t="s">
        <v>154</v>
      </c>
      <c r="M115" s="59">
        <v>1</v>
      </c>
      <c r="N115" s="60">
        <v>0</v>
      </c>
      <c r="O115" s="61">
        <f t="shared" si="16"/>
        <v>0</v>
      </c>
      <c r="P115" s="61">
        <f t="shared" si="17"/>
        <v>0</v>
      </c>
      <c r="Q115" s="62">
        <f t="shared" si="18"/>
        <v>0</v>
      </c>
      <c r="R115" s="62">
        <v>150000</v>
      </c>
      <c r="S115" s="61">
        <f t="shared" si="19"/>
        <v>150000</v>
      </c>
      <c r="T115" s="61">
        <f t="shared" si="20"/>
        <v>28500</v>
      </c>
      <c r="U115" s="61">
        <f t="shared" si="21"/>
        <v>178500</v>
      </c>
      <c r="V115" s="60">
        <f t="shared" si="22"/>
        <v>178500</v>
      </c>
      <c r="W115" s="104"/>
    </row>
    <row r="116" spans="1:24" ht="25.5" hidden="1" customHeight="1">
      <c r="A116" s="1"/>
      <c r="B116" s="1"/>
      <c r="C116" s="12"/>
      <c r="D116" s="12"/>
      <c r="E116" s="12"/>
      <c r="F116" s="13"/>
      <c r="G116" s="30" t="s">
        <v>110</v>
      </c>
      <c r="H116" s="55">
        <v>70507</v>
      </c>
      <c r="I116" s="75">
        <v>44237</v>
      </c>
      <c r="J116" s="64" t="s">
        <v>146</v>
      </c>
      <c r="K116" s="86" t="s">
        <v>114</v>
      </c>
      <c r="L116" s="58" t="s">
        <v>107</v>
      </c>
      <c r="M116" s="59">
        <v>6</v>
      </c>
      <c r="N116" s="60">
        <v>22396</v>
      </c>
      <c r="O116" s="61">
        <f t="shared" si="16"/>
        <v>134376</v>
      </c>
      <c r="P116" s="61">
        <f t="shared" si="17"/>
        <v>25531.439999999999</v>
      </c>
      <c r="Q116" s="62">
        <f t="shared" si="18"/>
        <v>159907.44</v>
      </c>
      <c r="R116" s="62"/>
      <c r="S116" s="61">
        <f t="shared" si="19"/>
        <v>0</v>
      </c>
      <c r="T116" s="61">
        <f t="shared" si="20"/>
        <v>0</v>
      </c>
      <c r="U116" s="61">
        <f t="shared" si="21"/>
        <v>0</v>
      </c>
      <c r="V116" s="60">
        <f t="shared" si="22"/>
        <v>159907.44</v>
      </c>
      <c r="W116" s="104"/>
      <c r="X116" s="73">
        <f>SUM(V106:V116)</f>
        <v>1268860.1099999999</v>
      </c>
    </row>
    <row r="117" spans="1:24" s="53" customFormat="1" ht="25.5" hidden="1" customHeight="1">
      <c r="A117" s="43"/>
      <c r="B117" s="71"/>
      <c r="C117" s="44"/>
      <c r="D117" s="44"/>
      <c r="E117" s="44"/>
      <c r="F117" s="45"/>
      <c r="G117" s="30" t="s">
        <v>110</v>
      </c>
      <c r="H117" s="38">
        <v>72705</v>
      </c>
      <c r="I117" s="75">
        <v>44308</v>
      </c>
      <c r="J117" s="64" t="s">
        <v>155</v>
      </c>
      <c r="K117" s="86" t="str">
        <f>VLOOKUP(L117,Hoja1!B$2:C$401,2,"FALSO")</f>
        <v>CORRECTIVO</v>
      </c>
      <c r="L117" s="65" t="s">
        <v>156</v>
      </c>
      <c r="M117" s="59">
        <v>2</v>
      </c>
      <c r="N117" s="67">
        <v>90000</v>
      </c>
      <c r="O117" s="68">
        <f t="shared" si="16"/>
        <v>180000</v>
      </c>
      <c r="P117" s="68">
        <f t="shared" si="17"/>
        <v>34200</v>
      </c>
      <c r="Q117" s="69">
        <f t="shared" si="18"/>
        <v>214200</v>
      </c>
      <c r="R117" s="69"/>
      <c r="S117" s="68">
        <f t="shared" si="19"/>
        <v>0</v>
      </c>
      <c r="T117" s="68">
        <f t="shared" si="20"/>
        <v>0</v>
      </c>
      <c r="U117" s="68">
        <f t="shared" si="21"/>
        <v>0</v>
      </c>
      <c r="V117" s="67">
        <f t="shared" si="22"/>
        <v>214200</v>
      </c>
      <c r="W117" s="103"/>
    </row>
    <row r="118" spans="1:24" ht="25.5" hidden="1" customHeight="1">
      <c r="A118" s="1"/>
      <c r="B118" s="1"/>
      <c r="C118" s="12"/>
      <c r="D118" s="12"/>
      <c r="E118" s="12"/>
      <c r="F118" s="54">
        <v>76640</v>
      </c>
      <c r="G118" s="30" t="s">
        <v>110</v>
      </c>
      <c r="H118" s="38">
        <v>72705</v>
      </c>
      <c r="I118" s="75">
        <v>44308</v>
      </c>
      <c r="J118" s="64" t="s">
        <v>155</v>
      </c>
      <c r="K118" s="86" t="str">
        <f>VLOOKUP(L118,Hoja1!B$2:C$401,2,"FALSO")</f>
        <v>PREVENTIVO</v>
      </c>
      <c r="L118" s="76" t="s">
        <v>68</v>
      </c>
      <c r="M118" s="59">
        <v>1</v>
      </c>
      <c r="N118" s="60">
        <v>72900</v>
      </c>
      <c r="O118" s="61">
        <f t="shared" si="16"/>
        <v>72900</v>
      </c>
      <c r="P118" s="61">
        <f t="shared" si="17"/>
        <v>13851</v>
      </c>
      <c r="Q118" s="62">
        <f t="shared" si="18"/>
        <v>86751</v>
      </c>
      <c r="R118" s="62">
        <v>0</v>
      </c>
      <c r="S118" s="61">
        <f t="shared" si="19"/>
        <v>0</v>
      </c>
      <c r="T118" s="61">
        <f t="shared" si="20"/>
        <v>0</v>
      </c>
      <c r="U118" s="61">
        <f t="shared" si="21"/>
        <v>0</v>
      </c>
      <c r="V118" s="60">
        <f t="shared" si="22"/>
        <v>86751</v>
      </c>
      <c r="W118" s="104"/>
    </row>
    <row r="119" spans="1:24" ht="25.5" hidden="1" customHeight="1">
      <c r="A119" s="1"/>
      <c r="B119" s="1"/>
      <c r="C119" s="12"/>
      <c r="D119" s="12"/>
      <c r="E119" s="12"/>
      <c r="F119" s="13"/>
      <c r="G119" s="30" t="s">
        <v>110</v>
      </c>
      <c r="H119" s="38">
        <v>72705</v>
      </c>
      <c r="I119" s="75">
        <v>44308</v>
      </c>
      <c r="J119" s="64" t="s">
        <v>155</v>
      </c>
      <c r="K119" s="86" t="str">
        <f>VLOOKUP(L119,Hoja1!B$2:C$401,2,"FALSO")</f>
        <v>CORRECTIVO</v>
      </c>
      <c r="L119" s="76" t="s">
        <v>157</v>
      </c>
      <c r="M119" s="59">
        <v>1</v>
      </c>
      <c r="N119" s="60">
        <v>0</v>
      </c>
      <c r="O119" s="61">
        <f t="shared" ref="O119:O132" si="23">+N119*M119</f>
        <v>0</v>
      </c>
      <c r="P119" s="61">
        <f t="shared" ref="P119:P132" si="24">+O119*0.19</f>
        <v>0</v>
      </c>
      <c r="Q119" s="62">
        <f t="shared" ref="Q119:Q132" si="25">+P119+O119</f>
        <v>0</v>
      </c>
      <c r="R119" s="62">
        <v>350000</v>
      </c>
      <c r="S119" s="61">
        <f t="shared" ref="S119:S132" si="26">+R119*M119</f>
        <v>350000</v>
      </c>
      <c r="T119" s="61">
        <f t="shared" ref="T119:T132" si="27">+S119*0.19</f>
        <v>66500</v>
      </c>
      <c r="U119" s="61">
        <f t="shared" ref="U119:U132" si="28">+T119+S119</f>
        <v>416500</v>
      </c>
      <c r="V119" s="60">
        <f t="shared" ref="V119:V132" si="29">+U119+Q119</f>
        <v>416500</v>
      </c>
      <c r="W119" s="104"/>
    </row>
    <row r="120" spans="1:24" ht="25.5" hidden="1" customHeight="1">
      <c r="A120" s="1"/>
      <c r="B120" s="1"/>
      <c r="C120" s="12"/>
      <c r="D120" s="12"/>
      <c r="E120" s="12"/>
      <c r="F120" s="13"/>
      <c r="G120" s="30" t="s">
        <v>110</v>
      </c>
      <c r="H120" s="38">
        <v>72705</v>
      </c>
      <c r="I120" s="75">
        <v>44308</v>
      </c>
      <c r="J120" s="64" t="s">
        <v>155</v>
      </c>
      <c r="K120" s="86" t="str">
        <f>VLOOKUP(L120,Hoja1!B$2:C$401,2,"FALSO")</f>
        <v>CORRECTIVO</v>
      </c>
      <c r="L120" s="65" t="s">
        <v>158</v>
      </c>
      <c r="M120" s="59">
        <v>1</v>
      </c>
      <c r="N120" s="60">
        <v>0</v>
      </c>
      <c r="O120" s="61">
        <f t="shared" si="23"/>
        <v>0</v>
      </c>
      <c r="P120" s="61">
        <f t="shared" si="24"/>
        <v>0</v>
      </c>
      <c r="Q120" s="62">
        <f t="shared" si="25"/>
        <v>0</v>
      </c>
      <c r="R120" s="62">
        <v>80000</v>
      </c>
      <c r="S120" s="61">
        <f t="shared" si="26"/>
        <v>80000</v>
      </c>
      <c r="T120" s="61">
        <f t="shared" si="27"/>
        <v>15200</v>
      </c>
      <c r="U120" s="61">
        <f t="shared" si="28"/>
        <v>95200</v>
      </c>
      <c r="V120" s="60">
        <f t="shared" si="29"/>
        <v>95200</v>
      </c>
      <c r="W120" s="104"/>
    </row>
    <row r="121" spans="1:24" ht="25.5" hidden="1" customHeight="1">
      <c r="A121" s="1"/>
      <c r="B121" s="1"/>
      <c r="C121" s="12"/>
      <c r="D121" s="12"/>
      <c r="E121" s="12"/>
      <c r="F121" s="13"/>
      <c r="G121" s="30" t="s">
        <v>110</v>
      </c>
      <c r="H121" s="38">
        <v>72705</v>
      </c>
      <c r="I121" s="75">
        <v>44308</v>
      </c>
      <c r="J121" s="64" t="s">
        <v>155</v>
      </c>
      <c r="K121" s="86" t="str">
        <f>VLOOKUP(L121,Hoja1!B$2:C$401,2,"FALSO")</f>
        <v>PREVENTIVO</v>
      </c>
      <c r="L121" s="76" t="s">
        <v>159</v>
      </c>
      <c r="M121" s="59">
        <v>1</v>
      </c>
      <c r="N121" s="60">
        <v>0</v>
      </c>
      <c r="O121" s="61">
        <f t="shared" si="23"/>
        <v>0</v>
      </c>
      <c r="P121" s="61">
        <f t="shared" si="24"/>
        <v>0</v>
      </c>
      <c r="Q121" s="62">
        <f t="shared" si="25"/>
        <v>0</v>
      </c>
      <c r="R121" s="62">
        <v>160000</v>
      </c>
      <c r="S121" s="61">
        <f t="shared" si="26"/>
        <v>160000</v>
      </c>
      <c r="T121" s="61">
        <f t="shared" si="27"/>
        <v>30400</v>
      </c>
      <c r="U121" s="61">
        <f t="shared" si="28"/>
        <v>190400</v>
      </c>
      <c r="V121" s="60">
        <f t="shared" si="29"/>
        <v>190400</v>
      </c>
      <c r="W121" s="104"/>
    </row>
    <row r="122" spans="1:24" ht="25.5" hidden="1" customHeight="1">
      <c r="A122" s="1"/>
      <c r="B122" s="1"/>
      <c r="C122" s="12"/>
      <c r="D122" s="12"/>
      <c r="E122" s="12"/>
      <c r="F122" s="13"/>
      <c r="G122" s="30" t="s">
        <v>110</v>
      </c>
      <c r="H122" s="38">
        <v>72705</v>
      </c>
      <c r="I122" s="75">
        <v>44308</v>
      </c>
      <c r="J122" s="64" t="s">
        <v>155</v>
      </c>
      <c r="K122" s="86" t="str">
        <f>VLOOKUP(L122,Hoja1!B$2:C$401,2,"FALSO")</f>
        <v>PREVENTIVO</v>
      </c>
      <c r="L122" s="65" t="s">
        <v>153</v>
      </c>
      <c r="M122" s="59">
        <v>1</v>
      </c>
      <c r="N122" s="60">
        <v>0</v>
      </c>
      <c r="O122" s="61">
        <f t="shared" si="23"/>
        <v>0</v>
      </c>
      <c r="P122" s="61">
        <f t="shared" si="24"/>
        <v>0</v>
      </c>
      <c r="Q122" s="62">
        <f t="shared" si="25"/>
        <v>0</v>
      </c>
      <c r="R122" s="62">
        <v>20690</v>
      </c>
      <c r="S122" s="61">
        <f t="shared" si="26"/>
        <v>20690</v>
      </c>
      <c r="T122" s="61">
        <f t="shared" si="27"/>
        <v>3931.1</v>
      </c>
      <c r="U122" s="61">
        <f t="shared" si="28"/>
        <v>24621.1</v>
      </c>
      <c r="V122" s="60">
        <f t="shared" si="29"/>
        <v>24621.1</v>
      </c>
      <c r="W122" s="104"/>
    </row>
    <row r="123" spans="1:24" ht="25.5" hidden="1" customHeight="1">
      <c r="A123" s="1"/>
      <c r="B123" s="1"/>
      <c r="C123" s="12"/>
      <c r="D123" s="12"/>
      <c r="E123" s="12"/>
      <c r="F123" s="13"/>
      <c r="G123" s="30" t="s">
        <v>110</v>
      </c>
      <c r="H123" s="38">
        <v>72705</v>
      </c>
      <c r="I123" s="75">
        <v>44308</v>
      </c>
      <c r="J123" s="64" t="s">
        <v>155</v>
      </c>
      <c r="K123" s="86" t="str">
        <f>VLOOKUP(L123,Hoja1!B$2:C$401,2,"FALSO")</f>
        <v>CORRECTIVO</v>
      </c>
      <c r="L123" s="65" t="s">
        <v>160</v>
      </c>
      <c r="M123" s="59">
        <v>1</v>
      </c>
      <c r="N123" s="60">
        <v>0</v>
      </c>
      <c r="O123" s="61">
        <f t="shared" si="23"/>
        <v>0</v>
      </c>
      <c r="P123" s="61">
        <f t="shared" si="24"/>
        <v>0</v>
      </c>
      <c r="Q123" s="62">
        <f t="shared" si="25"/>
        <v>0</v>
      </c>
      <c r="R123" s="62">
        <v>100000</v>
      </c>
      <c r="S123" s="61">
        <f t="shared" si="26"/>
        <v>100000</v>
      </c>
      <c r="T123" s="61">
        <f t="shared" si="27"/>
        <v>19000</v>
      </c>
      <c r="U123" s="61">
        <f t="shared" si="28"/>
        <v>119000</v>
      </c>
      <c r="V123" s="60">
        <f t="shared" si="29"/>
        <v>119000</v>
      </c>
      <c r="W123" s="104"/>
      <c r="X123" s="73">
        <f>SUM(V117:V123)</f>
        <v>1146672.1000000001</v>
      </c>
    </row>
    <row r="124" spans="1:24" ht="25.5" hidden="1" customHeight="1">
      <c r="A124" s="1"/>
      <c r="B124" s="1"/>
      <c r="C124" s="12"/>
      <c r="D124" s="12"/>
      <c r="E124" s="12"/>
      <c r="F124" s="13"/>
      <c r="G124" s="30" t="s">
        <v>110</v>
      </c>
      <c r="H124" s="38">
        <v>73354</v>
      </c>
      <c r="I124" s="75">
        <v>44308</v>
      </c>
      <c r="J124" s="73" t="s">
        <v>161</v>
      </c>
      <c r="K124" s="86" t="str">
        <f>VLOOKUP(L124,Hoja1!B$2:C$401,2,"FALSO")</f>
        <v>PREVENTIVO</v>
      </c>
      <c r="L124" s="76" t="s">
        <v>162</v>
      </c>
      <c r="M124" s="59">
        <v>4</v>
      </c>
      <c r="N124" s="60">
        <v>196623</v>
      </c>
      <c r="O124" s="61">
        <f t="shared" si="23"/>
        <v>786492</v>
      </c>
      <c r="P124" s="61">
        <f t="shared" si="24"/>
        <v>149433.48000000001</v>
      </c>
      <c r="Q124" s="62">
        <f t="shared" si="25"/>
        <v>935925.48</v>
      </c>
      <c r="R124" s="62">
        <v>0</v>
      </c>
      <c r="S124" s="61">
        <f t="shared" si="26"/>
        <v>0</v>
      </c>
      <c r="T124" s="61">
        <f t="shared" si="27"/>
        <v>0</v>
      </c>
      <c r="U124" s="61">
        <f t="shared" si="28"/>
        <v>0</v>
      </c>
      <c r="V124" s="60">
        <f t="shared" si="29"/>
        <v>935925.48</v>
      </c>
      <c r="W124" s="104"/>
    </row>
    <row r="125" spans="1:24" ht="25.5" hidden="1" customHeight="1">
      <c r="A125" s="1"/>
      <c r="B125" s="1"/>
      <c r="C125" s="12"/>
      <c r="D125" s="12"/>
      <c r="E125" s="12"/>
      <c r="F125" s="13"/>
      <c r="G125" s="30" t="s">
        <v>110</v>
      </c>
      <c r="H125" s="38">
        <v>73354</v>
      </c>
      <c r="I125" s="75">
        <v>44308</v>
      </c>
      <c r="J125" s="73" t="s">
        <v>161</v>
      </c>
      <c r="K125" s="86" t="str">
        <f>VLOOKUP(L125,Hoja1!B$2:C$401,2,"FALSO")</f>
        <v>CORRECTIVO</v>
      </c>
      <c r="L125" s="76" t="s">
        <v>163</v>
      </c>
      <c r="M125" s="59">
        <v>4</v>
      </c>
      <c r="N125" s="60">
        <v>10188</v>
      </c>
      <c r="O125" s="61">
        <f t="shared" si="23"/>
        <v>40752</v>
      </c>
      <c r="P125" s="61">
        <f t="shared" si="24"/>
        <v>7742.88</v>
      </c>
      <c r="Q125" s="62">
        <f t="shared" si="25"/>
        <v>48494.879999999997</v>
      </c>
      <c r="R125" s="62">
        <v>0</v>
      </c>
      <c r="S125" s="61">
        <f t="shared" si="26"/>
        <v>0</v>
      </c>
      <c r="T125" s="61">
        <f t="shared" si="27"/>
        <v>0</v>
      </c>
      <c r="U125" s="61">
        <f t="shared" si="28"/>
        <v>0</v>
      </c>
      <c r="V125" s="60">
        <f t="shared" si="29"/>
        <v>48494.879999999997</v>
      </c>
      <c r="W125" s="104"/>
    </row>
    <row r="126" spans="1:24" ht="25.5" hidden="1" customHeight="1">
      <c r="A126" s="1"/>
      <c r="B126" s="1"/>
      <c r="C126" s="12"/>
      <c r="D126" s="12"/>
      <c r="E126" s="12"/>
      <c r="F126" s="13"/>
      <c r="G126" s="30" t="s">
        <v>110</v>
      </c>
      <c r="H126" s="38">
        <v>73354</v>
      </c>
      <c r="I126" s="75">
        <v>44308</v>
      </c>
      <c r="J126" s="73" t="s">
        <v>161</v>
      </c>
      <c r="K126" s="86" t="str">
        <f>VLOOKUP(L126,Hoja1!B$2:C$401,2,"FALSO")</f>
        <v>CORRECTIVO</v>
      </c>
      <c r="L126" s="76" t="s">
        <v>164</v>
      </c>
      <c r="M126" s="59">
        <v>4</v>
      </c>
      <c r="N126" s="60">
        <v>7583</v>
      </c>
      <c r="O126" s="61">
        <f t="shared" si="23"/>
        <v>30332</v>
      </c>
      <c r="P126" s="61">
        <f t="shared" si="24"/>
        <v>5763.08</v>
      </c>
      <c r="Q126" s="62">
        <f t="shared" si="25"/>
        <v>36095.08</v>
      </c>
      <c r="R126" s="62">
        <v>0</v>
      </c>
      <c r="S126" s="61">
        <f t="shared" si="26"/>
        <v>0</v>
      </c>
      <c r="T126" s="61">
        <f t="shared" si="27"/>
        <v>0</v>
      </c>
      <c r="U126" s="61">
        <f t="shared" si="28"/>
        <v>0</v>
      </c>
      <c r="V126" s="60">
        <f t="shared" si="29"/>
        <v>36095.08</v>
      </c>
      <c r="W126" s="104"/>
    </row>
    <row r="127" spans="1:24" ht="25.5" hidden="1" customHeight="1">
      <c r="A127" s="1"/>
      <c r="B127" s="1"/>
      <c r="C127" s="12"/>
      <c r="D127" s="12"/>
      <c r="E127" s="12"/>
      <c r="F127" s="13"/>
      <c r="G127" s="30" t="s">
        <v>110</v>
      </c>
      <c r="H127" s="38">
        <v>73354</v>
      </c>
      <c r="I127" s="75">
        <v>44308</v>
      </c>
      <c r="J127" s="73" t="s">
        <v>161</v>
      </c>
      <c r="K127" s="86" t="str">
        <f>VLOOKUP(L127,Hoja1!B$2:C$401,2,"FALSO")</f>
        <v>PREVENTIVO</v>
      </c>
      <c r="L127" s="76" t="s">
        <v>165</v>
      </c>
      <c r="M127" s="59">
        <v>4</v>
      </c>
      <c r="N127" s="60">
        <v>0</v>
      </c>
      <c r="O127" s="61">
        <f t="shared" si="23"/>
        <v>0</v>
      </c>
      <c r="P127" s="61">
        <f t="shared" si="24"/>
        <v>0</v>
      </c>
      <c r="Q127" s="62">
        <f t="shared" si="25"/>
        <v>0</v>
      </c>
      <c r="R127" s="62">
        <v>7855</v>
      </c>
      <c r="S127" s="61">
        <f t="shared" si="26"/>
        <v>31420</v>
      </c>
      <c r="T127" s="61">
        <f t="shared" si="27"/>
        <v>5969.8</v>
      </c>
      <c r="U127" s="61">
        <f t="shared" si="28"/>
        <v>37389.800000000003</v>
      </c>
      <c r="V127" s="60">
        <f t="shared" si="29"/>
        <v>37389.800000000003</v>
      </c>
      <c r="W127" s="104"/>
    </row>
    <row r="128" spans="1:24" ht="25.5" hidden="1" customHeight="1">
      <c r="A128" s="1"/>
      <c r="B128" s="1"/>
      <c r="C128" s="12"/>
      <c r="D128" s="12"/>
      <c r="E128" s="12"/>
      <c r="F128" s="13"/>
      <c r="G128" s="30" t="s">
        <v>110</v>
      </c>
      <c r="H128" s="38">
        <v>73354</v>
      </c>
      <c r="I128" s="75">
        <v>44308</v>
      </c>
      <c r="J128" s="73" t="s">
        <v>161</v>
      </c>
      <c r="K128" s="86" t="str">
        <f>VLOOKUP(L128,Hoja1!B$2:C$401,2,"FALSO")</f>
        <v>PREVENTIVO</v>
      </c>
      <c r="L128" s="76" t="s">
        <v>153</v>
      </c>
      <c r="M128" s="59">
        <v>1</v>
      </c>
      <c r="N128" s="60">
        <v>0</v>
      </c>
      <c r="O128" s="61">
        <f t="shared" si="23"/>
        <v>0</v>
      </c>
      <c r="P128" s="61">
        <f t="shared" si="24"/>
        <v>0</v>
      </c>
      <c r="Q128" s="62">
        <f t="shared" si="25"/>
        <v>0</v>
      </c>
      <c r="R128" s="62">
        <v>20690</v>
      </c>
      <c r="S128" s="61">
        <f t="shared" si="26"/>
        <v>20690</v>
      </c>
      <c r="T128" s="61">
        <f t="shared" si="27"/>
        <v>3931.1</v>
      </c>
      <c r="U128" s="61">
        <f t="shared" si="28"/>
        <v>24621.1</v>
      </c>
      <c r="V128" s="60">
        <f t="shared" si="29"/>
        <v>24621.1</v>
      </c>
      <c r="W128" s="104"/>
    </row>
    <row r="129" spans="1:24" ht="25.5" hidden="1" customHeight="1">
      <c r="A129" s="1"/>
      <c r="B129" s="1"/>
      <c r="C129" s="12"/>
      <c r="D129" s="12"/>
      <c r="E129" s="12"/>
      <c r="F129" s="13"/>
      <c r="G129" s="30" t="s">
        <v>110</v>
      </c>
      <c r="H129" s="38">
        <v>73354</v>
      </c>
      <c r="I129" s="75">
        <v>44308</v>
      </c>
      <c r="J129" s="73" t="s">
        <v>161</v>
      </c>
      <c r="K129" s="86" t="str">
        <f>VLOOKUP(L129,Hoja1!B$2:C$401,2,"FALSO")</f>
        <v>PREVENTIVO</v>
      </c>
      <c r="L129" s="76" t="s">
        <v>139</v>
      </c>
      <c r="M129" s="59">
        <v>4</v>
      </c>
      <c r="N129" s="60">
        <v>0</v>
      </c>
      <c r="O129" s="61">
        <f t="shared" si="23"/>
        <v>0</v>
      </c>
      <c r="P129" s="61">
        <f t="shared" si="24"/>
        <v>0</v>
      </c>
      <c r="Q129" s="62">
        <f t="shared" si="25"/>
        <v>0</v>
      </c>
      <c r="R129" s="62">
        <v>7259</v>
      </c>
      <c r="S129" s="61">
        <f t="shared" si="26"/>
        <v>29036</v>
      </c>
      <c r="T129" s="61">
        <f t="shared" si="27"/>
        <v>5516.84</v>
      </c>
      <c r="U129" s="61">
        <f t="shared" si="28"/>
        <v>34552.839999999997</v>
      </c>
      <c r="V129" s="60">
        <f t="shared" si="29"/>
        <v>34552.839999999997</v>
      </c>
      <c r="W129" s="104"/>
    </row>
    <row r="130" spans="1:24" ht="25.5" hidden="1" customHeight="1">
      <c r="A130" s="1"/>
      <c r="B130" s="1"/>
      <c r="C130" s="12"/>
      <c r="D130" s="12"/>
      <c r="E130" s="12"/>
      <c r="F130" s="13"/>
      <c r="G130" s="30" t="s">
        <v>110</v>
      </c>
      <c r="H130" s="38">
        <v>73354</v>
      </c>
      <c r="I130" s="75">
        <v>44308</v>
      </c>
      <c r="J130" s="73" t="s">
        <v>161</v>
      </c>
      <c r="K130" s="86" t="str">
        <f>VLOOKUP(L130,Hoja1!B$2:C$401,2,"FALSO")</f>
        <v>CORRECTIVO</v>
      </c>
      <c r="L130" s="76" t="s">
        <v>166</v>
      </c>
      <c r="M130" s="59">
        <v>4</v>
      </c>
      <c r="N130" s="60">
        <v>0</v>
      </c>
      <c r="O130" s="61">
        <f t="shared" si="23"/>
        <v>0</v>
      </c>
      <c r="P130" s="61">
        <f t="shared" si="24"/>
        <v>0</v>
      </c>
      <c r="Q130" s="62">
        <f t="shared" si="25"/>
        <v>0</v>
      </c>
      <c r="R130" s="62">
        <v>17192</v>
      </c>
      <c r="S130" s="61">
        <f t="shared" si="26"/>
        <v>68768</v>
      </c>
      <c r="T130" s="61">
        <f t="shared" si="27"/>
        <v>13065.92</v>
      </c>
      <c r="U130" s="61">
        <f t="shared" si="28"/>
        <v>81833.919999999998</v>
      </c>
      <c r="V130" s="60">
        <f t="shared" si="29"/>
        <v>81833.919999999998</v>
      </c>
      <c r="W130" s="104"/>
    </row>
    <row r="131" spans="1:24" ht="25.5" hidden="1" customHeight="1">
      <c r="A131" s="1"/>
      <c r="B131" s="1"/>
      <c r="C131" s="12"/>
      <c r="D131" s="12"/>
      <c r="E131" s="12"/>
      <c r="F131" s="13"/>
      <c r="G131" s="30" t="s">
        <v>110</v>
      </c>
      <c r="H131" s="38">
        <v>73354</v>
      </c>
      <c r="I131" s="75">
        <v>44308</v>
      </c>
      <c r="J131" s="73" t="s">
        <v>161</v>
      </c>
      <c r="K131" s="86" t="str">
        <f>VLOOKUP(L131,Hoja1!B$2:C$401,2,"FALSO")</f>
        <v>CORRECTIVO</v>
      </c>
      <c r="L131" s="76" t="s">
        <v>167</v>
      </c>
      <c r="M131" s="59">
        <v>4</v>
      </c>
      <c r="N131" s="60">
        <v>0</v>
      </c>
      <c r="O131" s="61">
        <f t="shared" si="23"/>
        <v>0</v>
      </c>
      <c r="P131" s="61">
        <f t="shared" si="24"/>
        <v>0</v>
      </c>
      <c r="Q131" s="62">
        <f t="shared" si="25"/>
        <v>0</v>
      </c>
      <c r="R131" s="62">
        <v>15603</v>
      </c>
      <c r="S131" s="61">
        <f t="shared" si="26"/>
        <v>62412</v>
      </c>
      <c r="T131" s="61">
        <f t="shared" si="27"/>
        <v>11858.28</v>
      </c>
      <c r="U131" s="61">
        <f t="shared" si="28"/>
        <v>74270.28</v>
      </c>
      <c r="V131" s="60">
        <f t="shared" si="29"/>
        <v>74270.28</v>
      </c>
      <c r="W131" s="104"/>
      <c r="X131" s="73">
        <f>SUM(V124:V131)</f>
        <v>1273183.3800000001</v>
      </c>
    </row>
    <row r="132" spans="1:24" ht="25.5" hidden="1" customHeight="1">
      <c r="A132" s="1"/>
      <c r="B132" s="1"/>
      <c r="C132" s="12"/>
      <c r="D132" s="12"/>
      <c r="E132" s="12"/>
      <c r="F132" s="13"/>
      <c r="G132" s="109" t="s">
        <v>110</v>
      </c>
      <c r="H132" s="110">
        <v>83772</v>
      </c>
      <c r="I132" s="111">
        <v>44446</v>
      </c>
      <c r="J132" s="112" t="s">
        <v>168</v>
      </c>
      <c r="K132" s="113" t="str">
        <f>VLOOKUP(L132,Hoja1!B$2:C$401,2,"FALSO")</f>
        <v>CORRECTIVO</v>
      </c>
      <c r="L132" s="114" t="s">
        <v>169</v>
      </c>
      <c r="M132" s="115">
        <v>1</v>
      </c>
      <c r="N132" s="116">
        <v>190000</v>
      </c>
      <c r="O132" s="117">
        <f t="shared" si="23"/>
        <v>190000</v>
      </c>
      <c r="P132" s="117">
        <f t="shared" si="24"/>
        <v>36100</v>
      </c>
      <c r="Q132" s="118">
        <f t="shared" si="25"/>
        <v>226100</v>
      </c>
      <c r="R132" s="118">
        <v>0</v>
      </c>
      <c r="S132" s="117">
        <f t="shared" si="26"/>
        <v>0</v>
      </c>
      <c r="T132" s="117">
        <f t="shared" si="27"/>
        <v>0</v>
      </c>
      <c r="U132" s="117">
        <f t="shared" si="28"/>
        <v>0</v>
      </c>
      <c r="V132" s="116">
        <f t="shared" si="29"/>
        <v>226100</v>
      </c>
      <c r="W132" s="104"/>
    </row>
    <row r="133" spans="1:24" ht="25.5" customHeight="1">
      <c r="A133" s="1"/>
      <c r="B133" s="1"/>
      <c r="C133" s="180"/>
      <c r="D133" s="180"/>
      <c r="E133" s="180"/>
      <c r="F133" s="206"/>
      <c r="G133" s="203" t="s">
        <v>170</v>
      </c>
      <c r="H133" s="203">
        <v>132467</v>
      </c>
      <c r="I133" s="202">
        <v>45342</v>
      </c>
      <c r="J133" s="203" t="s">
        <v>171</v>
      </c>
      <c r="K133" s="121" t="s">
        <v>64</v>
      </c>
      <c r="L133" s="121" t="s">
        <v>76</v>
      </c>
      <c r="M133" s="122">
        <v>5</v>
      </c>
      <c r="N133" s="123">
        <v>26996.639999999999</v>
      </c>
      <c r="O133" s="124">
        <f>+N133*M133</f>
        <v>134983.20000000001</v>
      </c>
      <c r="P133" s="124">
        <v>0</v>
      </c>
      <c r="Q133" s="124">
        <f>+P133+O133</f>
        <v>134983.20000000001</v>
      </c>
      <c r="R133" s="124">
        <v>0</v>
      </c>
      <c r="S133" s="124">
        <f>+R133*M133</f>
        <v>0</v>
      </c>
      <c r="T133" s="124">
        <f>+S133*0.19</f>
        <v>0</v>
      </c>
      <c r="U133" s="124">
        <f>+T133+S133</f>
        <v>0</v>
      </c>
      <c r="V133" s="123">
        <f>+U133+Q133</f>
        <v>134983.20000000001</v>
      </c>
      <c r="W133" s="208">
        <f>SUM(V133:V136)</f>
        <v>369221.19349999999</v>
      </c>
      <c r="X133" s="209" t="s">
        <v>172</v>
      </c>
    </row>
    <row r="134" spans="1:24" ht="25.5" customHeight="1">
      <c r="A134" s="1"/>
      <c r="B134" s="1"/>
      <c r="C134" s="168"/>
      <c r="D134" s="168"/>
      <c r="E134" s="168"/>
      <c r="F134" s="207"/>
      <c r="G134" s="203"/>
      <c r="H134" s="203"/>
      <c r="I134" s="202"/>
      <c r="J134" s="203"/>
      <c r="K134" s="121" t="s">
        <v>64</v>
      </c>
      <c r="L134" s="121" t="s">
        <v>147</v>
      </c>
      <c r="M134" s="122">
        <v>1</v>
      </c>
      <c r="N134" s="123">
        <v>33974.79</v>
      </c>
      <c r="O134" s="124">
        <f>+N134*M134</f>
        <v>33974.79</v>
      </c>
      <c r="P134" s="124">
        <f>+O134*0.19</f>
        <v>6455.2101000000002</v>
      </c>
      <c r="Q134" s="124">
        <f>+P134+O134</f>
        <v>40430.000100000005</v>
      </c>
      <c r="R134" s="124">
        <v>22578.15</v>
      </c>
      <c r="S134" s="124">
        <f>+R134*M134</f>
        <v>22578.15</v>
      </c>
      <c r="T134" s="124">
        <f>+S134*0.19</f>
        <v>4289.8485000000001</v>
      </c>
      <c r="U134" s="124">
        <f>+T134+S134</f>
        <v>26867.998500000002</v>
      </c>
      <c r="V134" s="123">
        <f>+U134+Q134</f>
        <v>67297.998600000006</v>
      </c>
      <c r="W134" s="208"/>
      <c r="X134" s="209"/>
    </row>
    <row r="135" spans="1:24" ht="25.5" customHeight="1">
      <c r="A135" s="1"/>
      <c r="B135" s="1"/>
      <c r="C135" s="168"/>
      <c r="D135" s="168"/>
      <c r="E135" s="168"/>
      <c r="F135" s="207"/>
      <c r="G135" s="203"/>
      <c r="H135" s="203"/>
      <c r="I135" s="202"/>
      <c r="J135" s="203"/>
      <c r="K135" s="121" t="s">
        <v>64</v>
      </c>
      <c r="L135" s="121" t="s">
        <v>148</v>
      </c>
      <c r="M135" s="122">
        <v>1</v>
      </c>
      <c r="N135" s="123">
        <v>38683.19</v>
      </c>
      <c r="O135" s="124">
        <f>+N135*M135</f>
        <v>38683.19</v>
      </c>
      <c r="P135" s="124">
        <f>+O135*0.19</f>
        <v>7349.8061000000007</v>
      </c>
      <c r="Q135" s="124">
        <f>+P135+O135</f>
        <v>46032.996100000004</v>
      </c>
      <c r="R135" s="124">
        <v>22578.15</v>
      </c>
      <c r="S135" s="124">
        <f>+R135*M135</f>
        <v>22578.15</v>
      </c>
      <c r="T135" s="124">
        <f>+S135*0.19</f>
        <v>4289.8485000000001</v>
      </c>
      <c r="U135" s="124">
        <f>+T135+S135</f>
        <v>26867.998500000002</v>
      </c>
      <c r="V135" s="123">
        <f>+U135+Q135</f>
        <v>72900.994600000005</v>
      </c>
      <c r="W135" s="208"/>
      <c r="X135" s="209"/>
    </row>
    <row r="136" spans="1:24" ht="25.5" customHeight="1">
      <c r="A136" s="1"/>
      <c r="B136" s="1"/>
      <c r="C136" s="168"/>
      <c r="D136" s="168"/>
      <c r="E136" s="168"/>
      <c r="F136" s="207"/>
      <c r="G136" s="204"/>
      <c r="H136" s="204"/>
      <c r="I136" s="205"/>
      <c r="J136" s="204"/>
      <c r="K136" s="121" t="s">
        <v>64</v>
      </c>
      <c r="L136" s="121" t="s">
        <v>76</v>
      </c>
      <c r="M136" s="122">
        <v>1</v>
      </c>
      <c r="N136" s="123">
        <v>0</v>
      </c>
      <c r="O136" s="124">
        <f>+N136*M136</f>
        <v>0</v>
      </c>
      <c r="P136" s="124">
        <f>+O136*0.19</f>
        <v>0</v>
      </c>
      <c r="Q136" s="124">
        <f>+P136+O136</f>
        <v>0</v>
      </c>
      <c r="R136" s="124">
        <v>79024.37</v>
      </c>
      <c r="S136" s="124">
        <f>+R136*M136</f>
        <v>79024.37</v>
      </c>
      <c r="T136" s="124">
        <f>+S136*0.19</f>
        <v>15014.630299999999</v>
      </c>
      <c r="U136" s="124">
        <f>+T136+S136</f>
        <v>94039.0003</v>
      </c>
      <c r="V136" s="123">
        <f>+U136+Q136</f>
        <v>94039.0003</v>
      </c>
      <c r="W136" s="208"/>
      <c r="X136" s="209"/>
    </row>
    <row r="137" spans="1:24" ht="25.5" customHeight="1">
      <c r="A137" s="1"/>
      <c r="B137" s="1"/>
      <c r="C137" s="182"/>
      <c r="D137" s="182"/>
      <c r="E137" s="182"/>
      <c r="F137" s="181"/>
      <c r="G137" s="203" t="s">
        <v>170</v>
      </c>
      <c r="H137" s="203">
        <v>134249</v>
      </c>
      <c r="I137" s="202">
        <v>45352</v>
      </c>
      <c r="J137" s="203" t="s">
        <v>173</v>
      </c>
      <c r="K137" s="125" t="s">
        <v>78</v>
      </c>
      <c r="L137" s="121" t="s">
        <v>174</v>
      </c>
      <c r="M137" s="122">
        <v>4</v>
      </c>
      <c r="N137" s="123">
        <v>161890.76</v>
      </c>
      <c r="O137" s="124">
        <f>+N137*M137</f>
        <v>647563.04</v>
      </c>
      <c r="P137" s="124">
        <f>+O137*0.19</f>
        <v>123036.97760000001</v>
      </c>
      <c r="Q137" s="124">
        <f>+P137+O137</f>
        <v>770600.01760000002</v>
      </c>
      <c r="R137" s="124">
        <v>73379.83</v>
      </c>
      <c r="S137" s="124">
        <f>+R137*M137</f>
        <v>293519.32</v>
      </c>
      <c r="T137" s="124">
        <f>+S137*0.19</f>
        <v>55768.6708</v>
      </c>
      <c r="U137" s="124">
        <f>+T137+S137</f>
        <v>349287.99080000003</v>
      </c>
      <c r="V137" s="123">
        <f>+U137+Q137</f>
        <v>1119888.0084000002</v>
      </c>
      <c r="W137" s="208">
        <f>SUM(V137:V150)</f>
        <v>5029458.0189000005</v>
      </c>
      <c r="X137" s="209" t="s">
        <v>172</v>
      </c>
    </row>
    <row r="138" spans="1:24" ht="50.25" customHeight="1">
      <c r="A138" s="1"/>
      <c r="B138" s="1"/>
      <c r="C138" s="182"/>
      <c r="D138" s="182"/>
      <c r="E138" s="182"/>
      <c r="F138" s="181"/>
      <c r="G138" s="203"/>
      <c r="H138" s="203"/>
      <c r="I138" s="202"/>
      <c r="J138" s="203"/>
      <c r="K138" s="125" t="s">
        <v>78</v>
      </c>
      <c r="L138" s="121" t="s">
        <v>175</v>
      </c>
      <c r="M138" s="122">
        <v>1</v>
      </c>
      <c r="N138" s="123">
        <v>42966.39</v>
      </c>
      <c r="O138" s="124">
        <f>+N138*M138</f>
        <v>42966.39</v>
      </c>
      <c r="P138" s="124">
        <f>+O138*0.19</f>
        <v>8163.6140999999998</v>
      </c>
      <c r="Q138" s="124">
        <f>+P138+O138</f>
        <v>51130.004099999998</v>
      </c>
      <c r="R138" s="124">
        <v>158048.74</v>
      </c>
      <c r="S138" s="124">
        <f>+R138*M138</f>
        <v>158048.74</v>
      </c>
      <c r="T138" s="124">
        <f>+S138*0.19</f>
        <v>30029.260599999998</v>
      </c>
      <c r="U138" s="124">
        <f>+T138+S138</f>
        <v>188078.0006</v>
      </c>
      <c r="V138" s="123">
        <f>+U138+Q138</f>
        <v>239208.00469999999</v>
      </c>
      <c r="W138" s="208"/>
      <c r="X138" s="209"/>
    </row>
    <row r="139" spans="1:24" ht="25.5" customHeight="1">
      <c r="A139" s="1"/>
      <c r="B139" s="1"/>
      <c r="C139" s="182"/>
      <c r="D139" s="182"/>
      <c r="E139" s="182"/>
      <c r="F139" s="181"/>
      <c r="G139" s="203"/>
      <c r="H139" s="203"/>
      <c r="I139" s="202"/>
      <c r="J139" s="203"/>
      <c r="K139" s="125" t="s">
        <v>78</v>
      </c>
      <c r="L139" s="121" t="s">
        <v>176</v>
      </c>
      <c r="M139" s="122">
        <v>2</v>
      </c>
      <c r="N139" s="123">
        <v>133929.41</v>
      </c>
      <c r="O139" s="124">
        <f>+N139*M139</f>
        <v>267858.82</v>
      </c>
      <c r="P139" s="124">
        <f>+O139*0.19</f>
        <v>50893.175800000005</v>
      </c>
      <c r="Q139" s="124">
        <f>+P139+O139</f>
        <v>318751.99580000003</v>
      </c>
      <c r="R139" s="124">
        <v>71121.850000000006</v>
      </c>
      <c r="S139" s="124">
        <f>+R139*M139</f>
        <v>142243.70000000001</v>
      </c>
      <c r="T139" s="124">
        <f>+S139*0.19</f>
        <v>27026.303000000004</v>
      </c>
      <c r="U139" s="124">
        <f>+T139+S139</f>
        <v>169270.00300000003</v>
      </c>
      <c r="V139" s="123">
        <f>+U139+Q139</f>
        <v>488021.99880000006</v>
      </c>
      <c r="W139" s="208"/>
      <c r="X139" s="209"/>
    </row>
    <row r="140" spans="1:24" ht="25.5" customHeight="1">
      <c r="A140" s="1"/>
      <c r="B140" s="1"/>
      <c r="C140" s="182"/>
      <c r="D140" s="182"/>
      <c r="E140" s="182"/>
      <c r="F140" s="181"/>
      <c r="G140" s="203"/>
      <c r="H140" s="203"/>
      <c r="I140" s="202"/>
      <c r="J140" s="203"/>
      <c r="K140" s="125" t="s">
        <v>78</v>
      </c>
      <c r="L140" s="121" t="s">
        <v>177</v>
      </c>
      <c r="M140" s="122">
        <v>2</v>
      </c>
      <c r="N140" s="123">
        <v>55823.53</v>
      </c>
      <c r="O140" s="124">
        <f>+N140*M140</f>
        <v>111647.06</v>
      </c>
      <c r="P140" s="124">
        <f>+O140*0.19</f>
        <v>21212.9414</v>
      </c>
      <c r="Q140" s="124">
        <f>+P140+O140</f>
        <v>132860.00140000001</v>
      </c>
      <c r="R140" s="124">
        <v>5644.54</v>
      </c>
      <c r="S140" s="124">
        <f>+R140*M140</f>
        <v>11289.08</v>
      </c>
      <c r="T140" s="124">
        <f>+S140*0.19</f>
        <v>2144.9252000000001</v>
      </c>
      <c r="U140" s="124">
        <f>+T140+S140</f>
        <v>13434.0052</v>
      </c>
      <c r="V140" s="123">
        <f>+U140+Q140</f>
        <v>146294.00660000002</v>
      </c>
      <c r="W140" s="208"/>
      <c r="X140" s="209"/>
    </row>
    <row r="141" spans="1:24" ht="25.5" customHeight="1">
      <c r="A141" s="1"/>
      <c r="B141" s="1"/>
      <c r="C141" s="182"/>
      <c r="D141" s="182"/>
      <c r="E141" s="182"/>
      <c r="F141" s="181"/>
      <c r="G141" s="203"/>
      <c r="H141" s="203"/>
      <c r="I141" s="202"/>
      <c r="J141" s="203"/>
      <c r="K141" s="125" t="s">
        <v>78</v>
      </c>
      <c r="L141" s="121" t="s">
        <v>178</v>
      </c>
      <c r="M141" s="122">
        <v>2</v>
      </c>
      <c r="N141" s="123">
        <v>84193.279999999999</v>
      </c>
      <c r="O141" s="124">
        <f>+N141*M141</f>
        <v>168386.56</v>
      </c>
      <c r="P141" s="124">
        <f>+O141*0.19</f>
        <v>31993.446400000001</v>
      </c>
      <c r="Q141" s="124">
        <f>+P141+O141</f>
        <v>200380.00640000001</v>
      </c>
      <c r="R141" s="124">
        <v>101602.52</v>
      </c>
      <c r="S141" s="124">
        <f>+R141*M141</f>
        <v>203205.04</v>
      </c>
      <c r="T141" s="124">
        <f>+S141*0.19</f>
        <v>38608.957600000002</v>
      </c>
      <c r="U141" s="124">
        <f>+T141+S141</f>
        <v>241813.9976</v>
      </c>
      <c r="V141" s="123">
        <f>+U141+Q141</f>
        <v>442194.00400000002</v>
      </c>
      <c r="W141" s="208"/>
      <c r="X141" s="209"/>
    </row>
    <row r="142" spans="1:24" ht="25.5" customHeight="1">
      <c r="A142" s="1"/>
      <c r="B142" s="1"/>
      <c r="C142" s="182"/>
      <c r="D142" s="182"/>
      <c r="E142" s="182"/>
      <c r="F142" s="181"/>
      <c r="G142" s="203"/>
      <c r="H142" s="203"/>
      <c r="I142" s="202"/>
      <c r="J142" s="203"/>
      <c r="K142" s="125" t="s">
        <v>78</v>
      </c>
      <c r="L142" s="121" t="s">
        <v>179</v>
      </c>
      <c r="M142" s="122">
        <v>2</v>
      </c>
      <c r="N142" s="123">
        <v>101403.36</v>
      </c>
      <c r="O142" s="124">
        <f>+N142*M142</f>
        <v>202806.72</v>
      </c>
      <c r="P142" s="124">
        <f>+O142*0.19</f>
        <v>38533.2768</v>
      </c>
      <c r="Q142" s="124">
        <f>+P142+O142</f>
        <v>241339.99679999999</v>
      </c>
      <c r="R142" s="124">
        <v>0</v>
      </c>
      <c r="S142" s="124">
        <f>+R142*M142</f>
        <v>0</v>
      </c>
      <c r="T142" s="124">
        <f>+S142*0.19</f>
        <v>0</v>
      </c>
      <c r="U142" s="124">
        <f>+T142+S142</f>
        <v>0</v>
      </c>
      <c r="V142" s="123">
        <f>+U142+Q142</f>
        <v>241339.99679999999</v>
      </c>
      <c r="W142" s="208"/>
      <c r="X142" s="209"/>
    </row>
    <row r="143" spans="1:24" ht="25.5" customHeight="1">
      <c r="A143" s="1"/>
      <c r="B143" s="1"/>
      <c r="C143" s="182"/>
      <c r="D143" s="182"/>
      <c r="E143" s="182"/>
      <c r="F143" s="181"/>
      <c r="G143" s="203"/>
      <c r="H143" s="203"/>
      <c r="I143" s="202"/>
      <c r="J143" s="203"/>
      <c r="K143" s="125" t="s">
        <v>78</v>
      </c>
      <c r="L143" s="121" t="s">
        <v>180</v>
      </c>
      <c r="M143" s="122">
        <v>2</v>
      </c>
      <c r="N143" s="123">
        <v>467518.49</v>
      </c>
      <c r="O143" s="124">
        <f>+N143*M143</f>
        <v>935036.98</v>
      </c>
      <c r="P143" s="124">
        <f>+O143*0.19</f>
        <v>177657.02619999999</v>
      </c>
      <c r="Q143" s="124">
        <f>+P143+O143</f>
        <v>1112694.0061999999</v>
      </c>
      <c r="R143" s="124">
        <v>71121.850000000006</v>
      </c>
      <c r="S143" s="124">
        <f>+R143*M143</f>
        <v>142243.70000000001</v>
      </c>
      <c r="T143" s="124">
        <f>+S143*0.19</f>
        <v>27026.303000000004</v>
      </c>
      <c r="U143" s="124">
        <f>+T143+S143</f>
        <v>169270.00300000003</v>
      </c>
      <c r="V143" s="123">
        <f>+U143+Q143</f>
        <v>1281964.0092</v>
      </c>
      <c r="W143" s="208"/>
      <c r="X143" s="209"/>
    </row>
    <row r="144" spans="1:24" ht="25.5" customHeight="1">
      <c r="A144" s="1"/>
      <c r="B144" s="1"/>
      <c r="C144" s="182"/>
      <c r="D144" s="182"/>
      <c r="E144" s="182"/>
      <c r="F144" s="181"/>
      <c r="G144" s="203"/>
      <c r="H144" s="203"/>
      <c r="I144" s="202"/>
      <c r="J144" s="203"/>
      <c r="K144" s="125" t="s">
        <v>78</v>
      </c>
      <c r="L144" s="121" t="s">
        <v>181</v>
      </c>
      <c r="M144" s="122">
        <v>2</v>
      </c>
      <c r="N144" s="123">
        <v>51681.51</v>
      </c>
      <c r="O144" s="124">
        <f t="shared" ref="O144" si="30">+N144*M144</f>
        <v>103363.02</v>
      </c>
      <c r="P144" s="124">
        <f t="shared" ref="P144" si="31">+O144*0.19</f>
        <v>19638.9738</v>
      </c>
      <c r="Q144" s="124">
        <f t="shared" ref="Q144" si="32">+P144+O144</f>
        <v>123001.9938</v>
      </c>
      <c r="R144" s="124">
        <v>0</v>
      </c>
      <c r="S144" s="124">
        <v>0</v>
      </c>
      <c r="T144" s="124">
        <f t="shared" ref="T144" si="33">+S144*0.19</f>
        <v>0</v>
      </c>
      <c r="U144" s="124">
        <f t="shared" ref="U144" si="34">+T144+S144</f>
        <v>0</v>
      </c>
      <c r="V144" s="123">
        <f t="shared" ref="V144" si="35">+U144+Q144</f>
        <v>123001.9938</v>
      </c>
      <c r="W144" s="208"/>
      <c r="X144" s="209"/>
    </row>
    <row r="145" spans="1:24" ht="25.5" customHeight="1">
      <c r="A145" s="1"/>
      <c r="B145" s="1"/>
      <c r="C145" s="182"/>
      <c r="D145" s="182"/>
      <c r="E145" s="182"/>
      <c r="F145" s="181"/>
      <c r="G145" s="203"/>
      <c r="H145" s="203"/>
      <c r="I145" s="202"/>
      <c r="J145" s="203"/>
      <c r="K145" s="125" t="s">
        <v>78</v>
      </c>
      <c r="L145" s="121" t="s">
        <v>182</v>
      </c>
      <c r="M145" s="122">
        <v>1</v>
      </c>
      <c r="N145" s="123">
        <v>0</v>
      </c>
      <c r="O145" s="124">
        <f>+N145*M145</f>
        <v>0</v>
      </c>
      <c r="P145" s="124">
        <f>+O145*0.19</f>
        <v>0</v>
      </c>
      <c r="Q145" s="124">
        <f>+P145+O145</f>
        <v>0</v>
      </c>
      <c r="R145" s="124">
        <v>158048.74</v>
      </c>
      <c r="S145" s="124">
        <f>+R145*M145</f>
        <v>158048.74</v>
      </c>
      <c r="T145" s="124">
        <f>+S145*0.19</f>
        <v>30029.260599999998</v>
      </c>
      <c r="U145" s="124">
        <f>+T145+S145</f>
        <v>188078.0006</v>
      </c>
      <c r="V145" s="123">
        <f>+U145+Q145</f>
        <v>188078.0006</v>
      </c>
      <c r="W145" s="208"/>
      <c r="X145" s="209"/>
    </row>
    <row r="146" spans="1:24" ht="25.5" customHeight="1">
      <c r="A146" s="1"/>
      <c r="B146" s="1"/>
      <c r="C146" s="182"/>
      <c r="D146" s="182"/>
      <c r="E146" s="182"/>
      <c r="F146" s="181"/>
      <c r="G146" s="203"/>
      <c r="H146" s="203"/>
      <c r="I146" s="202"/>
      <c r="J146" s="203"/>
      <c r="K146" s="125" t="s">
        <v>78</v>
      </c>
      <c r="L146" s="121" t="s">
        <v>183</v>
      </c>
      <c r="M146" s="122">
        <v>1</v>
      </c>
      <c r="N146" s="123">
        <v>0</v>
      </c>
      <c r="O146" s="124">
        <f>+N146*M146</f>
        <v>0</v>
      </c>
      <c r="P146" s="124">
        <f>+O146*0.19</f>
        <v>0</v>
      </c>
      <c r="Q146" s="124">
        <f>+P146+O146</f>
        <v>0</v>
      </c>
      <c r="R146" s="124">
        <v>166386.54999999999</v>
      </c>
      <c r="S146" s="124">
        <f>+R146*M146</f>
        <v>166386.54999999999</v>
      </c>
      <c r="T146" s="124">
        <f>+S146*0.19</f>
        <v>31613.444499999998</v>
      </c>
      <c r="U146" s="124">
        <f>+T146+S146</f>
        <v>197999.99449999997</v>
      </c>
      <c r="V146" s="123">
        <f>+U146+Q146</f>
        <v>197999.99449999997</v>
      </c>
      <c r="W146" s="208"/>
      <c r="X146" s="209"/>
    </row>
    <row r="147" spans="1:24" ht="25.5" customHeight="1">
      <c r="A147" s="1"/>
      <c r="B147" s="1"/>
      <c r="C147" s="182"/>
      <c r="D147" s="182"/>
      <c r="E147" s="182"/>
      <c r="F147" s="181"/>
      <c r="G147" s="203"/>
      <c r="H147" s="203"/>
      <c r="I147" s="202"/>
      <c r="J147" s="203"/>
      <c r="K147" s="125" t="s">
        <v>78</v>
      </c>
      <c r="L147" s="121" t="s">
        <v>184</v>
      </c>
      <c r="M147" s="122">
        <v>2</v>
      </c>
      <c r="N147" s="123">
        <v>0</v>
      </c>
      <c r="O147" s="124">
        <f>+N147*M147</f>
        <v>0</v>
      </c>
      <c r="P147" s="124">
        <f>+O147*0.19</f>
        <v>0</v>
      </c>
      <c r="Q147" s="124">
        <f>+P147+O147</f>
        <v>0</v>
      </c>
      <c r="R147" s="124">
        <v>11289.08</v>
      </c>
      <c r="S147" s="124">
        <f>+R147*M147</f>
        <v>22578.16</v>
      </c>
      <c r="T147" s="124">
        <f>+S147*0.19</f>
        <v>4289.8504000000003</v>
      </c>
      <c r="U147" s="124">
        <f>+T147+S147</f>
        <v>26868.010399999999</v>
      </c>
      <c r="V147" s="123">
        <f>+U147+Q147</f>
        <v>26868.010399999999</v>
      </c>
      <c r="W147" s="208"/>
      <c r="X147" s="209"/>
    </row>
    <row r="148" spans="1:24" ht="25.5" customHeight="1">
      <c r="A148" s="1"/>
      <c r="B148" s="1"/>
      <c r="C148" s="182"/>
      <c r="D148" s="182"/>
      <c r="E148" s="182"/>
      <c r="F148" s="181"/>
      <c r="G148" s="203"/>
      <c r="H148" s="203"/>
      <c r="I148" s="202"/>
      <c r="J148" s="203"/>
      <c r="K148" s="125" t="s">
        <v>78</v>
      </c>
      <c r="L148" s="121" t="s">
        <v>185</v>
      </c>
      <c r="M148" s="122">
        <v>1</v>
      </c>
      <c r="N148" s="123">
        <v>0</v>
      </c>
      <c r="O148" s="124">
        <f>+N148*M148</f>
        <v>0</v>
      </c>
      <c r="P148" s="124">
        <f>+O148*0.19</f>
        <v>0</v>
      </c>
      <c r="Q148" s="124">
        <f>+P148+O148</f>
        <v>0</v>
      </c>
      <c r="R148" s="124">
        <v>149747.9</v>
      </c>
      <c r="S148" s="124">
        <f>+R148*M148</f>
        <v>149747.9</v>
      </c>
      <c r="T148" s="124">
        <f>+S148*0.19</f>
        <v>28452.100999999999</v>
      </c>
      <c r="U148" s="124">
        <f>+T148+S148</f>
        <v>178200.00099999999</v>
      </c>
      <c r="V148" s="123">
        <f>+U148+Q148</f>
        <v>178200.00099999999</v>
      </c>
      <c r="W148" s="208"/>
      <c r="X148" s="209"/>
    </row>
    <row r="149" spans="1:24" ht="25.5" customHeight="1">
      <c r="A149" s="1"/>
      <c r="B149" s="1"/>
      <c r="C149" s="182"/>
      <c r="D149" s="182"/>
      <c r="E149" s="182"/>
      <c r="F149" s="181"/>
      <c r="G149" s="203"/>
      <c r="H149" s="203"/>
      <c r="I149" s="202"/>
      <c r="J149" s="203"/>
      <c r="K149" s="125" t="s">
        <v>64</v>
      </c>
      <c r="L149" s="121" t="s">
        <v>186</v>
      </c>
      <c r="M149" s="122">
        <v>1</v>
      </c>
      <c r="N149" s="123">
        <v>0</v>
      </c>
      <c r="O149" s="124">
        <f>+N149*M149</f>
        <v>0</v>
      </c>
      <c r="P149" s="124">
        <f>+O149*0.19</f>
        <v>0</v>
      </c>
      <c r="Q149" s="124">
        <f>+P149+O149</f>
        <v>0</v>
      </c>
      <c r="R149" s="124">
        <v>99831.93</v>
      </c>
      <c r="S149" s="124">
        <f>+R149*M149</f>
        <v>99831.93</v>
      </c>
      <c r="T149" s="124">
        <f>+S149*0.19</f>
        <v>18968.066699999999</v>
      </c>
      <c r="U149" s="124">
        <f>+T149+S149</f>
        <v>118799.99669999999</v>
      </c>
      <c r="V149" s="123">
        <f>+U149+Q149</f>
        <v>118799.99669999999</v>
      </c>
      <c r="W149" s="208"/>
      <c r="X149" s="209"/>
    </row>
    <row r="150" spans="1:24" ht="25.5" customHeight="1">
      <c r="A150" s="1"/>
      <c r="B150" s="1"/>
      <c r="C150" s="182"/>
      <c r="D150" s="182"/>
      <c r="E150" s="182"/>
      <c r="F150" s="181"/>
      <c r="G150" s="203"/>
      <c r="H150" s="203"/>
      <c r="I150" s="202"/>
      <c r="J150" s="203"/>
      <c r="K150" s="125" t="s">
        <v>64</v>
      </c>
      <c r="L150" s="121" t="s">
        <v>187</v>
      </c>
      <c r="M150" s="122">
        <v>2</v>
      </c>
      <c r="N150" s="123">
        <v>0</v>
      </c>
      <c r="O150" s="124">
        <f>+N150*M150</f>
        <v>0</v>
      </c>
      <c r="P150" s="124">
        <f>+O150*0.19</f>
        <v>0</v>
      </c>
      <c r="Q150" s="124">
        <f>+P150+O150</f>
        <v>0</v>
      </c>
      <c r="R150" s="124">
        <v>99831.93</v>
      </c>
      <c r="S150" s="124">
        <f>+R150*M150</f>
        <v>199663.86</v>
      </c>
      <c r="T150" s="124">
        <f>+S150*0.19</f>
        <v>37936.133399999999</v>
      </c>
      <c r="U150" s="124">
        <f>+T150+S150</f>
        <v>237599.99339999998</v>
      </c>
      <c r="V150" s="123">
        <f>+U150+Q150</f>
        <v>237599.99339999998</v>
      </c>
      <c r="W150" s="210"/>
      <c r="X150" s="211"/>
    </row>
    <row r="151" spans="1:24" ht="25.5" customHeight="1">
      <c r="A151" s="1"/>
      <c r="B151" s="1"/>
      <c r="C151" s="170">
        <v>45362</v>
      </c>
      <c r="D151" s="167"/>
      <c r="E151" s="164" t="s">
        <v>188</v>
      </c>
      <c r="F151" s="161"/>
      <c r="G151" s="159" t="s">
        <v>170</v>
      </c>
      <c r="H151" s="178">
        <v>134888</v>
      </c>
      <c r="I151" s="176">
        <v>45374</v>
      </c>
      <c r="J151" s="176" t="s">
        <v>189</v>
      </c>
      <c r="K151" s="120" t="s">
        <v>78</v>
      </c>
      <c r="L151" s="121" t="s">
        <v>190</v>
      </c>
      <c r="M151" s="119">
        <v>1</v>
      </c>
      <c r="N151" s="123">
        <v>88419.33</v>
      </c>
      <c r="O151" s="124">
        <f t="shared" ref="O151:O203" si="36">+N151*M151</f>
        <v>88419.33</v>
      </c>
      <c r="P151" s="124">
        <f t="shared" ref="P151:P203" si="37">+O151*0.19</f>
        <v>16799.672699999999</v>
      </c>
      <c r="Q151" s="124">
        <f t="shared" ref="Q151:Q203" si="38">+P151+O151</f>
        <v>105219.0027</v>
      </c>
      <c r="R151" s="124">
        <v>10159.66</v>
      </c>
      <c r="S151" s="124">
        <f t="shared" ref="S151:S203" si="39">+R151*M151</f>
        <v>10159.66</v>
      </c>
      <c r="T151" s="124">
        <f t="shared" ref="T151:T203" si="40">+S151*0.19</f>
        <v>1930.3353999999999</v>
      </c>
      <c r="U151" s="124">
        <f t="shared" ref="U151:U203" si="41">+T151+S151</f>
        <v>12089.9954</v>
      </c>
      <c r="V151" s="127">
        <f t="shared" ref="V151:V203" si="42">+U151+Q151</f>
        <v>117308.9981</v>
      </c>
      <c r="W151" s="172">
        <f>SUM(V151:V156)</f>
        <v>1393789.047</v>
      </c>
      <c r="X151" s="175" t="s">
        <v>172</v>
      </c>
    </row>
    <row r="152" spans="1:24" ht="25.5" customHeight="1">
      <c r="A152" s="1"/>
      <c r="B152" s="1"/>
      <c r="C152" s="150"/>
      <c r="D152" s="168"/>
      <c r="E152" s="165"/>
      <c r="F152" s="162"/>
      <c r="G152" s="148"/>
      <c r="H152" s="158"/>
      <c r="I152" s="156"/>
      <c r="J152" s="156"/>
      <c r="K152" s="86" t="s">
        <v>64</v>
      </c>
      <c r="L152" s="121" t="s">
        <v>191</v>
      </c>
      <c r="M152" s="59">
        <v>2</v>
      </c>
      <c r="N152" s="123">
        <v>22754.62</v>
      </c>
      <c r="O152" s="124">
        <f t="shared" si="36"/>
        <v>45509.24</v>
      </c>
      <c r="P152" s="124">
        <f t="shared" si="37"/>
        <v>8646.7556000000004</v>
      </c>
      <c r="Q152" s="124">
        <f t="shared" si="38"/>
        <v>54155.995599999995</v>
      </c>
      <c r="R152" s="124"/>
      <c r="S152" s="124">
        <f t="shared" si="39"/>
        <v>0</v>
      </c>
      <c r="T152" s="124">
        <f t="shared" si="40"/>
        <v>0</v>
      </c>
      <c r="U152" s="124">
        <f t="shared" si="41"/>
        <v>0</v>
      </c>
      <c r="V152" s="127">
        <f t="shared" si="42"/>
        <v>54155.995599999995</v>
      </c>
      <c r="W152" s="173"/>
      <c r="X152" s="173"/>
    </row>
    <row r="153" spans="1:24" ht="25.5" customHeight="1">
      <c r="A153" s="1"/>
      <c r="B153" s="1"/>
      <c r="C153" s="150"/>
      <c r="D153" s="168"/>
      <c r="E153" s="165"/>
      <c r="F153" s="162"/>
      <c r="G153" s="148"/>
      <c r="H153" s="158"/>
      <c r="I153" s="156"/>
      <c r="J153" s="156"/>
      <c r="K153" s="86" t="s">
        <v>78</v>
      </c>
      <c r="L153" s="121" t="s">
        <v>192</v>
      </c>
      <c r="M153" s="59">
        <v>1</v>
      </c>
      <c r="N153" s="123">
        <v>0</v>
      </c>
      <c r="O153" s="124">
        <f t="shared" si="36"/>
        <v>0</v>
      </c>
      <c r="P153" s="124">
        <f t="shared" si="37"/>
        <v>0</v>
      </c>
      <c r="Q153" s="124">
        <f t="shared" si="38"/>
        <v>0</v>
      </c>
      <c r="R153" s="124">
        <v>290000</v>
      </c>
      <c r="S153" s="124">
        <f t="shared" si="39"/>
        <v>290000</v>
      </c>
      <c r="T153" s="124">
        <f t="shared" si="40"/>
        <v>55100</v>
      </c>
      <c r="U153" s="124">
        <f t="shared" si="41"/>
        <v>345100</v>
      </c>
      <c r="V153" s="127">
        <f t="shared" si="42"/>
        <v>345100</v>
      </c>
      <c r="W153" s="173"/>
      <c r="X153" s="173"/>
    </row>
    <row r="154" spans="1:24" ht="25.5" customHeight="1">
      <c r="A154" s="1"/>
      <c r="B154" s="1"/>
      <c r="C154" s="150"/>
      <c r="D154" s="168"/>
      <c r="E154" s="165"/>
      <c r="F154" s="162"/>
      <c r="G154" s="148"/>
      <c r="H154" s="158"/>
      <c r="I154" s="156"/>
      <c r="J154" s="156"/>
      <c r="K154" s="86" t="s">
        <v>78</v>
      </c>
      <c r="L154" s="126" t="s">
        <v>193</v>
      </c>
      <c r="M154" s="59">
        <v>1</v>
      </c>
      <c r="N154" s="123">
        <v>0</v>
      </c>
      <c r="O154" s="124">
        <f t="shared" si="36"/>
        <v>0</v>
      </c>
      <c r="P154" s="124">
        <f t="shared" si="37"/>
        <v>0</v>
      </c>
      <c r="Q154" s="124">
        <f t="shared" si="38"/>
        <v>0</v>
      </c>
      <c r="R154" s="124">
        <v>492187.44</v>
      </c>
      <c r="S154" s="124">
        <f t="shared" si="39"/>
        <v>492187.44</v>
      </c>
      <c r="T154" s="124">
        <f t="shared" si="40"/>
        <v>93515.613599999997</v>
      </c>
      <c r="U154" s="124">
        <f t="shared" si="41"/>
        <v>585703.05359999998</v>
      </c>
      <c r="V154" s="127">
        <f t="shared" si="42"/>
        <v>585703.05359999998</v>
      </c>
      <c r="W154" s="173"/>
      <c r="X154" s="173"/>
    </row>
    <row r="155" spans="1:24" ht="25.5" customHeight="1">
      <c r="A155" s="1"/>
      <c r="B155" s="1"/>
      <c r="C155" s="150"/>
      <c r="D155" s="168"/>
      <c r="E155" s="165"/>
      <c r="F155" s="162"/>
      <c r="G155" s="148"/>
      <c r="H155" s="158"/>
      <c r="I155" s="156"/>
      <c r="J155" s="156"/>
      <c r="K155" s="86" t="s">
        <v>78</v>
      </c>
      <c r="L155" s="121" t="s">
        <v>194</v>
      </c>
      <c r="M155" s="59">
        <v>1</v>
      </c>
      <c r="N155" s="123">
        <v>0</v>
      </c>
      <c r="O155" s="124">
        <f t="shared" si="36"/>
        <v>0</v>
      </c>
      <c r="P155" s="124">
        <f t="shared" si="37"/>
        <v>0</v>
      </c>
      <c r="Q155" s="124">
        <f t="shared" si="38"/>
        <v>0</v>
      </c>
      <c r="R155" s="124">
        <v>233686.55</v>
      </c>
      <c r="S155" s="124">
        <f t="shared" si="39"/>
        <v>233686.55</v>
      </c>
      <c r="T155" s="124">
        <f t="shared" si="40"/>
        <v>44400.444499999998</v>
      </c>
      <c r="U155" s="124">
        <f t="shared" si="41"/>
        <v>278086.99449999997</v>
      </c>
      <c r="V155" s="127">
        <f t="shared" si="42"/>
        <v>278086.99449999997</v>
      </c>
      <c r="W155" s="173"/>
      <c r="X155" s="173"/>
    </row>
    <row r="156" spans="1:24" ht="25.5" customHeight="1">
      <c r="A156" s="1"/>
      <c r="B156" s="1"/>
      <c r="C156" s="171"/>
      <c r="D156" s="169"/>
      <c r="E156" s="166"/>
      <c r="F156" s="163"/>
      <c r="G156" s="160"/>
      <c r="H156" s="179"/>
      <c r="I156" s="177"/>
      <c r="J156" s="177"/>
      <c r="K156" s="86" t="s">
        <v>64</v>
      </c>
      <c r="L156" s="121" t="s">
        <v>195</v>
      </c>
      <c r="M156" s="59">
        <v>1</v>
      </c>
      <c r="N156" s="123">
        <v>0</v>
      </c>
      <c r="O156" s="124">
        <f t="shared" si="36"/>
        <v>0</v>
      </c>
      <c r="P156" s="124">
        <f t="shared" si="37"/>
        <v>0</v>
      </c>
      <c r="Q156" s="124">
        <f t="shared" si="38"/>
        <v>0</v>
      </c>
      <c r="R156" s="124">
        <v>11289.08</v>
      </c>
      <c r="S156" s="124">
        <f t="shared" si="39"/>
        <v>11289.08</v>
      </c>
      <c r="T156" s="124">
        <f t="shared" si="40"/>
        <v>2144.9252000000001</v>
      </c>
      <c r="U156" s="124">
        <f t="shared" si="41"/>
        <v>13434.0052</v>
      </c>
      <c r="V156" s="127">
        <f t="shared" si="42"/>
        <v>13434.0052</v>
      </c>
      <c r="W156" s="174"/>
      <c r="X156" s="174"/>
    </row>
    <row r="157" spans="1:24" ht="25.5" customHeight="1">
      <c r="A157" s="1"/>
      <c r="B157" s="1"/>
      <c r="C157" s="149">
        <v>45449</v>
      </c>
      <c r="D157" s="147">
        <v>81151</v>
      </c>
      <c r="E157" s="143" t="s">
        <v>196</v>
      </c>
      <c r="F157" s="145"/>
      <c r="G157" s="143" t="s">
        <v>197</v>
      </c>
      <c r="H157" s="157">
        <v>139118</v>
      </c>
      <c r="I157" s="155">
        <v>45483</v>
      </c>
      <c r="J157" s="155" t="s">
        <v>198</v>
      </c>
      <c r="K157" s="86" t="s">
        <v>64</v>
      </c>
      <c r="L157" s="121" t="s">
        <v>199</v>
      </c>
      <c r="M157" s="59">
        <v>5</v>
      </c>
      <c r="N157" s="123">
        <v>26535</v>
      </c>
      <c r="O157" s="124">
        <f t="shared" si="36"/>
        <v>132675</v>
      </c>
      <c r="P157" s="124">
        <f t="shared" si="37"/>
        <v>25208.25</v>
      </c>
      <c r="Q157" s="124">
        <f t="shared" si="38"/>
        <v>157883.25</v>
      </c>
      <c r="R157" s="124">
        <v>0</v>
      </c>
      <c r="S157" s="124">
        <f t="shared" si="39"/>
        <v>0</v>
      </c>
      <c r="T157" s="124">
        <f t="shared" si="40"/>
        <v>0</v>
      </c>
      <c r="U157" s="124">
        <f t="shared" si="41"/>
        <v>0</v>
      </c>
      <c r="V157" s="127">
        <f t="shared" si="42"/>
        <v>157883.25</v>
      </c>
      <c r="W157" s="172">
        <f>SUM(V157:V162)</f>
        <v>473916.31</v>
      </c>
      <c r="X157" s="140" t="s">
        <v>172</v>
      </c>
    </row>
    <row r="158" spans="1:24" ht="25.5" customHeight="1">
      <c r="A158" s="1"/>
      <c r="B158" s="1"/>
      <c r="C158" s="150"/>
      <c r="D158" s="148"/>
      <c r="E158" s="144"/>
      <c r="F158" s="146"/>
      <c r="G158" s="144"/>
      <c r="H158" s="158"/>
      <c r="I158" s="156"/>
      <c r="J158" s="156"/>
      <c r="K158" s="86" t="s">
        <v>64</v>
      </c>
      <c r="L158" s="121" t="s">
        <v>147</v>
      </c>
      <c r="M158" s="59">
        <v>1</v>
      </c>
      <c r="N158" s="123">
        <v>30075</v>
      </c>
      <c r="O158" s="124">
        <f t="shared" si="36"/>
        <v>30075</v>
      </c>
      <c r="P158" s="124">
        <f t="shared" si="37"/>
        <v>5714.25</v>
      </c>
      <c r="Q158" s="124">
        <f t="shared" si="38"/>
        <v>35789.25</v>
      </c>
      <c r="R158" s="124">
        <v>0</v>
      </c>
      <c r="S158" s="124">
        <f t="shared" si="39"/>
        <v>0</v>
      </c>
      <c r="T158" s="124">
        <f t="shared" si="40"/>
        <v>0</v>
      </c>
      <c r="U158" s="124">
        <f t="shared" si="41"/>
        <v>0</v>
      </c>
      <c r="V158" s="127">
        <f t="shared" si="42"/>
        <v>35789.25</v>
      </c>
      <c r="W158" s="173"/>
      <c r="X158" s="140"/>
    </row>
    <row r="159" spans="1:24" ht="25.5" customHeight="1">
      <c r="A159" s="1"/>
      <c r="B159" s="1"/>
      <c r="C159" s="150"/>
      <c r="D159" s="148"/>
      <c r="E159" s="144"/>
      <c r="F159" s="146"/>
      <c r="G159" s="144"/>
      <c r="H159" s="158"/>
      <c r="I159" s="156"/>
      <c r="J159" s="156"/>
      <c r="K159" s="86" t="s">
        <v>64</v>
      </c>
      <c r="L159" s="121" t="s">
        <v>148</v>
      </c>
      <c r="M159" s="59">
        <v>1</v>
      </c>
      <c r="N159" s="123">
        <v>72100</v>
      </c>
      <c r="O159" s="124">
        <f t="shared" si="36"/>
        <v>72100</v>
      </c>
      <c r="P159" s="124">
        <f t="shared" si="37"/>
        <v>13699</v>
      </c>
      <c r="Q159" s="124">
        <f t="shared" si="38"/>
        <v>85799</v>
      </c>
      <c r="R159" s="124">
        <v>0</v>
      </c>
      <c r="S159" s="124">
        <f t="shared" si="39"/>
        <v>0</v>
      </c>
      <c r="T159" s="124">
        <f t="shared" si="40"/>
        <v>0</v>
      </c>
      <c r="U159" s="124">
        <f t="shared" si="41"/>
        <v>0</v>
      </c>
      <c r="V159" s="127">
        <f t="shared" si="42"/>
        <v>85799</v>
      </c>
      <c r="W159" s="173"/>
      <c r="X159" s="140"/>
    </row>
    <row r="160" spans="1:24" ht="25.5" customHeight="1">
      <c r="A160" s="1"/>
      <c r="B160" s="1"/>
      <c r="C160" s="150"/>
      <c r="D160" s="148"/>
      <c r="E160" s="144"/>
      <c r="F160" s="146"/>
      <c r="G160" s="144"/>
      <c r="H160" s="158"/>
      <c r="I160" s="156"/>
      <c r="J160" s="156"/>
      <c r="K160" s="86" t="s">
        <v>64</v>
      </c>
      <c r="L160" s="121" t="s">
        <v>83</v>
      </c>
      <c r="M160" s="59">
        <v>1</v>
      </c>
      <c r="N160" s="123">
        <v>0</v>
      </c>
      <c r="O160" s="124">
        <f t="shared" si="36"/>
        <v>0</v>
      </c>
      <c r="P160" s="124">
        <f t="shared" si="37"/>
        <v>0</v>
      </c>
      <c r="Q160" s="124">
        <f t="shared" si="38"/>
        <v>0</v>
      </c>
      <c r="R160" s="124">
        <v>79345</v>
      </c>
      <c r="S160" s="124">
        <f t="shared" si="39"/>
        <v>79345</v>
      </c>
      <c r="T160" s="124">
        <f t="shared" si="40"/>
        <v>15075.55</v>
      </c>
      <c r="U160" s="124">
        <f t="shared" si="41"/>
        <v>94420.55</v>
      </c>
      <c r="V160" s="127">
        <f t="shared" si="42"/>
        <v>94420.55</v>
      </c>
      <c r="W160" s="173"/>
      <c r="X160" s="140"/>
    </row>
    <row r="161" spans="1:24" ht="25.5" customHeight="1">
      <c r="A161" s="1"/>
      <c r="B161" s="1"/>
      <c r="C161" s="150"/>
      <c r="D161" s="148"/>
      <c r="E161" s="144"/>
      <c r="F161" s="146"/>
      <c r="G161" s="144"/>
      <c r="H161" s="158"/>
      <c r="I161" s="156"/>
      <c r="J161" s="156"/>
      <c r="K161" s="86" t="s">
        <v>64</v>
      </c>
      <c r="L161" s="121" t="s">
        <v>200</v>
      </c>
      <c r="M161" s="59">
        <v>2</v>
      </c>
      <c r="N161" s="123">
        <v>0</v>
      </c>
      <c r="O161" s="124">
        <f t="shared" si="36"/>
        <v>0</v>
      </c>
      <c r="P161" s="124">
        <f t="shared" si="37"/>
        <v>0</v>
      </c>
      <c r="Q161" s="124">
        <f t="shared" si="38"/>
        <v>0</v>
      </c>
      <c r="R161" s="124">
        <v>31292</v>
      </c>
      <c r="S161" s="124">
        <f t="shared" si="39"/>
        <v>62584</v>
      </c>
      <c r="T161" s="124">
        <f t="shared" si="40"/>
        <v>11890.960000000001</v>
      </c>
      <c r="U161" s="124">
        <f t="shared" si="41"/>
        <v>74474.960000000006</v>
      </c>
      <c r="V161" s="127">
        <f t="shared" si="42"/>
        <v>74474.960000000006</v>
      </c>
      <c r="W161" s="173"/>
      <c r="X161" s="140"/>
    </row>
    <row r="162" spans="1:24" ht="25.5" customHeight="1">
      <c r="A162" s="1"/>
      <c r="B162" s="1"/>
      <c r="C162" s="171"/>
      <c r="D162" s="160"/>
      <c r="E162" s="213"/>
      <c r="F162" s="214"/>
      <c r="G162" s="213"/>
      <c r="H162" s="179"/>
      <c r="I162" s="177"/>
      <c r="J162" s="177"/>
      <c r="K162" s="86" t="s">
        <v>78</v>
      </c>
      <c r="L162" s="126" t="s">
        <v>201</v>
      </c>
      <c r="M162" s="59">
        <v>1</v>
      </c>
      <c r="N162" s="123">
        <v>0</v>
      </c>
      <c r="O162" s="124">
        <f t="shared" si="36"/>
        <v>0</v>
      </c>
      <c r="P162" s="124">
        <f t="shared" si="37"/>
        <v>0</v>
      </c>
      <c r="Q162" s="124">
        <f t="shared" si="38"/>
        <v>0</v>
      </c>
      <c r="R162" s="124">
        <v>21470</v>
      </c>
      <c r="S162" s="124">
        <f t="shared" si="39"/>
        <v>21470</v>
      </c>
      <c r="T162" s="124">
        <f t="shared" si="40"/>
        <v>4079.3</v>
      </c>
      <c r="U162" s="124">
        <f t="shared" si="41"/>
        <v>25549.3</v>
      </c>
      <c r="V162" s="127">
        <f t="shared" si="42"/>
        <v>25549.3</v>
      </c>
      <c r="W162" s="174"/>
      <c r="X162" s="212"/>
    </row>
    <row r="163" spans="1:24" ht="25.5" customHeight="1">
      <c r="A163" s="1"/>
      <c r="B163" s="1"/>
      <c r="C163" s="149">
        <v>45476</v>
      </c>
      <c r="D163" s="147">
        <v>140487</v>
      </c>
      <c r="E163" s="143" t="s">
        <v>202</v>
      </c>
      <c r="F163" s="145"/>
      <c r="G163" s="143" t="s">
        <v>203</v>
      </c>
      <c r="H163" s="157">
        <v>140492</v>
      </c>
      <c r="I163" s="155">
        <v>45510</v>
      </c>
      <c r="J163" s="155" t="s">
        <v>204</v>
      </c>
      <c r="K163" s="86" t="s">
        <v>64</v>
      </c>
      <c r="L163" s="121" t="s">
        <v>205</v>
      </c>
      <c r="M163" s="59">
        <v>1</v>
      </c>
      <c r="N163" s="123">
        <v>93335</v>
      </c>
      <c r="O163" s="124">
        <f>+N163*M163</f>
        <v>93335</v>
      </c>
      <c r="P163" s="124">
        <f t="shared" si="37"/>
        <v>17733.650000000001</v>
      </c>
      <c r="Q163" s="124">
        <f t="shared" si="38"/>
        <v>111068.65</v>
      </c>
      <c r="R163" s="124">
        <v>0</v>
      </c>
      <c r="S163" s="124">
        <f t="shared" si="39"/>
        <v>0</v>
      </c>
      <c r="T163" s="124">
        <f t="shared" si="40"/>
        <v>0</v>
      </c>
      <c r="U163" s="124">
        <f t="shared" si="41"/>
        <v>0</v>
      </c>
      <c r="V163" s="127">
        <f t="shared" si="42"/>
        <v>111068.65</v>
      </c>
      <c r="W163" s="151">
        <f>SUM(V163:V164)</f>
        <v>289568.65000000002</v>
      </c>
      <c r="X163" s="153" t="s">
        <v>172</v>
      </c>
    </row>
    <row r="164" spans="1:24" ht="25.5" customHeight="1">
      <c r="A164" s="1"/>
      <c r="B164" s="1"/>
      <c r="C164" s="150"/>
      <c r="D164" s="148"/>
      <c r="E164" s="144"/>
      <c r="F164" s="146"/>
      <c r="G164" s="144"/>
      <c r="H164" s="158"/>
      <c r="I164" s="156"/>
      <c r="J164" s="156"/>
      <c r="K164" s="86" t="s">
        <v>64</v>
      </c>
      <c r="L164" s="126" t="s">
        <v>206</v>
      </c>
      <c r="M164" s="59">
        <v>1</v>
      </c>
      <c r="N164" s="123">
        <v>0</v>
      </c>
      <c r="O164" s="124">
        <f>+N164*M164</f>
        <v>0</v>
      </c>
      <c r="P164" s="124">
        <f t="shared" si="37"/>
        <v>0</v>
      </c>
      <c r="Q164" s="124">
        <f t="shared" si="38"/>
        <v>0</v>
      </c>
      <c r="R164" s="124">
        <v>150000</v>
      </c>
      <c r="S164" s="124">
        <f t="shared" si="39"/>
        <v>150000</v>
      </c>
      <c r="T164" s="124">
        <f t="shared" si="40"/>
        <v>28500</v>
      </c>
      <c r="U164" s="124">
        <f t="shared" si="41"/>
        <v>178500</v>
      </c>
      <c r="V164" s="127">
        <f t="shared" si="42"/>
        <v>178500</v>
      </c>
      <c r="W164" s="152"/>
      <c r="X164" s="154"/>
    </row>
    <row r="165" spans="1:24" ht="25.5" customHeight="1">
      <c r="A165" s="1"/>
      <c r="B165" s="1"/>
      <c r="C165" s="138">
        <v>45483</v>
      </c>
      <c r="D165" s="137">
        <v>140790</v>
      </c>
      <c r="E165" s="135" t="s">
        <v>207</v>
      </c>
      <c r="F165" s="136"/>
      <c r="G165" s="135" t="s">
        <v>203</v>
      </c>
      <c r="H165" s="142">
        <v>140795</v>
      </c>
      <c r="I165" s="141">
        <v>45512</v>
      </c>
      <c r="J165" s="141" t="s">
        <v>208</v>
      </c>
      <c r="K165" s="130" t="s">
        <v>78</v>
      </c>
      <c r="L165" s="121" t="s">
        <v>209</v>
      </c>
      <c r="M165" s="59">
        <v>1</v>
      </c>
      <c r="N165" s="123">
        <v>17485</v>
      </c>
      <c r="O165" s="124">
        <f>+N165*M165</f>
        <v>17485</v>
      </c>
      <c r="P165" s="124">
        <f>+O165*0.19</f>
        <v>3322.15</v>
      </c>
      <c r="Q165" s="124">
        <f>O165+P165</f>
        <v>20807.150000000001</v>
      </c>
      <c r="R165" s="124">
        <v>0</v>
      </c>
      <c r="S165" s="124">
        <f>+R165*M165</f>
        <v>0</v>
      </c>
      <c r="T165" s="124">
        <f>+S165*0.19</f>
        <v>0</v>
      </c>
      <c r="U165" s="124">
        <f>+T165+S165</f>
        <v>0</v>
      </c>
      <c r="V165" s="127">
        <f>+U165+Q165</f>
        <v>20807.150000000001</v>
      </c>
      <c r="W165" s="139"/>
      <c r="X165" s="140" t="s">
        <v>172</v>
      </c>
    </row>
    <row r="166" spans="1:24" ht="25.5" customHeight="1">
      <c r="A166" s="1"/>
      <c r="B166" s="1"/>
      <c r="C166" s="138"/>
      <c r="D166" s="137"/>
      <c r="E166" s="135"/>
      <c r="F166" s="136"/>
      <c r="G166" s="135"/>
      <c r="H166" s="142"/>
      <c r="I166" s="141"/>
      <c r="J166" s="141"/>
      <c r="K166" s="130" t="s">
        <v>78</v>
      </c>
      <c r="L166" s="121" t="s">
        <v>210</v>
      </c>
      <c r="M166" s="59">
        <v>1</v>
      </c>
      <c r="N166" s="123">
        <v>35875</v>
      </c>
      <c r="O166" s="124">
        <f>+N166*M166</f>
        <v>35875</v>
      </c>
      <c r="P166" s="124">
        <f t="shared" si="37"/>
        <v>6816.25</v>
      </c>
      <c r="Q166" s="124">
        <f t="shared" ref="Q166:Q203" si="43">O166+P166</f>
        <v>42691.25</v>
      </c>
      <c r="R166" s="124"/>
      <c r="S166" s="124">
        <f t="shared" si="39"/>
        <v>0</v>
      </c>
      <c r="T166" s="124">
        <f t="shared" si="40"/>
        <v>0</v>
      </c>
      <c r="U166" s="124">
        <f t="shared" si="41"/>
        <v>0</v>
      </c>
      <c r="V166" s="127">
        <f>+U166+Q166</f>
        <v>42691.25</v>
      </c>
      <c r="W166" s="139"/>
      <c r="X166" s="140"/>
    </row>
    <row r="167" spans="1:24" ht="25.5" customHeight="1">
      <c r="A167" s="1"/>
      <c r="B167" s="1"/>
      <c r="C167" s="138"/>
      <c r="D167" s="137"/>
      <c r="E167" s="135"/>
      <c r="F167" s="136"/>
      <c r="G167" s="135"/>
      <c r="H167" s="142"/>
      <c r="I167" s="141"/>
      <c r="J167" s="141"/>
      <c r="K167" s="130" t="s">
        <v>78</v>
      </c>
      <c r="L167" s="121" t="s">
        <v>211</v>
      </c>
      <c r="M167" s="59">
        <v>1</v>
      </c>
      <c r="N167" s="123">
        <v>107649</v>
      </c>
      <c r="O167" s="124">
        <f>+N167*M167</f>
        <v>107649</v>
      </c>
      <c r="P167" s="124">
        <f t="shared" si="37"/>
        <v>20453.310000000001</v>
      </c>
      <c r="Q167" s="124">
        <f t="shared" si="43"/>
        <v>128102.31</v>
      </c>
      <c r="R167" s="124">
        <v>198781</v>
      </c>
      <c r="S167" s="124">
        <f t="shared" si="39"/>
        <v>198781</v>
      </c>
      <c r="T167" s="124">
        <f t="shared" si="40"/>
        <v>37768.39</v>
      </c>
      <c r="U167" s="124">
        <f t="shared" si="41"/>
        <v>236549.39</v>
      </c>
      <c r="V167" s="127">
        <f>+U167+Q167</f>
        <v>364651.7</v>
      </c>
      <c r="W167" s="139"/>
      <c r="X167" s="140"/>
    </row>
    <row r="168" spans="1:24" ht="25.5" customHeight="1">
      <c r="A168" s="1"/>
      <c r="B168" s="1"/>
      <c r="C168" s="138"/>
      <c r="D168" s="137"/>
      <c r="E168" s="135"/>
      <c r="F168" s="136"/>
      <c r="G168" s="135"/>
      <c r="H168" s="142"/>
      <c r="I168" s="141"/>
      <c r="J168" s="141"/>
      <c r="K168" s="130" t="s">
        <v>78</v>
      </c>
      <c r="L168" s="121" t="s">
        <v>212</v>
      </c>
      <c r="M168" s="59">
        <v>2</v>
      </c>
      <c r="N168" s="123">
        <v>548854</v>
      </c>
      <c r="O168" s="124">
        <f>+N168*M168</f>
        <v>1097708</v>
      </c>
      <c r="P168" s="124">
        <f t="shared" si="37"/>
        <v>208564.52</v>
      </c>
      <c r="Q168" s="124">
        <f t="shared" si="43"/>
        <v>1306272.52</v>
      </c>
      <c r="R168" s="124"/>
      <c r="S168" s="124">
        <f t="shared" si="39"/>
        <v>0</v>
      </c>
      <c r="T168" s="124">
        <f t="shared" si="40"/>
        <v>0</v>
      </c>
      <c r="U168" s="124">
        <f t="shared" si="41"/>
        <v>0</v>
      </c>
      <c r="V168" s="127">
        <f>+U168+Q168</f>
        <v>1306272.52</v>
      </c>
      <c r="W168" s="139"/>
      <c r="X168" s="140"/>
    </row>
    <row r="169" spans="1:24" ht="25.5" customHeight="1">
      <c r="A169" s="1"/>
      <c r="B169" s="1"/>
      <c r="C169" s="138"/>
      <c r="D169" s="137"/>
      <c r="E169" s="135"/>
      <c r="F169" s="136"/>
      <c r="G169" s="135"/>
      <c r="H169" s="142"/>
      <c r="I169" s="141"/>
      <c r="J169" s="141"/>
      <c r="K169" s="130" t="s">
        <v>78</v>
      </c>
      <c r="L169" s="121" t="s">
        <v>213</v>
      </c>
      <c r="M169" s="59">
        <v>1</v>
      </c>
      <c r="N169" s="123">
        <v>325703</v>
      </c>
      <c r="O169" s="124">
        <f>+N169*M169</f>
        <v>325703</v>
      </c>
      <c r="P169" s="124">
        <f t="shared" si="37"/>
        <v>61883.57</v>
      </c>
      <c r="Q169" s="124">
        <f t="shared" si="43"/>
        <v>387586.57</v>
      </c>
      <c r="R169" s="124"/>
      <c r="S169" s="124">
        <f t="shared" si="39"/>
        <v>0</v>
      </c>
      <c r="T169" s="124">
        <f t="shared" si="40"/>
        <v>0</v>
      </c>
      <c r="U169" s="124">
        <f t="shared" si="41"/>
        <v>0</v>
      </c>
      <c r="V169" s="127">
        <f>+U169+Q169</f>
        <v>387586.57</v>
      </c>
      <c r="W169" s="139"/>
      <c r="X169" s="140"/>
    </row>
    <row r="170" spans="1:24" ht="25.5" customHeight="1">
      <c r="A170" s="1"/>
      <c r="B170" s="1"/>
      <c r="C170" s="138"/>
      <c r="D170" s="137"/>
      <c r="E170" s="135"/>
      <c r="F170" s="136"/>
      <c r="G170" s="135"/>
      <c r="H170" s="142"/>
      <c r="I170" s="141"/>
      <c r="J170" s="141"/>
      <c r="K170" s="130" t="s">
        <v>78</v>
      </c>
      <c r="L170" s="121" t="s">
        <v>214</v>
      </c>
      <c r="M170" s="59">
        <v>1</v>
      </c>
      <c r="N170" s="123">
        <v>113400</v>
      </c>
      <c r="O170" s="124">
        <f>+N170*M170</f>
        <v>113400</v>
      </c>
      <c r="P170" s="124">
        <f t="shared" si="37"/>
        <v>21546</v>
      </c>
      <c r="Q170" s="124">
        <f t="shared" si="43"/>
        <v>134946</v>
      </c>
      <c r="R170" s="124">
        <v>85722</v>
      </c>
      <c r="S170" s="124">
        <f t="shared" si="39"/>
        <v>85722</v>
      </c>
      <c r="T170" s="124">
        <f t="shared" si="40"/>
        <v>16287.18</v>
      </c>
      <c r="U170" s="124">
        <f t="shared" si="41"/>
        <v>102009.18</v>
      </c>
      <c r="V170" s="127">
        <f>+U170+Q170</f>
        <v>236955.18</v>
      </c>
      <c r="W170" s="139"/>
      <c r="X170" s="140"/>
    </row>
    <row r="171" spans="1:24" ht="25.5" customHeight="1">
      <c r="A171" s="1"/>
      <c r="B171" s="1"/>
      <c r="C171" s="138"/>
      <c r="D171" s="137"/>
      <c r="E171" s="135"/>
      <c r="F171" s="136"/>
      <c r="G171" s="135"/>
      <c r="H171" s="142"/>
      <c r="I171" s="141"/>
      <c r="J171" s="141"/>
      <c r="K171" s="130" t="s">
        <v>64</v>
      </c>
      <c r="L171" s="121" t="s">
        <v>215</v>
      </c>
      <c r="M171" s="59">
        <v>1</v>
      </c>
      <c r="N171" s="123">
        <v>39705</v>
      </c>
      <c r="O171" s="124">
        <f>+N171*M171</f>
        <v>39705</v>
      </c>
      <c r="P171" s="124">
        <f t="shared" si="37"/>
        <v>7543.95</v>
      </c>
      <c r="Q171" s="124">
        <f t="shared" si="43"/>
        <v>47248.95</v>
      </c>
      <c r="R171" s="124"/>
      <c r="S171" s="124">
        <f t="shared" si="39"/>
        <v>0</v>
      </c>
      <c r="T171" s="124">
        <f t="shared" si="40"/>
        <v>0</v>
      </c>
      <c r="U171" s="124">
        <f t="shared" si="41"/>
        <v>0</v>
      </c>
      <c r="V171" s="127">
        <f>+U171+Q171</f>
        <v>47248.95</v>
      </c>
      <c r="W171" s="139"/>
      <c r="X171" s="140"/>
    </row>
    <row r="172" spans="1:24" ht="25.5" customHeight="1">
      <c r="A172" s="1"/>
      <c r="B172" s="1"/>
      <c r="C172" s="138"/>
      <c r="D172" s="137"/>
      <c r="E172" s="135"/>
      <c r="F172" s="136"/>
      <c r="G172" s="135"/>
      <c r="H172" s="142"/>
      <c r="I172" s="141"/>
      <c r="J172" s="141"/>
      <c r="K172" s="130" t="s">
        <v>64</v>
      </c>
      <c r="L172" s="121" t="s">
        <v>216</v>
      </c>
      <c r="M172" s="59">
        <v>1</v>
      </c>
      <c r="N172" s="123">
        <v>184741</v>
      </c>
      <c r="O172" s="124">
        <f>+N172*M172</f>
        <v>184741</v>
      </c>
      <c r="P172" s="124">
        <f t="shared" si="37"/>
        <v>35100.79</v>
      </c>
      <c r="Q172" s="124">
        <f t="shared" si="43"/>
        <v>219841.79</v>
      </c>
      <c r="R172" s="124"/>
      <c r="S172" s="124">
        <f t="shared" si="39"/>
        <v>0</v>
      </c>
      <c r="T172" s="124">
        <f t="shared" si="40"/>
        <v>0</v>
      </c>
      <c r="U172" s="124">
        <f t="shared" si="41"/>
        <v>0</v>
      </c>
      <c r="V172" s="127">
        <f>+U172+Q172</f>
        <v>219841.79</v>
      </c>
      <c r="W172" s="139"/>
      <c r="X172" s="140"/>
    </row>
    <row r="173" spans="1:24" ht="25.5" customHeight="1">
      <c r="A173" s="1"/>
      <c r="B173" s="1"/>
      <c r="C173" s="138"/>
      <c r="D173" s="137"/>
      <c r="E173" s="135"/>
      <c r="F173" s="136"/>
      <c r="G173" s="135"/>
      <c r="H173" s="142"/>
      <c r="I173" s="141"/>
      <c r="J173" s="141"/>
      <c r="K173" s="130" t="s">
        <v>64</v>
      </c>
      <c r="L173" s="121" t="s">
        <v>217</v>
      </c>
      <c r="M173" s="59">
        <v>1</v>
      </c>
      <c r="N173" s="123">
        <v>24117</v>
      </c>
      <c r="O173" s="124">
        <f>+N173*M173</f>
        <v>24117</v>
      </c>
      <c r="P173" s="124">
        <f t="shared" si="37"/>
        <v>4582.2300000000005</v>
      </c>
      <c r="Q173" s="124">
        <f t="shared" si="43"/>
        <v>28699.23</v>
      </c>
      <c r="R173" s="124"/>
      <c r="S173" s="124">
        <f t="shared" si="39"/>
        <v>0</v>
      </c>
      <c r="T173" s="124">
        <f t="shared" si="40"/>
        <v>0</v>
      </c>
      <c r="U173" s="124">
        <f t="shared" si="41"/>
        <v>0</v>
      </c>
      <c r="V173" s="127">
        <f>+U173+Q173</f>
        <v>28699.23</v>
      </c>
      <c r="W173" s="139"/>
      <c r="X173" s="140"/>
    </row>
    <row r="174" spans="1:24" ht="25.5" customHeight="1">
      <c r="A174" s="1"/>
      <c r="B174" s="1"/>
      <c r="C174" s="138"/>
      <c r="D174" s="137"/>
      <c r="E174" s="135"/>
      <c r="F174" s="136"/>
      <c r="G174" s="135"/>
      <c r="H174" s="142"/>
      <c r="I174" s="141"/>
      <c r="J174" s="141"/>
      <c r="K174" s="130" t="s">
        <v>78</v>
      </c>
      <c r="L174" s="121" t="s">
        <v>218</v>
      </c>
      <c r="M174" s="59">
        <v>1</v>
      </c>
      <c r="N174" s="123">
        <v>331800</v>
      </c>
      <c r="O174" s="124">
        <f>+N174*M174</f>
        <v>331800</v>
      </c>
      <c r="P174" s="124">
        <f t="shared" si="37"/>
        <v>63042</v>
      </c>
      <c r="Q174" s="124">
        <f t="shared" si="43"/>
        <v>394842</v>
      </c>
      <c r="R174" s="124">
        <v>95000</v>
      </c>
      <c r="S174" s="124">
        <f t="shared" si="39"/>
        <v>95000</v>
      </c>
      <c r="T174" s="124">
        <f t="shared" si="40"/>
        <v>18050</v>
      </c>
      <c r="U174" s="124">
        <f t="shared" si="41"/>
        <v>113050</v>
      </c>
      <c r="V174" s="127">
        <f>+U174+Q174</f>
        <v>507892</v>
      </c>
      <c r="W174" s="139"/>
      <c r="X174" s="140"/>
    </row>
    <row r="175" spans="1:24" ht="25.5" customHeight="1">
      <c r="A175" s="1"/>
      <c r="B175" s="1"/>
      <c r="C175" s="138"/>
      <c r="D175" s="137"/>
      <c r="E175" s="135"/>
      <c r="F175" s="136"/>
      <c r="G175" s="135"/>
      <c r="H175" s="142"/>
      <c r="I175" s="141"/>
      <c r="J175" s="141"/>
      <c r="K175" s="130" t="s">
        <v>78</v>
      </c>
      <c r="L175" s="121" t="s">
        <v>219</v>
      </c>
      <c r="M175" s="59">
        <v>1</v>
      </c>
      <c r="N175" s="123">
        <v>19576</v>
      </c>
      <c r="O175" s="124">
        <f>+N175*M175</f>
        <v>19576</v>
      </c>
      <c r="P175" s="124">
        <f t="shared" si="37"/>
        <v>3719.44</v>
      </c>
      <c r="Q175" s="124">
        <f t="shared" si="43"/>
        <v>23295.439999999999</v>
      </c>
      <c r="R175" s="124"/>
      <c r="S175" s="124">
        <f t="shared" si="39"/>
        <v>0</v>
      </c>
      <c r="T175" s="124">
        <f t="shared" si="40"/>
        <v>0</v>
      </c>
      <c r="U175" s="124">
        <f t="shared" si="41"/>
        <v>0</v>
      </c>
      <c r="V175" s="127">
        <f>+U175+Q175</f>
        <v>23295.439999999999</v>
      </c>
      <c r="W175" s="139"/>
      <c r="X175" s="140"/>
    </row>
    <row r="176" spans="1:24" ht="25.5" customHeight="1">
      <c r="A176" s="1"/>
      <c r="B176" s="1"/>
      <c r="C176" s="138"/>
      <c r="D176" s="137"/>
      <c r="E176" s="135"/>
      <c r="F176" s="136"/>
      <c r="G176" s="135"/>
      <c r="H176" s="142"/>
      <c r="I176" s="141"/>
      <c r="J176" s="141"/>
      <c r="K176" s="130" t="s">
        <v>64</v>
      </c>
      <c r="L176" s="121" t="s">
        <v>220</v>
      </c>
      <c r="M176" s="59">
        <v>1</v>
      </c>
      <c r="N176" s="123">
        <v>50409</v>
      </c>
      <c r="O176" s="124">
        <f>+N176*M176</f>
        <v>50409</v>
      </c>
      <c r="P176" s="124">
        <f t="shared" si="37"/>
        <v>9577.7100000000009</v>
      </c>
      <c r="Q176" s="124">
        <f t="shared" si="43"/>
        <v>59986.71</v>
      </c>
      <c r="R176" s="124"/>
      <c r="S176" s="124">
        <f t="shared" si="39"/>
        <v>0</v>
      </c>
      <c r="T176" s="124">
        <f t="shared" si="40"/>
        <v>0</v>
      </c>
      <c r="U176" s="124">
        <f t="shared" si="41"/>
        <v>0</v>
      </c>
      <c r="V176" s="127">
        <f>+U176+Q176</f>
        <v>59986.71</v>
      </c>
      <c r="W176" s="139"/>
      <c r="X176" s="140"/>
    </row>
    <row r="177" spans="1:24" ht="25.5" customHeight="1">
      <c r="A177" s="1"/>
      <c r="B177" s="1"/>
      <c r="C177" s="138"/>
      <c r="D177" s="137"/>
      <c r="E177" s="135"/>
      <c r="F177" s="136"/>
      <c r="G177" s="135"/>
      <c r="H177" s="142"/>
      <c r="I177" s="141"/>
      <c r="J177" s="141"/>
      <c r="K177" s="130" t="s">
        <v>78</v>
      </c>
      <c r="L177" s="121" t="s">
        <v>180</v>
      </c>
      <c r="M177" s="59">
        <v>2</v>
      </c>
      <c r="N177" s="123">
        <v>524874</v>
      </c>
      <c r="O177" s="124">
        <f>+N177*M177</f>
        <v>1049748</v>
      </c>
      <c r="P177" s="124">
        <f t="shared" si="37"/>
        <v>199452.12</v>
      </c>
      <c r="Q177" s="124">
        <f t="shared" si="43"/>
        <v>1249200.1200000001</v>
      </c>
      <c r="R177" s="124">
        <v>30000</v>
      </c>
      <c r="S177" s="124">
        <f>+R177*M177</f>
        <v>60000</v>
      </c>
      <c r="T177" s="124">
        <f t="shared" si="40"/>
        <v>11400</v>
      </c>
      <c r="U177" s="124">
        <f t="shared" si="41"/>
        <v>71400</v>
      </c>
      <c r="V177" s="127">
        <f>+U177+Q177</f>
        <v>1320600.1200000001</v>
      </c>
      <c r="W177" s="139"/>
      <c r="X177" s="140"/>
    </row>
    <row r="178" spans="1:24" ht="25.5" customHeight="1">
      <c r="A178" s="1"/>
      <c r="B178" s="1"/>
      <c r="C178" s="138"/>
      <c r="D178" s="137"/>
      <c r="E178" s="135"/>
      <c r="F178" s="136"/>
      <c r="G178" s="135"/>
      <c r="H178" s="142"/>
      <c r="I178" s="141"/>
      <c r="J178" s="141"/>
      <c r="K178" s="130" t="s">
        <v>64</v>
      </c>
      <c r="L178" s="121" t="s">
        <v>221</v>
      </c>
      <c r="M178" s="59">
        <v>1</v>
      </c>
      <c r="N178" s="123"/>
      <c r="O178" s="124">
        <f t="shared" si="36"/>
        <v>0</v>
      </c>
      <c r="P178" s="124">
        <f t="shared" si="37"/>
        <v>0</v>
      </c>
      <c r="Q178" s="124">
        <f t="shared" si="43"/>
        <v>0</v>
      </c>
      <c r="R178" s="124">
        <v>95000</v>
      </c>
      <c r="S178" s="124">
        <f t="shared" si="39"/>
        <v>95000</v>
      </c>
      <c r="T178" s="124">
        <f t="shared" si="40"/>
        <v>18050</v>
      </c>
      <c r="U178" s="124">
        <f t="shared" si="41"/>
        <v>113050</v>
      </c>
      <c r="V178" s="127">
        <f>+U178+Q178</f>
        <v>113050</v>
      </c>
      <c r="W178" s="139"/>
      <c r="X178" s="140"/>
    </row>
    <row r="179" spans="1:24" ht="25.5" customHeight="1">
      <c r="A179" s="1"/>
      <c r="B179" s="1"/>
      <c r="C179" s="138"/>
      <c r="D179" s="137"/>
      <c r="E179" s="135"/>
      <c r="F179" s="136"/>
      <c r="G179" s="135"/>
      <c r="H179" s="142"/>
      <c r="I179" s="141"/>
      <c r="J179" s="141"/>
      <c r="K179" s="130" t="s">
        <v>64</v>
      </c>
      <c r="L179" s="121" t="s">
        <v>222</v>
      </c>
      <c r="M179" s="59">
        <v>1</v>
      </c>
      <c r="N179" s="123"/>
      <c r="O179" s="124">
        <f t="shared" si="36"/>
        <v>0</v>
      </c>
      <c r="P179" s="124">
        <f t="shared" si="37"/>
        <v>0</v>
      </c>
      <c r="Q179" s="124">
        <f t="shared" si="43"/>
        <v>0</v>
      </c>
      <c r="R179" s="124">
        <v>136500</v>
      </c>
      <c r="S179" s="124">
        <f t="shared" si="39"/>
        <v>136500</v>
      </c>
      <c r="T179" s="124">
        <f t="shared" si="40"/>
        <v>25935</v>
      </c>
      <c r="U179" s="124">
        <f t="shared" si="41"/>
        <v>162435</v>
      </c>
      <c r="V179" s="127">
        <f>+U179+Q179</f>
        <v>162435</v>
      </c>
      <c r="W179" s="139"/>
      <c r="X179" s="140"/>
    </row>
    <row r="180" spans="1:24" ht="25.5" customHeight="1">
      <c r="A180" s="1"/>
      <c r="B180" s="1"/>
      <c r="C180" s="138"/>
      <c r="D180" s="137"/>
      <c r="E180" s="135"/>
      <c r="F180" s="136"/>
      <c r="G180" s="135"/>
      <c r="H180" s="142"/>
      <c r="I180" s="141"/>
      <c r="J180" s="141"/>
      <c r="K180" s="130" t="s">
        <v>64</v>
      </c>
      <c r="L180" s="121" t="s">
        <v>139</v>
      </c>
      <c r="M180" s="59">
        <v>1</v>
      </c>
      <c r="N180" s="123"/>
      <c r="O180" s="124">
        <f t="shared" si="36"/>
        <v>0</v>
      </c>
      <c r="P180" s="124">
        <f t="shared" si="37"/>
        <v>0</v>
      </c>
      <c r="Q180" s="124">
        <f t="shared" si="43"/>
        <v>0</v>
      </c>
      <c r="R180" s="124">
        <v>65000</v>
      </c>
      <c r="S180" s="124">
        <f t="shared" si="39"/>
        <v>65000</v>
      </c>
      <c r="T180" s="124">
        <f t="shared" si="40"/>
        <v>12350</v>
      </c>
      <c r="U180" s="124">
        <f t="shared" si="41"/>
        <v>77350</v>
      </c>
      <c r="V180" s="127">
        <f>+U180+Q180</f>
        <v>77350</v>
      </c>
      <c r="W180" s="139"/>
      <c r="X180" s="140"/>
    </row>
    <row r="181" spans="1:24" ht="25.5" customHeight="1">
      <c r="A181" s="1"/>
      <c r="B181" s="1"/>
      <c r="C181" s="138"/>
      <c r="D181" s="137"/>
      <c r="E181" s="135"/>
      <c r="F181" s="136"/>
      <c r="G181" s="135"/>
      <c r="H181" s="142"/>
      <c r="I181" s="141"/>
      <c r="J181" s="141"/>
      <c r="K181" s="130" t="s">
        <v>78</v>
      </c>
      <c r="L181" s="121" t="s">
        <v>223</v>
      </c>
      <c r="M181" s="59">
        <v>1</v>
      </c>
      <c r="N181" s="123"/>
      <c r="O181" s="124">
        <f t="shared" si="36"/>
        <v>0</v>
      </c>
      <c r="P181" s="124">
        <f t="shared" si="37"/>
        <v>0</v>
      </c>
      <c r="Q181" s="124">
        <f t="shared" si="43"/>
        <v>0</v>
      </c>
      <c r="R181" s="124">
        <v>201080</v>
      </c>
      <c r="S181" s="124">
        <f t="shared" si="39"/>
        <v>201080</v>
      </c>
      <c r="T181" s="124">
        <f t="shared" si="40"/>
        <v>38205.199999999997</v>
      </c>
      <c r="U181" s="124">
        <f t="shared" si="41"/>
        <v>239285.2</v>
      </c>
      <c r="V181" s="127">
        <f>+U181+Q181</f>
        <v>239285.2</v>
      </c>
      <c r="W181" s="139"/>
      <c r="X181" s="140"/>
    </row>
    <row r="182" spans="1:24" ht="25.5" customHeight="1">
      <c r="A182" s="1"/>
      <c r="B182" s="1"/>
      <c r="C182" s="138"/>
      <c r="D182" s="137"/>
      <c r="E182" s="135"/>
      <c r="F182" s="136"/>
      <c r="G182" s="135"/>
      <c r="H182" s="142"/>
      <c r="I182" s="141"/>
      <c r="J182" s="141"/>
      <c r="K182" s="130" t="s">
        <v>78</v>
      </c>
      <c r="L182" s="121" t="s">
        <v>224</v>
      </c>
      <c r="M182" s="59">
        <v>1</v>
      </c>
      <c r="N182" s="123"/>
      <c r="O182" s="124">
        <f t="shared" si="36"/>
        <v>0</v>
      </c>
      <c r="P182" s="124">
        <f t="shared" si="37"/>
        <v>0</v>
      </c>
      <c r="Q182" s="124">
        <f t="shared" si="43"/>
        <v>0</v>
      </c>
      <c r="R182" s="124">
        <v>34941</v>
      </c>
      <c r="S182" s="124">
        <f t="shared" si="39"/>
        <v>34941</v>
      </c>
      <c r="T182" s="124">
        <f t="shared" si="40"/>
        <v>6638.79</v>
      </c>
      <c r="U182" s="124">
        <f t="shared" si="41"/>
        <v>41579.79</v>
      </c>
      <c r="V182" s="127">
        <f>+U182+Q182</f>
        <v>41579.79</v>
      </c>
      <c r="W182" s="139"/>
      <c r="X182" s="140"/>
    </row>
    <row r="183" spans="1:24" ht="25.5" customHeight="1">
      <c r="A183" s="1"/>
      <c r="B183" s="1"/>
      <c r="C183" s="138"/>
      <c r="D183" s="137"/>
      <c r="E183" s="135"/>
      <c r="F183" s="136"/>
      <c r="G183" s="135"/>
      <c r="H183" s="142"/>
      <c r="I183" s="141"/>
      <c r="J183" s="141"/>
      <c r="K183" s="130" t="s">
        <v>64</v>
      </c>
      <c r="L183" s="121" t="s">
        <v>225</v>
      </c>
      <c r="M183" s="59">
        <v>1</v>
      </c>
      <c r="N183" s="123"/>
      <c r="O183" s="124">
        <f t="shared" si="36"/>
        <v>0</v>
      </c>
      <c r="P183" s="124">
        <f t="shared" si="37"/>
        <v>0</v>
      </c>
      <c r="Q183" s="124">
        <f t="shared" si="43"/>
        <v>0</v>
      </c>
      <c r="R183" s="124">
        <v>65000</v>
      </c>
      <c r="S183" s="124">
        <f t="shared" si="39"/>
        <v>65000</v>
      </c>
      <c r="T183" s="124">
        <f t="shared" si="40"/>
        <v>12350</v>
      </c>
      <c r="U183" s="124">
        <f t="shared" si="41"/>
        <v>77350</v>
      </c>
      <c r="V183" s="127">
        <f t="shared" si="42"/>
        <v>77350</v>
      </c>
      <c r="W183" s="139"/>
      <c r="X183" s="140"/>
    </row>
    <row r="184" spans="1:24" ht="25.5" customHeight="1">
      <c r="A184" s="1"/>
      <c r="B184" s="1"/>
      <c r="C184" s="131"/>
      <c r="D184" s="131"/>
      <c r="E184" s="131"/>
      <c r="F184" s="128"/>
      <c r="G184" s="129"/>
      <c r="H184" s="132"/>
      <c r="I184" s="133"/>
      <c r="J184" s="134"/>
      <c r="K184" s="86"/>
      <c r="L184" s="121"/>
      <c r="M184" s="59"/>
      <c r="N184" s="123"/>
      <c r="O184" s="124">
        <f t="shared" si="36"/>
        <v>0</v>
      </c>
      <c r="P184" s="124">
        <f t="shared" si="37"/>
        <v>0</v>
      </c>
      <c r="Q184" s="124">
        <f t="shared" si="43"/>
        <v>0</v>
      </c>
      <c r="R184" s="124"/>
      <c r="S184" s="124">
        <f t="shared" si="39"/>
        <v>0</v>
      </c>
      <c r="T184" s="124">
        <f t="shared" si="40"/>
        <v>0</v>
      </c>
      <c r="U184" s="124">
        <f t="shared" si="41"/>
        <v>0</v>
      </c>
      <c r="V184" s="123">
        <f t="shared" si="42"/>
        <v>0</v>
      </c>
    </row>
    <row r="185" spans="1:24" ht="25.5" customHeight="1">
      <c r="A185" s="1"/>
      <c r="B185" s="1"/>
      <c r="C185" s="12"/>
      <c r="D185" s="12"/>
      <c r="E185" s="12"/>
      <c r="F185" s="13"/>
      <c r="G185" s="14"/>
      <c r="H185" s="55"/>
      <c r="I185" s="56"/>
      <c r="J185" s="57"/>
      <c r="K185" s="86"/>
      <c r="L185" s="121"/>
      <c r="M185" s="59"/>
      <c r="N185" s="123"/>
      <c r="O185" s="124">
        <f t="shared" si="36"/>
        <v>0</v>
      </c>
      <c r="P185" s="124">
        <f t="shared" si="37"/>
        <v>0</v>
      </c>
      <c r="Q185" s="124">
        <f t="shared" si="43"/>
        <v>0</v>
      </c>
      <c r="R185" s="124"/>
      <c r="S185" s="124">
        <f t="shared" si="39"/>
        <v>0</v>
      </c>
      <c r="T185" s="124">
        <f t="shared" si="40"/>
        <v>0</v>
      </c>
      <c r="U185" s="124">
        <f t="shared" si="41"/>
        <v>0</v>
      </c>
      <c r="V185" s="123">
        <f t="shared" si="42"/>
        <v>0</v>
      </c>
    </row>
    <row r="186" spans="1:24" ht="25.5" customHeight="1">
      <c r="A186" s="1"/>
      <c r="B186" s="1"/>
      <c r="C186" s="12"/>
      <c r="D186" s="12"/>
      <c r="E186" s="12"/>
      <c r="F186" s="13"/>
      <c r="G186" s="14"/>
      <c r="H186" s="55"/>
      <c r="I186" s="56"/>
      <c r="J186" s="57"/>
      <c r="K186" s="86"/>
      <c r="L186" s="121"/>
      <c r="M186" s="59"/>
      <c r="N186" s="123"/>
      <c r="O186" s="124">
        <f t="shared" si="36"/>
        <v>0</v>
      </c>
      <c r="P186" s="124">
        <f t="shared" si="37"/>
        <v>0</v>
      </c>
      <c r="Q186" s="124">
        <f t="shared" si="43"/>
        <v>0</v>
      </c>
      <c r="R186" s="124"/>
      <c r="S186" s="124">
        <f t="shared" si="39"/>
        <v>0</v>
      </c>
      <c r="T186" s="124">
        <f t="shared" si="40"/>
        <v>0</v>
      </c>
      <c r="U186" s="124">
        <f t="shared" si="41"/>
        <v>0</v>
      </c>
      <c r="V186" s="123">
        <f t="shared" si="42"/>
        <v>0</v>
      </c>
    </row>
    <row r="187" spans="1:24" ht="25.5" customHeight="1">
      <c r="A187" s="1"/>
      <c r="B187" s="1"/>
      <c r="C187" s="12"/>
      <c r="D187" s="12"/>
      <c r="E187" s="12"/>
      <c r="F187" s="13"/>
      <c r="G187" s="14"/>
      <c r="H187" s="55"/>
      <c r="I187" s="56"/>
      <c r="J187" s="57"/>
      <c r="K187" s="86"/>
      <c r="L187" s="121"/>
      <c r="M187" s="59"/>
      <c r="N187" s="123"/>
      <c r="O187" s="124">
        <f t="shared" si="36"/>
        <v>0</v>
      </c>
      <c r="P187" s="124">
        <f t="shared" si="37"/>
        <v>0</v>
      </c>
      <c r="Q187" s="124">
        <f t="shared" si="43"/>
        <v>0</v>
      </c>
      <c r="R187" s="124"/>
      <c r="S187" s="124">
        <f t="shared" si="39"/>
        <v>0</v>
      </c>
      <c r="T187" s="124">
        <f t="shared" si="40"/>
        <v>0</v>
      </c>
      <c r="U187" s="124">
        <f t="shared" si="41"/>
        <v>0</v>
      </c>
      <c r="V187" s="123">
        <f t="shared" si="42"/>
        <v>0</v>
      </c>
    </row>
    <row r="188" spans="1:24" ht="25.5" customHeight="1">
      <c r="A188" s="1"/>
      <c r="B188" s="1"/>
      <c r="C188" s="12"/>
      <c r="D188" s="12"/>
      <c r="E188" s="12"/>
      <c r="F188" s="13"/>
      <c r="G188" s="14"/>
      <c r="H188" s="55"/>
      <c r="I188" s="56"/>
      <c r="J188" s="57"/>
      <c r="K188" s="86"/>
      <c r="L188" s="121"/>
      <c r="M188" s="59"/>
      <c r="N188" s="123"/>
      <c r="O188" s="124">
        <f t="shared" si="36"/>
        <v>0</v>
      </c>
      <c r="P188" s="124">
        <f t="shared" si="37"/>
        <v>0</v>
      </c>
      <c r="Q188" s="124">
        <f t="shared" si="43"/>
        <v>0</v>
      </c>
      <c r="R188" s="124"/>
      <c r="S188" s="124">
        <f t="shared" si="39"/>
        <v>0</v>
      </c>
      <c r="T188" s="124">
        <f t="shared" si="40"/>
        <v>0</v>
      </c>
      <c r="U188" s="124">
        <f t="shared" si="41"/>
        <v>0</v>
      </c>
      <c r="V188" s="123">
        <f t="shared" si="42"/>
        <v>0</v>
      </c>
    </row>
    <row r="189" spans="1:24" ht="25.5" customHeight="1">
      <c r="A189" s="1"/>
      <c r="B189" s="1"/>
      <c r="C189" s="12"/>
      <c r="D189" s="12"/>
      <c r="E189" s="12"/>
      <c r="F189" s="13"/>
      <c r="G189" s="14"/>
      <c r="H189" s="55"/>
      <c r="I189" s="56"/>
      <c r="J189" s="57"/>
      <c r="K189" s="86"/>
      <c r="L189" s="121"/>
      <c r="M189" s="59"/>
      <c r="N189" s="123"/>
      <c r="O189" s="124">
        <f t="shared" si="36"/>
        <v>0</v>
      </c>
      <c r="P189" s="124">
        <f t="shared" si="37"/>
        <v>0</v>
      </c>
      <c r="Q189" s="124">
        <f t="shared" si="43"/>
        <v>0</v>
      </c>
      <c r="R189" s="124"/>
      <c r="S189" s="124">
        <f t="shared" si="39"/>
        <v>0</v>
      </c>
      <c r="T189" s="124">
        <f t="shared" si="40"/>
        <v>0</v>
      </c>
      <c r="U189" s="124">
        <f t="shared" si="41"/>
        <v>0</v>
      </c>
      <c r="V189" s="123">
        <f t="shared" si="42"/>
        <v>0</v>
      </c>
    </row>
    <row r="190" spans="1:24" ht="25.5" customHeight="1">
      <c r="A190" s="1"/>
      <c r="B190" s="1"/>
      <c r="C190" s="12"/>
      <c r="D190" s="12"/>
      <c r="E190" s="12"/>
      <c r="F190" s="13"/>
      <c r="G190" s="14"/>
      <c r="H190" s="55"/>
      <c r="I190" s="56"/>
      <c r="J190" s="57"/>
      <c r="K190" s="86"/>
      <c r="L190" s="121"/>
      <c r="M190" s="59"/>
      <c r="N190" s="123"/>
      <c r="O190" s="124">
        <f t="shared" si="36"/>
        <v>0</v>
      </c>
      <c r="P190" s="124">
        <f t="shared" si="37"/>
        <v>0</v>
      </c>
      <c r="Q190" s="124">
        <f t="shared" si="43"/>
        <v>0</v>
      </c>
      <c r="R190" s="124"/>
      <c r="S190" s="124">
        <f t="shared" si="39"/>
        <v>0</v>
      </c>
      <c r="T190" s="124">
        <f t="shared" si="40"/>
        <v>0</v>
      </c>
      <c r="U190" s="124">
        <f t="shared" si="41"/>
        <v>0</v>
      </c>
      <c r="V190" s="123">
        <f t="shared" si="42"/>
        <v>0</v>
      </c>
    </row>
    <row r="191" spans="1:24" ht="25.5" customHeight="1">
      <c r="A191" s="1"/>
      <c r="B191" s="1"/>
      <c r="C191" s="12"/>
      <c r="D191" s="12"/>
      <c r="E191" s="12"/>
      <c r="F191" s="13"/>
      <c r="G191" s="14"/>
      <c r="H191" s="55"/>
      <c r="I191" s="56"/>
      <c r="J191" s="57"/>
      <c r="K191" s="86"/>
      <c r="L191" s="121"/>
      <c r="M191" s="59"/>
      <c r="N191" s="123"/>
      <c r="O191" s="124">
        <f t="shared" si="36"/>
        <v>0</v>
      </c>
      <c r="P191" s="124">
        <f t="shared" si="37"/>
        <v>0</v>
      </c>
      <c r="Q191" s="124">
        <f t="shared" si="43"/>
        <v>0</v>
      </c>
      <c r="R191" s="124"/>
      <c r="S191" s="124">
        <f t="shared" si="39"/>
        <v>0</v>
      </c>
      <c r="T191" s="124">
        <f t="shared" si="40"/>
        <v>0</v>
      </c>
      <c r="U191" s="124">
        <f t="shared" si="41"/>
        <v>0</v>
      </c>
      <c r="V191" s="123">
        <f t="shared" si="42"/>
        <v>0</v>
      </c>
    </row>
    <row r="192" spans="1:24" ht="25.5" customHeight="1">
      <c r="A192" s="1"/>
      <c r="B192" s="1"/>
      <c r="C192" s="12"/>
      <c r="D192" s="12"/>
      <c r="E192" s="12"/>
      <c r="F192" s="13"/>
      <c r="G192" s="14"/>
      <c r="H192" s="55"/>
      <c r="I192" s="56"/>
      <c r="J192" s="57"/>
      <c r="K192" s="86"/>
      <c r="L192" s="121"/>
      <c r="M192" s="59"/>
      <c r="N192" s="123"/>
      <c r="O192" s="124">
        <f t="shared" si="36"/>
        <v>0</v>
      </c>
      <c r="P192" s="124">
        <f t="shared" si="37"/>
        <v>0</v>
      </c>
      <c r="Q192" s="124">
        <f t="shared" si="43"/>
        <v>0</v>
      </c>
      <c r="R192" s="124"/>
      <c r="S192" s="124">
        <f t="shared" si="39"/>
        <v>0</v>
      </c>
      <c r="T192" s="124">
        <f t="shared" si="40"/>
        <v>0</v>
      </c>
      <c r="U192" s="124">
        <f t="shared" si="41"/>
        <v>0</v>
      </c>
      <c r="V192" s="123">
        <f t="shared" si="42"/>
        <v>0</v>
      </c>
    </row>
    <row r="193" spans="1:22" ht="25.5" customHeight="1">
      <c r="A193" s="1"/>
      <c r="B193" s="1"/>
      <c r="C193" s="12"/>
      <c r="D193" s="12"/>
      <c r="E193" s="12"/>
      <c r="F193" s="13"/>
      <c r="G193" s="14"/>
      <c r="H193" s="55"/>
      <c r="I193" s="56"/>
      <c r="J193" s="57"/>
      <c r="K193" s="86"/>
      <c r="L193" s="121"/>
      <c r="M193" s="59"/>
      <c r="N193" s="123"/>
      <c r="O193" s="124">
        <f t="shared" si="36"/>
        <v>0</v>
      </c>
      <c r="P193" s="124">
        <f t="shared" si="37"/>
        <v>0</v>
      </c>
      <c r="Q193" s="124">
        <f t="shared" si="43"/>
        <v>0</v>
      </c>
      <c r="R193" s="124"/>
      <c r="S193" s="124">
        <f t="shared" si="39"/>
        <v>0</v>
      </c>
      <c r="T193" s="124">
        <f t="shared" si="40"/>
        <v>0</v>
      </c>
      <c r="U193" s="124">
        <f t="shared" si="41"/>
        <v>0</v>
      </c>
      <c r="V193" s="123">
        <f t="shared" si="42"/>
        <v>0</v>
      </c>
    </row>
    <row r="194" spans="1:22" ht="25.5" customHeight="1">
      <c r="A194" s="1"/>
      <c r="B194" s="1"/>
      <c r="C194" s="12"/>
      <c r="D194" s="12"/>
      <c r="E194" s="12"/>
      <c r="F194" s="13"/>
      <c r="G194" s="14"/>
      <c r="H194" s="55"/>
      <c r="I194" s="56"/>
      <c r="J194" s="57"/>
      <c r="K194" s="86"/>
      <c r="L194" s="121"/>
      <c r="M194" s="59"/>
      <c r="N194" s="123"/>
      <c r="O194" s="124">
        <f t="shared" si="36"/>
        <v>0</v>
      </c>
      <c r="P194" s="124">
        <f t="shared" si="37"/>
        <v>0</v>
      </c>
      <c r="Q194" s="124">
        <f t="shared" si="43"/>
        <v>0</v>
      </c>
      <c r="R194" s="124"/>
      <c r="S194" s="124">
        <f t="shared" si="39"/>
        <v>0</v>
      </c>
      <c r="T194" s="124">
        <f t="shared" si="40"/>
        <v>0</v>
      </c>
      <c r="U194" s="124">
        <f t="shared" si="41"/>
        <v>0</v>
      </c>
      <c r="V194" s="123">
        <f t="shared" si="42"/>
        <v>0</v>
      </c>
    </row>
    <row r="195" spans="1:22" ht="25.5" customHeight="1">
      <c r="A195" s="1"/>
      <c r="B195" s="1"/>
      <c r="C195" s="12"/>
      <c r="D195" s="12"/>
      <c r="E195" s="12"/>
      <c r="F195" s="13"/>
      <c r="G195" s="14"/>
      <c r="H195" s="55"/>
      <c r="I195" s="56"/>
      <c r="J195" s="57"/>
      <c r="K195" s="86"/>
      <c r="L195" s="121"/>
      <c r="M195" s="59"/>
      <c r="N195" s="123"/>
      <c r="O195" s="124">
        <f t="shared" si="36"/>
        <v>0</v>
      </c>
      <c r="P195" s="124">
        <f t="shared" si="37"/>
        <v>0</v>
      </c>
      <c r="Q195" s="124">
        <f t="shared" si="43"/>
        <v>0</v>
      </c>
      <c r="R195" s="124"/>
      <c r="S195" s="124">
        <f t="shared" si="39"/>
        <v>0</v>
      </c>
      <c r="T195" s="124">
        <f t="shared" si="40"/>
        <v>0</v>
      </c>
      <c r="U195" s="124">
        <f t="shared" si="41"/>
        <v>0</v>
      </c>
      <c r="V195" s="123">
        <f t="shared" si="42"/>
        <v>0</v>
      </c>
    </row>
    <row r="196" spans="1:22" ht="25.5" customHeight="1">
      <c r="A196" s="1"/>
      <c r="B196" s="1"/>
      <c r="C196" s="12"/>
      <c r="D196" s="12"/>
      <c r="E196" s="12"/>
      <c r="F196" s="13"/>
      <c r="G196" s="14"/>
      <c r="H196" s="55"/>
      <c r="I196" s="56"/>
      <c r="J196" s="57"/>
      <c r="K196" s="86"/>
      <c r="L196" s="121"/>
      <c r="M196" s="59"/>
      <c r="N196" s="123"/>
      <c r="O196" s="124">
        <f t="shared" si="36"/>
        <v>0</v>
      </c>
      <c r="P196" s="124">
        <f t="shared" si="37"/>
        <v>0</v>
      </c>
      <c r="Q196" s="124">
        <f t="shared" si="43"/>
        <v>0</v>
      </c>
      <c r="R196" s="124"/>
      <c r="S196" s="124">
        <f t="shared" si="39"/>
        <v>0</v>
      </c>
      <c r="T196" s="124">
        <f t="shared" si="40"/>
        <v>0</v>
      </c>
      <c r="U196" s="124">
        <f t="shared" si="41"/>
        <v>0</v>
      </c>
      <c r="V196" s="123">
        <f t="shared" si="42"/>
        <v>0</v>
      </c>
    </row>
    <row r="197" spans="1:22" ht="25.5" customHeight="1">
      <c r="A197" s="1"/>
      <c r="B197" s="1"/>
      <c r="C197" s="12"/>
      <c r="D197" s="12"/>
      <c r="E197" s="12"/>
      <c r="F197" s="13"/>
      <c r="G197" s="14"/>
      <c r="H197" s="55"/>
      <c r="I197" s="56"/>
      <c r="J197" s="57"/>
      <c r="K197" s="86"/>
      <c r="L197" s="121"/>
      <c r="M197" s="59"/>
      <c r="N197" s="123"/>
      <c r="O197" s="124">
        <f t="shared" si="36"/>
        <v>0</v>
      </c>
      <c r="P197" s="124">
        <f t="shared" si="37"/>
        <v>0</v>
      </c>
      <c r="Q197" s="124">
        <f t="shared" si="43"/>
        <v>0</v>
      </c>
      <c r="R197" s="124"/>
      <c r="S197" s="124">
        <f t="shared" si="39"/>
        <v>0</v>
      </c>
      <c r="T197" s="124">
        <f t="shared" si="40"/>
        <v>0</v>
      </c>
      <c r="U197" s="124">
        <f t="shared" si="41"/>
        <v>0</v>
      </c>
      <c r="V197" s="123">
        <f t="shared" si="42"/>
        <v>0</v>
      </c>
    </row>
    <row r="198" spans="1:22" ht="25.5" customHeight="1">
      <c r="A198" s="1"/>
      <c r="B198" s="1"/>
      <c r="C198" s="12"/>
      <c r="D198" s="12"/>
      <c r="E198" s="12"/>
      <c r="F198" s="13"/>
      <c r="G198" s="14"/>
      <c r="H198" s="55"/>
      <c r="I198" s="56"/>
      <c r="J198" s="57"/>
      <c r="K198" s="86"/>
      <c r="L198" s="121"/>
      <c r="M198" s="59"/>
      <c r="N198" s="123"/>
      <c r="O198" s="124">
        <f t="shared" si="36"/>
        <v>0</v>
      </c>
      <c r="P198" s="124">
        <f t="shared" si="37"/>
        <v>0</v>
      </c>
      <c r="Q198" s="124">
        <f t="shared" si="43"/>
        <v>0</v>
      </c>
      <c r="R198" s="124"/>
      <c r="S198" s="124">
        <f t="shared" si="39"/>
        <v>0</v>
      </c>
      <c r="T198" s="124">
        <f t="shared" si="40"/>
        <v>0</v>
      </c>
      <c r="U198" s="124">
        <f t="shared" si="41"/>
        <v>0</v>
      </c>
      <c r="V198" s="123">
        <f t="shared" si="42"/>
        <v>0</v>
      </c>
    </row>
    <row r="199" spans="1:22" ht="25.5" customHeight="1">
      <c r="A199" s="1"/>
      <c r="B199" s="1"/>
      <c r="C199" s="12"/>
      <c r="D199" s="12"/>
      <c r="E199" s="12"/>
      <c r="F199" s="13"/>
      <c r="G199" s="14"/>
      <c r="H199" s="55"/>
      <c r="I199" s="56"/>
      <c r="J199" s="57"/>
      <c r="K199" s="86"/>
      <c r="L199" s="121"/>
      <c r="M199" s="59"/>
      <c r="N199" s="123"/>
      <c r="O199" s="124">
        <f t="shared" si="36"/>
        <v>0</v>
      </c>
      <c r="P199" s="124">
        <f t="shared" si="37"/>
        <v>0</v>
      </c>
      <c r="Q199" s="124">
        <f t="shared" si="43"/>
        <v>0</v>
      </c>
      <c r="R199" s="124"/>
      <c r="S199" s="124">
        <f t="shared" si="39"/>
        <v>0</v>
      </c>
      <c r="T199" s="124">
        <f t="shared" si="40"/>
        <v>0</v>
      </c>
      <c r="U199" s="124">
        <f t="shared" si="41"/>
        <v>0</v>
      </c>
      <c r="V199" s="123">
        <f t="shared" si="42"/>
        <v>0</v>
      </c>
    </row>
    <row r="200" spans="1:22" ht="25.5" customHeight="1">
      <c r="A200" s="1"/>
      <c r="B200" s="1"/>
      <c r="C200" s="12"/>
      <c r="D200" s="12"/>
      <c r="E200" s="12"/>
      <c r="F200" s="13"/>
      <c r="G200" s="14"/>
      <c r="H200" s="55"/>
      <c r="I200" s="56"/>
      <c r="J200" s="57"/>
      <c r="K200" s="86"/>
      <c r="L200" s="121"/>
      <c r="M200" s="59"/>
      <c r="N200" s="123">
        <v>0</v>
      </c>
      <c r="O200" s="124">
        <f t="shared" si="36"/>
        <v>0</v>
      </c>
      <c r="P200" s="124">
        <f t="shared" si="37"/>
        <v>0</v>
      </c>
      <c r="Q200" s="124">
        <f t="shared" si="43"/>
        <v>0</v>
      </c>
      <c r="R200" s="124">
        <v>0</v>
      </c>
      <c r="S200" s="124">
        <f t="shared" si="39"/>
        <v>0</v>
      </c>
      <c r="T200" s="124">
        <f t="shared" si="40"/>
        <v>0</v>
      </c>
      <c r="U200" s="124">
        <f t="shared" si="41"/>
        <v>0</v>
      </c>
      <c r="V200" s="123">
        <f t="shared" si="42"/>
        <v>0</v>
      </c>
    </row>
    <row r="201" spans="1:22" ht="25.5" customHeight="1">
      <c r="A201" s="1"/>
      <c r="B201" s="1"/>
      <c r="C201" s="12"/>
      <c r="D201" s="12"/>
      <c r="E201" s="12"/>
      <c r="F201" s="13"/>
      <c r="G201" s="14"/>
      <c r="H201" s="55"/>
      <c r="I201" s="56"/>
      <c r="J201" s="57"/>
      <c r="K201" s="86"/>
      <c r="L201" s="121"/>
      <c r="M201" s="59"/>
      <c r="N201" s="123">
        <v>0</v>
      </c>
      <c r="O201" s="124">
        <f t="shared" si="36"/>
        <v>0</v>
      </c>
      <c r="P201" s="124">
        <f t="shared" si="37"/>
        <v>0</v>
      </c>
      <c r="Q201" s="124">
        <f t="shared" si="43"/>
        <v>0</v>
      </c>
      <c r="R201" s="124">
        <v>0</v>
      </c>
      <c r="S201" s="124">
        <f t="shared" si="39"/>
        <v>0</v>
      </c>
      <c r="T201" s="124">
        <f t="shared" si="40"/>
        <v>0</v>
      </c>
      <c r="U201" s="124">
        <f t="shared" si="41"/>
        <v>0</v>
      </c>
      <c r="V201" s="123">
        <f t="shared" si="42"/>
        <v>0</v>
      </c>
    </row>
    <row r="202" spans="1:22" ht="25.5" customHeight="1">
      <c r="A202" s="1"/>
      <c r="B202" s="1"/>
      <c r="C202" s="12"/>
      <c r="D202" s="12"/>
      <c r="E202" s="12"/>
      <c r="F202" s="13"/>
      <c r="G202" s="14"/>
      <c r="H202" s="55"/>
      <c r="I202" s="56"/>
      <c r="J202" s="57"/>
      <c r="K202" s="86"/>
      <c r="L202" s="121"/>
      <c r="M202" s="59"/>
      <c r="N202" s="123">
        <v>0</v>
      </c>
      <c r="O202" s="124">
        <f t="shared" si="36"/>
        <v>0</v>
      </c>
      <c r="P202" s="124">
        <f t="shared" si="37"/>
        <v>0</v>
      </c>
      <c r="Q202" s="124">
        <f t="shared" si="43"/>
        <v>0</v>
      </c>
      <c r="R202" s="124">
        <v>0</v>
      </c>
      <c r="S202" s="124">
        <f t="shared" si="39"/>
        <v>0</v>
      </c>
      <c r="T202" s="124">
        <f t="shared" si="40"/>
        <v>0</v>
      </c>
      <c r="U202" s="124">
        <f t="shared" si="41"/>
        <v>0</v>
      </c>
      <c r="V202" s="123">
        <f t="shared" si="42"/>
        <v>0</v>
      </c>
    </row>
    <row r="203" spans="1:22" ht="25.5" customHeight="1">
      <c r="A203" s="1"/>
      <c r="B203" s="1"/>
      <c r="C203" s="12"/>
      <c r="D203" s="12"/>
      <c r="E203" s="12"/>
      <c r="F203" s="13"/>
      <c r="G203" s="14"/>
      <c r="H203" s="55"/>
      <c r="I203" s="56"/>
      <c r="J203" s="57"/>
      <c r="K203" s="86"/>
      <c r="L203" s="121"/>
      <c r="M203" s="59"/>
      <c r="N203" s="123">
        <v>0</v>
      </c>
      <c r="O203" s="124">
        <f t="shared" si="36"/>
        <v>0</v>
      </c>
      <c r="P203" s="124">
        <f t="shared" si="37"/>
        <v>0</v>
      </c>
      <c r="Q203" s="124">
        <f t="shared" si="43"/>
        <v>0</v>
      </c>
      <c r="R203" s="124">
        <v>0</v>
      </c>
      <c r="S203" s="124">
        <f t="shared" si="39"/>
        <v>0</v>
      </c>
      <c r="T203" s="124">
        <f t="shared" si="40"/>
        <v>0</v>
      </c>
      <c r="U203" s="124">
        <f t="shared" si="41"/>
        <v>0</v>
      </c>
      <c r="V203" s="123">
        <f t="shared" si="42"/>
        <v>0</v>
      </c>
    </row>
    <row r="204" spans="1:22" ht="25.5" customHeight="1">
      <c r="A204" s="1"/>
      <c r="B204" s="1"/>
      <c r="C204" s="201" t="s">
        <v>226</v>
      </c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</row>
    <row r="205" spans="1:22" ht="25.5" customHeight="1">
      <c r="A205" s="1"/>
      <c r="B205" s="1"/>
      <c r="H205"/>
      <c r="K205"/>
      <c r="L205"/>
      <c r="M205"/>
    </row>
    <row r="206" spans="1:22" ht="25.5" customHeight="1">
      <c r="A206" s="1"/>
      <c r="B206" s="1"/>
      <c r="H206"/>
      <c r="K206"/>
      <c r="L206"/>
      <c r="M206"/>
    </row>
    <row r="207" spans="1:22" ht="25.5" customHeight="1">
      <c r="A207" s="1"/>
      <c r="B207" s="1"/>
      <c r="H207"/>
      <c r="K207"/>
      <c r="L207"/>
      <c r="M207"/>
    </row>
    <row r="208" spans="1:22" ht="25.5" customHeight="1">
      <c r="A208" s="1"/>
      <c r="B208" s="1"/>
      <c r="H208"/>
      <c r="K208"/>
      <c r="L208"/>
      <c r="M208"/>
    </row>
    <row r="209" spans="1:13" ht="25.5" customHeight="1">
      <c r="A209" s="1"/>
      <c r="B209" s="1"/>
      <c r="H209"/>
      <c r="K209"/>
      <c r="L209"/>
      <c r="M209"/>
    </row>
    <row r="210" spans="1:13" ht="25.5" customHeight="1">
      <c r="A210" s="1"/>
      <c r="B210" s="1"/>
      <c r="H210"/>
      <c r="K210"/>
      <c r="L210"/>
      <c r="M210"/>
    </row>
    <row r="211" spans="1:13" ht="25.5" customHeight="1">
      <c r="A211" s="1"/>
      <c r="B211" s="1"/>
      <c r="H211"/>
      <c r="K211"/>
      <c r="L211"/>
      <c r="M211"/>
    </row>
    <row r="212" spans="1:13" ht="25.5" customHeight="1">
      <c r="A212" s="1"/>
      <c r="B212" s="1"/>
      <c r="H212"/>
      <c r="K212"/>
      <c r="L212"/>
      <c r="M212"/>
    </row>
    <row r="213" spans="1:13" ht="25.5" customHeight="1">
      <c r="A213" s="1"/>
      <c r="B213" s="1"/>
      <c r="H213"/>
      <c r="K213"/>
      <c r="L213"/>
      <c r="M213"/>
    </row>
    <row r="214" spans="1:13" ht="25.5" customHeight="1">
      <c r="A214" s="1"/>
      <c r="B214" s="1"/>
      <c r="H214"/>
      <c r="K214"/>
      <c r="L214"/>
      <c r="M214"/>
    </row>
    <row r="215" spans="1:13" ht="25.5" customHeight="1">
      <c r="A215" s="1"/>
      <c r="B215" s="1"/>
      <c r="H215"/>
      <c r="K215"/>
      <c r="L215"/>
      <c r="M215"/>
    </row>
    <row r="216" spans="1:13" ht="25.5" customHeight="1">
      <c r="A216" s="1"/>
      <c r="B216" s="1"/>
      <c r="H216"/>
      <c r="K216"/>
      <c r="L216"/>
      <c r="M216"/>
    </row>
    <row r="217" spans="1:13" ht="25.5" customHeight="1">
      <c r="A217" s="1"/>
      <c r="B217" s="1"/>
      <c r="H217"/>
      <c r="K217"/>
      <c r="L217"/>
      <c r="M217"/>
    </row>
    <row r="218" spans="1:13" ht="25.5" customHeight="1">
      <c r="A218" s="1"/>
      <c r="B218" s="1"/>
      <c r="H218"/>
      <c r="K218"/>
      <c r="L218"/>
      <c r="M218"/>
    </row>
    <row r="219" spans="1:13" ht="25.5" customHeight="1">
      <c r="A219" s="1"/>
      <c r="B219" s="1"/>
      <c r="H219"/>
      <c r="K219"/>
      <c r="L219"/>
      <c r="M219"/>
    </row>
    <row r="220" spans="1:13" ht="25.5" customHeight="1">
      <c r="A220" s="1"/>
      <c r="B220" s="1"/>
      <c r="H220"/>
      <c r="K220"/>
      <c r="L220"/>
      <c r="M220"/>
    </row>
    <row r="221" spans="1:13" ht="25.5" customHeight="1">
      <c r="A221" s="1"/>
      <c r="B221" s="1"/>
      <c r="H221"/>
      <c r="K221"/>
      <c r="L221"/>
      <c r="M221"/>
    </row>
    <row r="222" spans="1:13" ht="25.5" customHeight="1">
      <c r="A222" s="1"/>
      <c r="B222" s="1"/>
      <c r="H222"/>
      <c r="K222"/>
      <c r="L222"/>
      <c r="M222"/>
    </row>
    <row r="223" spans="1:13" ht="25.5" customHeight="1">
      <c r="A223" s="1"/>
      <c r="B223" s="1"/>
      <c r="C223" s="104"/>
      <c r="H223"/>
      <c r="K223"/>
      <c r="L223"/>
      <c r="M223"/>
    </row>
    <row r="224" spans="1:13" ht="25.5" customHeight="1">
      <c r="A224" s="1"/>
      <c r="B224" s="1"/>
      <c r="C224" s="104"/>
      <c r="H224"/>
      <c r="K224"/>
      <c r="L224"/>
      <c r="M224"/>
    </row>
    <row r="225" spans="1:13" ht="25.5" customHeight="1">
      <c r="A225" s="1"/>
      <c r="B225" s="1"/>
      <c r="C225" s="104"/>
      <c r="H225"/>
      <c r="K225"/>
      <c r="L225"/>
      <c r="M225"/>
    </row>
    <row r="226" spans="1:13" ht="25.5" customHeight="1">
      <c r="A226" s="1"/>
      <c r="B226" s="1"/>
      <c r="C226" s="104"/>
      <c r="H226"/>
      <c r="K226"/>
      <c r="L226"/>
      <c r="M226"/>
    </row>
    <row r="227" spans="1:13" ht="25.5" customHeight="1">
      <c r="A227" s="1"/>
      <c r="B227" s="1"/>
      <c r="C227" s="104"/>
      <c r="H227"/>
      <c r="K227"/>
      <c r="L227"/>
      <c r="M227"/>
    </row>
    <row r="228" spans="1:13" ht="25.5" customHeight="1">
      <c r="A228" s="1"/>
      <c r="B228" s="1"/>
      <c r="C228" s="104"/>
      <c r="H228"/>
      <c r="K228"/>
      <c r="L228"/>
      <c r="M228"/>
    </row>
    <row r="229" spans="1:13" ht="25.5" customHeight="1">
      <c r="A229" s="1"/>
      <c r="B229" s="1"/>
      <c r="C229" s="104"/>
      <c r="H229"/>
      <c r="K229"/>
      <c r="L229"/>
      <c r="M229"/>
    </row>
    <row r="230" spans="1:13" ht="25.5" customHeight="1">
      <c r="A230" s="1"/>
      <c r="B230" s="1"/>
      <c r="C230" s="104"/>
      <c r="H230"/>
      <c r="K230"/>
      <c r="L230"/>
      <c r="M230"/>
    </row>
    <row r="231" spans="1:13" ht="25.5" customHeight="1">
      <c r="A231" s="1"/>
      <c r="B231" s="1"/>
      <c r="C231" s="104"/>
      <c r="H231"/>
      <c r="K231"/>
      <c r="L231"/>
      <c r="M231"/>
    </row>
    <row r="232" spans="1:13" ht="25.5" customHeight="1">
      <c r="A232" s="1"/>
      <c r="B232" s="1"/>
      <c r="C232" s="104"/>
      <c r="H232"/>
      <c r="K232"/>
      <c r="L232"/>
      <c r="M232"/>
    </row>
    <row r="233" spans="1:13" ht="25.5" customHeight="1">
      <c r="A233" s="1"/>
      <c r="B233" s="1"/>
      <c r="C233" s="104"/>
      <c r="H233"/>
      <c r="K233"/>
      <c r="L233"/>
      <c r="M233"/>
    </row>
    <row r="234" spans="1:13" ht="25.5" customHeight="1">
      <c r="A234" s="1"/>
      <c r="B234" s="1"/>
      <c r="C234" s="104"/>
      <c r="H234"/>
      <c r="K234"/>
      <c r="L234"/>
      <c r="M234"/>
    </row>
    <row r="235" spans="1:13" ht="25.5" customHeight="1">
      <c r="A235" s="1"/>
      <c r="B235" s="1"/>
      <c r="C235" s="104"/>
      <c r="H235"/>
      <c r="K235"/>
      <c r="L235"/>
      <c r="M235"/>
    </row>
    <row r="236" spans="1:13" ht="25.5" customHeight="1">
      <c r="A236" s="1"/>
      <c r="B236" s="1"/>
      <c r="C236" s="104"/>
      <c r="H236"/>
      <c r="K236"/>
      <c r="L236"/>
      <c r="M236"/>
    </row>
    <row r="237" spans="1:13" ht="25.5" customHeight="1">
      <c r="A237" s="1"/>
      <c r="B237" s="1"/>
      <c r="C237" s="104"/>
      <c r="H237"/>
      <c r="K237"/>
      <c r="L237"/>
      <c r="M237"/>
    </row>
    <row r="238" spans="1:13" ht="25.5" customHeight="1">
      <c r="A238" s="1"/>
      <c r="B238" s="1"/>
      <c r="C238" s="104"/>
      <c r="H238"/>
      <c r="K238"/>
      <c r="L238"/>
      <c r="M238"/>
    </row>
    <row r="239" spans="1:13" ht="25.5" customHeight="1">
      <c r="A239" s="1"/>
      <c r="B239" s="1"/>
      <c r="C239" s="104"/>
      <c r="H239"/>
      <c r="K239"/>
      <c r="L239"/>
      <c r="M239"/>
    </row>
    <row r="240" spans="1:13" ht="25.5" customHeight="1">
      <c r="A240" s="1"/>
      <c r="B240" s="1"/>
      <c r="C240" s="104"/>
      <c r="H240"/>
      <c r="K240"/>
      <c r="L240"/>
      <c r="M240"/>
    </row>
    <row r="241" spans="1:13" ht="25.5" customHeight="1">
      <c r="A241" s="1"/>
      <c r="B241" s="1"/>
      <c r="C241" s="104"/>
      <c r="H241"/>
      <c r="K241"/>
      <c r="L241"/>
      <c r="M241"/>
    </row>
    <row r="242" spans="1:13" ht="25.5" customHeight="1">
      <c r="A242" s="1"/>
      <c r="B242" s="1"/>
      <c r="C242" s="104"/>
      <c r="H242"/>
      <c r="K242"/>
      <c r="L242"/>
      <c r="M242"/>
    </row>
    <row r="243" spans="1:13" ht="25.5" customHeight="1">
      <c r="A243" s="1"/>
      <c r="B243" s="1"/>
      <c r="C243" s="104"/>
      <c r="H243"/>
      <c r="K243"/>
      <c r="L243"/>
      <c r="M243"/>
    </row>
    <row r="244" spans="1:13" ht="25.5" customHeight="1">
      <c r="A244" s="1"/>
      <c r="B244" s="1"/>
      <c r="C244" s="104"/>
      <c r="H244"/>
      <c r="K244"/>
      <c r="L244"/>
      <c r="M244"/>
    </row>
    <row r="245" spans="1:13" ht="25.5" customHeight="1">
      <c r="A245" s="1"/>
      <c r="B245" s="1"/>
      <c r="C245" s="104"/>
      <c r="H245"/>
      <c r="K245"/>
      <c r="L245"/>
      <c r="M245"/>
    </row>
    <row r="246" spans="1:13" ht="25.5" customHeight="1">
      <c r="A246" s="1"/>
      <c r="B246" s="1"/>
      <c r="C246" s="104"/>
      <c r="H246"/>
      <c r="K246"/>
      <c r="L246"/>
      <c r="M246"/>
    </row>
    <row r="247" spans="1:13" ht="25.5" customHeight="1">
      <c r="A247" s="1"/>
      <c r="B247" s="1"/>
      <c r="C247" s="104"/>
      <c r="H247"/>
      <c r="K247"/>
      <c r="L247"/>
      <c r="M247"/>
    </row>
    <row r="248" spans="1:13" ht="25.5" customHeight="1">
      <c r="A248" s="1"/>
      <c r="B248" s="1"/>
      <c r="C248" s="104"/>
      <c r="H248"/>
      <c r="K248"/>
      <c r="L248"/>
      <c r="M248"/>
    </row>
    <row r="249" spans="1:13" ht="25.5" customHeight="1">
      <c r="A249" s="1"/>
      <c r="B249" s="1"/>
      <c r="C249" s="104"/>
      <c r="H249"/>
      <c r="K249"/>
      <c r="L249"/>
      <c r="M249"/>
    </row>
    <row r="250" spans="1:13" ht="25.5" customHeight="1">
      <c r="A250" s="1"/>
      <c r="B250" s="1"/>
      <c r="C250" s="104"/>
      <c r="H250"/>
      <c r="K250"/>
      <c r="L250"/>
      <c r="M250"/>
    </row>
    <row r="251" spans="1:13" ht="25.5" customHeight="1">
      <c r="A251" s="1"/>
      <c r="B251" s="1"/>
      <c r="C251" s="104"/>
      <c r="H251"/>
      <c r="K251"/>
      <c r="L251"/>
      <c r="M251"/>
    </row>
    <row r="252" spans="1:13" ht="25.5" customHeight="1">
      <c r="A252" s="1"/>
      <c r="B252" s="1"/>
      <c r="C252" s="104"/>
      <c r="H252"/>
      <c r="K252"/>
      <c r="L252"/>
      <c r="M252"/>
    </row>
    <row r="253" spans="1:13" ht="25.5" customHeight="1">
      <c r="A253" s="1"/>
      <c r="B253" s="1"/>
      <c r="C253" s="104"/>
      <c r="H253"/>
      <c r="K253"/>
      <c r="L253"/>
      <c r="M253"/>
    </row>
    <row r="254" spans="1:13" ht="25.5" customHeight="1">
      <c r="A254" s="1"/>
      <c r="B254" s="1"/>
      <c r="C254" s="104"/>
      <c r="H254"/>
      <c r="K254"/>
      <c r="L254"/>
      <c r="M254"/>
    </row>
    <row r="255" spans="1:13" ht="25.5" customHeight="1">
      <c r="A255" s="1"/>
      <c r="B255" s="1"/>
      <c r="C255" s="104"/>
      <c r="H255"/>
      <c r="K255"/>
      <c r="L255"/>
      <c r="M255"/>
    </row>
    <row r="256" spans="1:13" ht="25.5" customHeight="1">
      <c r="A256" s="1"/>
      <c r="B256" s="1"/>
      <c r="C256" s="104"/>
      <c r="H256"/>
      <c r="K256"/>
      <c r="L256"/>
      <c r="M256"/>
    </row>
    <row r="257" spans="1:13" ht="25.5" customHeight="1">
      <c r="A257" s="1"/>
      <c r="B257" s="1"/>
      <c r="C257" s="104"/>
      <c r="H257"/>
      <c r="K257"/>
      <c r="L257"/>
      <c r="M257"/>
    </row>
    <row r="258" spans="1:13" ht="25.5" customHeight="1">
      <c r="A258" s="1"/>
      <c r="B258" s="1"/>
      <c r="C258" s="104"/>
      <c r="H258"/>
      <c r="K258"/>
      <c r="L258"/>
      <c r="M258"/>
    </row>
    <row r="259" spans="1:13" ht="25.5" customHeight="1">
      <c r="A259" s="1"/>
      <c r="B259" s="1"/>
      <c r="C259" s="104"/>
      <c r="H259"/>
      <c r="K259"/>
      <c r="L259"/>
      <c r="M259"/>
    </row>
    <row r="260" spans="1:13" ht="25.5" customHeight="1">
      <c r="A260" s="1"/>
      <c r="B260" s="1"/>
      <c r="C260" s="104"/>
      <c r="H260"/>
      <c r="K260"/>
      <c r="L260"/>
      <c r="M260"/>
    </row>
    <row r="261" spans="1:13" ht="25.5" customHeight="1">
      <c r="A261" s="1"/>
      <c r="B261" s="1"/>
      <c r="C261" s="104"/>
      <c r="H261"/>
      <c r="K261"/>
      <c r="L261"/>
      <c r="M261"/>
    </row>
    <row r="262" spans="1:13" ht="25.5" customHeight="1">
      <c r="A262" s="1"/>
      <c r="B262" s="1"/>
      <c r="C262" s="104"/>
      <c r="H262"/>
      <c r="K262"/>
      <c r="L262"/>
      <c r="M262"/>
    </row>
    <row r="263" spans="1:13" ht="25.5" customHeight="1">
      <c r="A263" s="1"/>
      <c r="B263" s="1"/>
      <c r="C263" s="104"/>
      <c r="H263"/>
      <c r="K263"/>
      <c r="L263"/>
      <c r="M263"/>
    </row>
    <row r="264" spans="1:13" ht="25.5" customHeight="1">
      <c r="A264" s="1"/>
      <c r="B264" s="1"/>
      <c r="C264" s="104"/>
      <c r="H264"/>
      <c r="K264"/>
      <c r="L264"/>
      <c r="M264"/>
    </row>
    <row r="265" spans="1:13" ht="25.5" customHeight="1">
      <c r="A265" s="1"/>
      <c r="B265" s="1"/>
      <c r="C265" s="104"/>
      <c r="H265"/>
      <c r="K265"/>
      <c r="L265"/>
      <c r="M265"/>
    </row>
    <row r="266" spans="1:13" ht="25.5" customHeight="1">
      <c r="A266" s="1"/>
      <c r="B266" s="1"/>
      <c r="C266" s="104"/>
      <c r="H266"/>
      <c r="K266"/>
      <c r="L266"/>
      <c r="M266"/>
    </row>
    <row r="267" spans="1:13" ht="25.5" customHeight="1">
      <c r="A267" s="1"/>
      <c r="B267" s="1"/>
      <c r="C267" s="104"/>
      <c r="H267"/>
      <c r="K267"/>
      <c r="L267"/>
      <c r="M267"/>
    </row>
    <row r="268" spans="1:13" ht="25.5" customHeight="1">
      <c r="A268" s="1"/>
      <c r="B268" s="1"/>
      <c r="C268" s="104"/>
      <c r="H268"/>
      <c r="K268"/>
      <c r="L268"/>
      <c r="M268"/>
    </row>
    <row r="269" spans="1:13" ht="25.5" customHeight="1">
      <c r="A269" s="1"/>
      <c r="B269" s="1"/>
      <c r="C269" s="104"/>
      <c r="H269"/>
      <c r="K269"/>
      <c r="L269"/>
      <c r="M269"/>
    </row>
    <row r="270" spans="1:13" ht="25.5" customHeight="1">
      <c r="A270" s="1"/>
      <c r="B270" s="1"/>
      <c r="C270" s="104"/>
      <c r="H270"/>
      <c r="K270"/>
      <c r="L270"/>
      <c r="M270"/>
    </row>
    <row r="271" spans="1:13" ht="25.5" customHeight="1">
      <c r="A271" s="1"/>
      <c r="B271" s="1"/>
      <c r="C271" s="104"/>
      <c r="H271"/>
      <c r="K271"/>
      <c r="L271"/>
      <c r="M271"/>
    </row>
    <row r="272" spans="1:13" ht="25.5" customHeight="1">
      <c r="A272" s="1"/>
      <c r="B272" s="1"/>
      <c r="C272" s="104"/>
      <c r="H272"/>
      <c r="K272"/>
      <c r="L272"/>
      <c r="M272"/>
    </row>
    <row r="273" spans="1:13" ht="25.5" customHeight="1">
      <c r="A273" s="1"/>
      <c r="B273" s="1"/>
      <c r="C273" s="104"/>
      <c r="H273"/>
      <c r="K273"/>
      <c r="L273"/>
      <c r="M273"/>
    </row>
    <row r="274" spans="1:13" ht="25.5" customHeight="1">
      <c r="A274" s="1"/>
      <c r="B274" s="1"/>
      <c r="C274" s="104"/>
      <c r="H274"/>
      <c r="K274"/>
      <c r="L274"/>
      <c r="M274"/>
    </row>
    <row r="275" spans="1:13" ht="25.5" customHeight="1">
      <c r="A275" s="1"/>
      <c r="B275" s="1"/>
      <c r="C275" s="104"/>
      <c r="H275"/>
      <c r="K275"/>
      <c r="L275"/>
      <c r="M275"/>
    </row>
    <row r="276" spans="1:13" ht="25.5" customHeight="1">
      <c r="A276" s="1"/>
      <c r="B276" s="1"/>
      <c r="C276" s="104"/>
      <c r="H276"/>
      <c r="K276"/>
      <c r="L276"/>
      <c r="M276"/>
    </row>
    <row r="277" spans="1:13" ht="25.5" customHeight="1">
      <c r="A277" s="1"/>
      <c r="B277" s="1"/>
      <c r="C277" s="104"/>
      <c r="H277"/>
      <c r="K277"/>
      <c r="L277"/>
      <c r="M277"/>
    </row>
    <row r="278" spans="1:13" ht="25.5" customHeight="1">
      <c r="A278" s="1"/>
      <c r="B278" s="1"/>
      <c r="C278" s="104"/>
      <c r="H278"/>
      <c r="K278"/>
      <c r="L278"/>
      <c r="M278"/>
    </row>
    <row r="279" spans="1:13" ht="25.5" customHeight="1">
      <c r="A279" s="1"/>
      <c r="B279" s="1"/>
      <c r="C279" s="104"/>
      <c r="H279"/>
      <c r="K279"/>
      <c r="L279"/>
      <c r="M279"/>
    </row>
    <row r="280" spans="1:13" ht="25.5" customHeight="1">
      <c r="A280" s="1"/>
      <c r="B280" s="1"/>
      <c r="C280" s="104"/>
      <c r="H280"/>
      <c r="K280"/>
      <c r="L280"/>
      <c r="M280"/>
    </row>
    <row r="281" spans="1:13" ht="25.5" customHeight="1">
      <c r="A281" s="1"/>
      <c r="B281" s="1"/>
      <c r="C281" s="104"/>
      <c r="H281"/>
      <c r="K281"/>
      <c r="L281"/>
      <c r="M281"/>
    </row>
    <row r="282" spans="1:13" ht="25.5" customHeight="1">
      <c r="A282" s="1"/>
      <c r="B282" s="1"/>
      <c r="C282" s="104"/>
      <c r="H282"/>
      <c r="K282"/>
      <c r="L282"/>
      <c r="M282"/>
    </row>
    <row r="283" spans="1:13" ht="25.5" customHeight="1">
      <c r="A283" s="1"/>
      <c r="B283" s="1"/>
      <c r="C283" s="104"/>
      <c r="H283"/>
      <c r="K283"/>
      <c r="L283"/>
      <c r="M283"/>
    </row>
    <row r="284" spans="1:13" ht="25.5" customHeight="1">
      <c r="A284" s="1"/>
      <c r="B284" s="1"/>
      <c r="C284" s="104"/>
      <c r="H284"/>
      <c r="K284"/>
      <c r="L284"/>
      <c r="M284"/>
    </row>
    <row r="285" spans="1:13" ht="25.5" customHeight="1">
      <c r="A285" s="1"/>
      <c r="B285" s="1"/>
      <c r="C285" s="104"/>
      <c r="H285"/>
      <c r="K285"/>
      <c r="L285"/>
      <c r="M285"/>
    </row>
    <row r="286" spans="1:13" ht="25.5" customHeight="1">
      <c r="A286" s="1"/>
      <c r="B286" s="1"/>
      <c r="C286" s="104"/>
      <c r="H286"/>
      <c r="K286"/>
      <c r="L286"/>
      <c r="M286"/>
    </row>
    <row r="287" spans="1:13" ht="25.5" customHeight="1">
      <c r="A287" s="1"/>
      <c r="B287" s="1"/>
      <c r="C287" s="104"/>
      <c r="H287"/>
      <c r="K287"/>
      <c r="L287"/>
      <c r="M287"/>
    </row>
    <row r="288" spans="1:13" ht="25.5" customHeight="1">
      <c r="A288" s="1"/>
      <c r="B288" s="1"/>
      <c r="C288" s="104"/>
      <c r="H288"/>
      <c r="K288"/>
      <c r="L288"/>
      <c r="M288"/>
    </row>
    <row r="289" spans="1:13" ht="25.5" customHeight="1">
      <c r="A289" s="1"/>
      <c r="B289" s="1"/>
      <c r="C289" s="104"/>
      <c r="H289"/>
      <c r="K289"/>
      <c r="L289"/>
      <c r="M289"/>
    </row>
    <row r="290" spans="1:13" ht="25.5" customHeight="1">
      <c r="A290" s="1"/>
      <c r="B290" s="1"/>
      <c r="C290" s="104"/>
      <c r="H290"/>
      <c r="K290"/>
      <c r="L290"/>
      <c r="M290"/>
    </row>
    <row r="291" spans="1:13" ht="25.5" customHeight="1">
      <c r="A291" s="1"/>
      <c r="B291" s="1"/>
      <c r="C291" s="104"/>
      <c r="H291"/>
      <c r="K291"/>
      <c r="L291"/>
      <c r="M291"/>
    </row>
    <row r="292" spans="1:13" ht="25.5" customHeight="1">
      <c r="A292" s="1"/>
      <c r="B292" s="1"/>
      <c r="C292" s="104"/>
      <c r="H292"/>
      <c r="K292"/>
      <c r="L292"/>
      <c r="M292"/>
    </row>
    <row r="293" spans="1:13" ht="25.5" customHeight="1">
      <c r="A293" s="1"/>
      <c r="B293" s="1"/>
      <c r="C293" s="104"/>
      <c r="H293"/>
      <c r="K293"/>
      <c r="L293"/>
      <c r="M293"/>
    </row>
    <row r="294" spans="1:13" ht="25.5" customHeight="1">
      <c r="A294" s="1"/>
      <c r="B294" s="1"/>
      <c r="C294" s="104"/>
      <c r="H294"/>
      <c r="K294"/>
      <c r="L294"/>
      <c r="M294"/>
    </row>
    <row r="295" spans="1:13" ht="25.5" customHeight="1">
      <c r="A295" s="1"/>
      <c r="B295" s="1"/>
      <c r="C295" s="104"/>
      <c r="H295"/>
      <c r="K295"/>
      <c r="L295"/>
      <c r="M295"/>
    </row>
    <row r="296" spans="1:13" ht="25.5" customHeight="1">
      <c r="A296" s="1"/>
      <c r="B296" s="1"/>
      <c r="C296" s="104"/>
      <c r="H296"/>
      <c r="K296"/>
      <c r="L296"/>
      <c r="M296"/>
    </row>
    <row r="297" spans="1:13" ht="25.5" customHeight="1">
      <c r="A297" s="1"/>
      <c r="B297" s="1"/>
      <c r="C297" s="104"/>
      <c r="H297"/>
      <c r="K297"/>
      <c r="L297"/>
      <c r="M297"/>
    </row>
    <row r="298" spans="1:13" ht="25.5" customHeight="1">
      <c r="A298" s="1"/>
      <c r="B298" s="1"/>
      <c r="C298" s="104"/>
      <c r="H298"/>
      <c r="K298"/>
      <c r="L298"/>
      <c r="M298"/>
    </row>
    <row r="299" spans="1:13" ht="25.5" customHeight="1">
      <c r="A299" s="1"/>
      <c r="B299" s="1"/>
      <c r="C299" s="104"/>
      <c r="H299"/>
      <c r="K299"/>
      <c r="L299"/>
      <c r="M299"/>
    </row>
    <row r="300" spans="1:13" ht="25.5" customHeight="1">
      <c r="A300" s="1"/>
      <c r="B300" s="1"/>
      <c r="C300" s="104"/>
      <c r="H300"/>
      <c r="K300"/>
      <c r="L300"/>
      <c r="M300"/>
    </row>
    <row r="301" spans="1:13" ht="25.5" customHeight="1">
      <c r="A301" s="1"/>
      <c r="B301" s="1"/>
      <c r="C301" s="104"/>
      <c r="H301"/>
      <c r="K301"/>
      <c r="L301"/>
      <c r="M301"/>
    </row>
    <row r="302" spans="1:13" ht="25.5" customHeight="1">
      <c r="A302" s="1"/>
      <c r="B302" s="1"/>
      <c r="C302" s="104"/>
      <c r="H302"/>
      <c r="K302"/>
      <c r="L302"/>
      <c r="M302"/>
    </row>
    <row r="303" spans="1:13" ht="25.5" customHeight="1">
      <c r="A303" s="1"/>
      <c r="B303" s="1"/>
      <c r="C303" s="104"/>
      <c r="H303"/>
      <c r="K303"/>
      <c r="L303"/>
      <c r="M303"/>
    </row>
    <row r="304" spans="1:13" ht="25.5" customHeight="1">
      <c r="A304" s="1"/>
      <c r="B304" s="1"/>
      <c r="C304" s="104"/>
      <c r="H304"/>
      <c r="K304"/>
      <c r="L304"/>
      <c r="M304"/>
    </row>
    <row r="305" spans="1:13" ht="25.5" customHeight="1">
      <c r="A305" s="1"/>
      <c r="B305" s="1"/>
      <c r="C305" s="104"/>
      <c r="H305"/>
      <c r="K305"/>
      <c r="L305"/>
      <c r="M305"/>
    </row>
    <row r="306" spans="1:13" ht="25.5" customHeight="1">
      <c r="A306" s="1"/>
      <c r="B306" s="1"/>
      <c r="C306" s="104"/>
      <c r="H306"/>
      <c r="K306"/>
      <c r="L306"/>
      <c r="M306"/>
    </row>
    <row r="307" spans="1:13" ht="25.5" customHeight="1">
      <c r="A307" s="1"/>
      <c r="B307" s="1"/>
      <c r="C307" s="104"/>
      <c r="H307"/>
      <c r="K307"/>
      <c r="L307"/>
      <c r="M307"/>
    </row>
    <row r="308" spans="1:13" ht="25.5" customHeight="1">
      <c r="A308" s="1"/>
      <c r="B308" s="1"/>
      <c r="C308" s="104"/>
      <c r="H308"/>
      <c r="K308"/>
      <c r="L308"/>
      <c r="M308"/>
    </row>
    <row r="309" spans="1:13" ht="25.5" customHeight="1">
      <c r="A309" s="1"/>
      <c r="B309" s="1"/>
      <c r="C309" s="104"/>
      <c r="H309"/>
      <c r="K309"/>
      <c r="L309"/>
      <c r="M309"/>
    </row>
    <row r="310" spans="1:13" ht="25.5" customHeight="1">
      <c r="A310" s="1"/>
      <c r="B310" s="1"/>
      <c r="C310" s="104"/>
      <c r="H310"/>
      <c r="K310"/>
      <c r="L310"/>
      <c r="M310"/>
    </row>
    <row r="311" spans="1:13" ht="25.5" customHeight="1">
      <c r="A311" s="1"/>
      <c r="B311" s="1"/>
      <c r="C311" s="104"/>
      <c r="H311"/>
      <c r="K311"/>
      <c r="L311"/>
      <c r="M311"/>
    </row>
    <row r="312" spans="1:13" ht="25.5" customHeight="1">
      <c r="A312" s="1"/>
      <c r="B312" s="1"/>
      <c r="C312" s="104"/>
      <c r="H312"/>
      <c r="K312"/>
      <c r="L312"/>
      <c r="M312"/>
    </row>
    <row r="313" spans="1:13" ht="25.5" customHeight="1">
      <c r="A313" s="1"/>
      <c r="B313" s="1"/>
      <c r="C313" s="104"/>
      <c r="H313"/>
      <c r="K313"/>
      <c r="L313"/>
      <c r="M313"/>
    </row>
    <row r="314" spans="1:13" ht="25.5" customHeight="1">
      <c r="A314" s="1"/>
      <c r="B314" s="1"/>
      <c r="C314" s="104"/>
      <c r="H314"/>
      <c r="K314"/>
      <c r="L314"/>
      <c r="M314"/>
    </row>
    <row r="315" spans="1:13" ht="25.5" customHeight="1">
      <c r="A315" s="1"/>
      <c r="B315" s="1"/>
      <c r="C315" s="104"/>
      <c r="H315"/>
      <c r="K315"/>
      <c r="L315"/>
      <c r="M315"/>
    </row>
    <row r="316" spans="1:13" ht="25.5" customHeight="1">
      <c r="A316" s="1"/>
      <c r="B316" s="1"/>
      <c r="C316" s="104"/>
      <c r="H316"/>
      <c r="K316"/>
      <c r="L316"/>
      <c r="M316"/>
    </row>
    <row r="317" spans="1:13" ht="25.5" customHeight="1">
      <c r="A317" s="1"/>
      <c r="B317" s="1"/>
      <c r="C317" s="104"/>
      <c r="H317"/>
      <c r="K317"/>
      <c r="L317"/>
      <c r="M317"/>
    </row>
    <row r="318" spans="1:13" ht="25.5" customHeight="1">
      <c r="A318" s="1"/>
      <c r="B318" s="1"/>
      <c r="C318" s="104"/>
      <c r="H318"/>
      <c r="K318"/>
      <c r="L318"/>
      <c r="M318"/>
    </row>
    <row r="319" spans="1:13" ht="25.5" customHeight="1">
      <c r="A319" s="1"/>
      <c r="B319" s="1"/>
      <c r="C319" s="104"/>
      <c r="H319"/>
      <c r="K319"/>
      <c r="L319"/>
      <c r="M319"/>
    </row>
    <row r="320" spans="1:13" ht="25.5" customHeight="1">
      <c r="A320" s="1"/>
      <c r="B320" s="1"/>
      <c r="C320" s="104"/>
      <c r="H320"/>
      <c r="K320"/>
      <c r="L320"/>
      <c r="M320"/>
    </row>
    <row r="321" spans="1:13" ht="25.5" customHeight="1">
      <c r="A321" s="1"/>
      <c r="B321" s="1"/>
      <c r="C321" s="104"/>
      <c r="H321"/>
      <c r="K321"/>
      <c r="L321"/>
      <c r="M321"/>
    </row>
    <row r="322" spans="1:13" ht="25.5" customHeight="1">
      <c r="A322" s="1"/>
      <c r="B322" s="1"/>
      <c r="C322" s="104"/>
      <c r="H322"/>
      <c r="K322"/>
      <c r="L322"/>
      <c r="M322"/>
    </row>
    <row r="323" spans="1:13" ht="25.5" customHeight="1">
      <c r="A323" s="1"/>
      <c r="B323" s="1"/>
      <c r="C323" s="104"/>
      <c r="H323"/>
      <c r="K323"/>
      <c r="L323"/>
      <c r="M323"/>
    </row>
    <row r="324" spans="1:13" ht="25.5" customHeight="1">
      <c r="A324" s="1"/>
      <c r="B324" s="1"/>
      <c r="C324" s="104"/>
      <c r="H324"/>
      <c r="K324"/>
      <c r="L324"/>
      <c r="M324"/>
    </row>
    <row r="325" spans="1:13" ht="25.5" customHeight="1">
      <c r="A325" s="1"/>
      <c r="B325" s="1"/>
      <c r="C325" s="104"/>
      <c r="H325"/>
      <c r="K325"/>
      <c r="L325"/>
      <c r="M325"/>
    </row>
    <row r="326" spans="1:13" ht="25.5" customHeight="1">
      <c r="A326" s="1"/>
      <c r="B326" s="1"/>
      <c r="C326" s="104"/>
      <c r="H326"/>
      <c r="K326"/>
      <c r="L326"/>
      <c r="M326"/>
    </row>
    <row r="327" spans="1:13" ht="25.5" customHeight="1">
      <c r="A327" s="1"/>
      <c r="B327" s="1"/>
      <c r="C327" s="104"/>
      <c r="H327"/>
      <c r="K327"/>
      <c r="L327"/>
      <c r="M327"/>
    </row>
    <row r="328" spans="1:13" ht="25.5" customHeight="1">
      <c r="A328" s="1"/>
      <c r="B328" s="1"/>
      <c r="C328" s="104"/>
      <c r="H328"/>
      <c r="K328"/>
      <c r="L328"/>
      <c r="M328"/>
    </row>
    <row r="329" spans="1:13" ht="25.5" customHeight="1">
      <c r="A329" s="1"/>
      <c r="B329" s="1"/>
      <c r="C329" s="104"/>
      <c r="H329"/>
      <c r="K329"/>
      <c r="L329"/>
      <c r="M329"/>
    </row>
    <row r="330" spans="1:13" ht="25.5" customHeight="1">
      <c r="A330" s="1"/>
      <c r="B330" s="1"/>
      <c r="C330" s="104"/>
      <c r="H330"/>
      <c r="K330"/>
      <c r="L330"/>
      <c r="M330"/>
    </row>
    <row r="331" spans="1:13" ht="25.5" customHeight="1">
      <c r="A331" s="1"/>
      <c r="B331" s="1"/>
      <c r="C331" s="104"/>
      <c r="H331"/>
      <c r="K331"/>
      <c r="L331"/>
      <c r="M331"/>
    </row>
    <row r="332" spans="1:13" ht="25.5" customHeight="1">
      <c r="A332" s="1"/>
      <c r="B332" s="1"/>
      <c r="C332" s="104"/>
      <c r="H332"/>
      <c r="K332"/>
      <c r="L332"/>
      <c r="M332"/>
    </row>
    <row r="333" spans="1:13" ht="25.5" customHeight="1">
      <c r="A333" s="1"/>
      <c r="B333" s="1"/>
      <c r="C333" s="104"/>
      <c r="H333"/>
      <c r="K333"/>
      <c r="L333"/>
      <c r="M333"/>
    </row>
    <row r="334" spans="1:13" ht="25.5" customHeight="1">
      <c r="A334" s="1"/>
      <c r="B334" s="1"/>
      <c r="C334" s="104"/>
      <c r="H334"/>
      <c r="K334"/>
      <c r="L334"/>
      <c r="M334"/>
    </row>
    <row r="335" spans="1:13" ht="25.5" customHeight="1">
      <c r="A335" s="1"/>
      <c r="B335" s="1"/>
      <c r="C335" s="104"/>
      <c r="H335"/>
      <c r="K335"/>
      <c r="L335"/>
      <c r="M335"/>
    </row>
    <row r="336" spans="1:13" ht="25.5" customHeight="1">
      <c r="A336" s="1"/>
      <c r="B336" s="1"/>
      <c r="C336" s="104"/>
      <c r="H336"/>
      <c r="K336"/>
      <c r="L336"/>
      <c r="M336"/>
    </row>
    <row r="337" spans="1:13" ht="25.5" customHeight="1">
      <c r="A337" s="1"/>
      <c r="B337" s="1"/>
      <c r="C337" s="104"/>
      <c r="H337"/>
      <c r="K337"/>
      <c r="L337"/>
      <c r="M337"/>
    </row>
    <row r="338" spans="1:13" ht="25.5" customHeight="1">
      <c r="A338" s="1"/>
      <c r="B338" s="1"/>
      <c r="C338" s="104"/>
      <c r="H338"/>
      <c r="K338"/>
      <c r="L338"/>
      <c r="M338"/>
    </row>
    <row r="339" spans="1:13" ht="25.5" customHeight="1">
      <c r="A339" s="1"/>
      <c r="B339" s="1"/>
      <c r="C339" s="104"/>
      <c r="H339"/>
      <c r="K339"/>
      <c r="L339"/>
      <c r="M339"/>
    </row>
    <row r="340" spans="1:13" ht="25.5" customHeight="1">
      <c r="A340" s="1"/>
      <c r="B340" s="1"/>
      <c r="C340" s="104"/>
      <c r="H340"/>
      <c r="K340"/>
      <c r="L340"/>
      <c r="M340"/>
    </row>
    <row r="341" spans="1:13" ht="25.5" customHeight="1">
      <c r="A341" s="1"/>
      <c r="B341" s="1"/>
      <c r="C341" s="104"/>
      <c r="H341"/>
      <c r="K341"/>
      <c r="L341"/>
      <c r="M341"/>
    </row>
    <row r="342" spans="1:13" ht="25.5" customHeight="1">
      <c r="A342" s="1"/>
      <c r="B342" s="1"/>
      <c r="C342" s="104"/>
      <c r="H342"/>
      <c r="K342"/>
      <c r="L342"/>
      <c r="M342"/>
    </row>
    <row r="343" spans="1:13" ht="25.5" customHeight="1">
      <c r="A343" s="1"/>
      <c r="B343" s="1"/>
      <c r="C343" s="104"/>
      <c r="H343"/>
      <c r="K343"/>
      <c r="L343"/>
      <c r="M343"/>
    </row>
    <row r="344" spans="1:13" ht="25.5" customHeight="1">
      <c r="A344" s="1"/>
      <c r="B344" s="1"/>
      <c r="C344" s="104"/>
      <c r="H344"/>
      <c r="K344"/>
      <c r="L344"/>
      <c r="M344"/>
    </row>
    <row r="345" spans="1:13" ht="25.5" customHeight="1">
      <c r="A345" s="1"/>
      <c r="B345" s="1"/>
      <c r="C345" s="104"/>
      <c r="H345"/>
      <c r="K345"/>
      <c r="L345"/>
      <c r="M345"/>
    </row>
    <row r="346" spans="1:13" ht="25.5" customHeight="1">
      <c r="A346" s="1"/>
      <c r="B346" s="1"/>
      <c r="C346" s="104"/>
      <c r="H346"/>
      <c r="K346"/>
      <c r="L346"/>
      <c r="M346"/>
    </row>
    <row r="347" spans="1:13" ht="25.5" customHeight="1">
      <c r="A347" s="1"/>
      <c r="B347" s="1"/>
      <c r="C347" s="104"/>
      <c r="H347"/>
      <c r="K347"/>
      <c r="L347"/>
      <c r="M347"/>
    </row>
    <row r="348" spans="1:13" ht="25.5" customHeight="1">
      <c r="A348" s="1"/>
      <c r="B348" s="1"/>
      <c r="C348" s="104"/>
      <c r="H348"/>
      <c r="K348"/>
      <c r="L348"/>
      <c r="M348"/>
    </row>
    <row r="349" spans="1:13" ht="25.5" customHeight="1">
      <c r="A349" s="1"/>
      <c r="B349" s="1"/>
      <c r="C349" s="104"/>
      <c r="H349"/>
      <c r="K349"/>
      <c r="L349"/>
      <c r="M349"/>
    </row>
    <row r="350" spans="1:13" ht="25.5" customHeight="1">
      <c r="A350" s="1"/>
      <c r="B350" s="1"/>
      <c r="C350" s="104"/>
      <c r="H350"/>
      <c r="K350"/>
      <c r="L350"/>
      <c r="M350"/>
    </row>
    <row r="351" spans="1:13" ht="25.5" customHeight="1">
      <c r="A351" s="1"/>
      <c r="B351" s="1"/>
      <c r="C351" s="104"/>
      <c r="H351"/>
      <c r="K351"/>
      <c r="L351"/>
      <c r="M351"/>
    </row>
    <row r="352" spans="1:13" ht="25.5" customHeight="1">
      <c r="A352" s="1"/>
      <c r="B352" s="1"/>
      <c r="C352" s="104"/>
      <c r="H352"/>
      <c r="K352"/>
      <c r="L352"/>
      <c r="M352"/>
    </row>
    <row r="353" spans="1:13" ht="25.5" customHeight="1">
      <c r="A353" s="1"/>
      <c r="B353" s="1"/>
      <c r="C353" s="104"/>
      <c r="H353"/>
      <c r="K353"/>
      <c r="L353"/>
      <c r="M353"/>
    </row>
    <row r="354" spans="1:13" ht="25.5" customHeight="1">
      <c r="A354" s="1"/>
      <c r="B354" s="1"/>
      <c r="C354" s="104"/>
      <c r="H354"/>
      <c r="K354"/>
      <c r="L354"/>
      <c r="M354"/>
    </row>
    <row r="355" spans="1:13" ht="25.5" customHeight="1">
      <c r="A355" s="1"/>
      <c r="B355" s="1"/>
      <c r="C355" s="104"/>
      <c r="H355"/>
      <c r="K355"/>
      <c r="L355"/>
      <c r="M355"/>
    </row>
    <row r="356" spans="1:13" ht="25.5" customHeight="1">
      <c r="A356" s="1"/>
      <c r="B356" s="1"/>
      <c r="C356" s="104"/>
      <c r="H356"/>
      <c r="K356"/>
      <c r="L356"/>
      <c r="M356"/>
    </row>
    <row r="357" spans="1:13" ht="25.5" customHeight="1">
      <c r="A357" s="1"/>
      <c r="B357" s="1"/>
      <c r="C357" s="104"/>
      <c r="H357"/>
      <c r="K357"/>
      <c r="L357"/>
      <c r="M357"/>
    </row>
    <row r="358" spans="1:13" ht="25.5" customHeight="1">
      <c r="A358" s="1"/>
      <c r="B358" s="1"/>
      <c r="C358" s="104"/>
      <c r="H358"/>
      <c r="K358"/>
      <c r="L358"/>
      <c r="M358"/>
    </row>
    <row r="359" spans="1:13" ht="25.5" customHeight="1">
      <c r="A359" s="1"/>
      <c r="B359" s="1"/>
      <c r="C359" s="104"/>
      <c r="H359"/>
      <c r="K359"/>
      <c r="L359"/>
      <c r="M359"/>
    </row>
    <row r="360" spans="1:13" ht="25.5" customHeight="1">
      <c r="A360" s="1"/>
      <c r="B360" s="1"/>
      <c r="C360" s="104"/>
      <c r="H360"/>
      <c r="K360"/>
      <c r="L360"/>
      <c r="M360"/>
    </row>
    <row r="361" spans="1:13" ht="25.5" customHeight="1">
      <c r="A361" s="1"/>
      <c r="B361" s="1"/>
      <c r="C361" s="104"/>
      <c r="H361"/>
      <c r="K361"/>
      <c r="L361"/>
      <c r="M361"/>
    </row>
    <row r="362" spans="1:13" ht="25.5" customHeight="1">
      <c r="A362" s="1"/>
      <c r="B362" s="1"/>
      <c r="C362" s="104"/>
      <c r="H362"/>
      <c r="K362"/>
      <c r="L362"/>
      <c r="M362"/>
    </row>
    <row r="363" spans="1:13" ht="25.5" customHeight="1">
      <c r="A363" s="1"/>
      <c r="B363" s="1"/>
      <c r="C363" s="104"/>
      <c r="H363"/>
      <c r="K363"/>
      <c r="L363"/>
      <c r="M363"/>
    </row>
    <row r="364" spans="1:13" ht="25.5" customHeight="1">
      <c r="A364" s="1"/>
      <c r="B364" s="1"/>
      <c r="C364" s="104"/>
      <c r="H364"/>
      <c r="K364"/>
      <c r="L364"/>
      <c r="M364"/>
    </row>
    <row r="365" spans="1:13" ht="25.5" customHeight="1">
      <c r="A365" s="1"/>
      <c r="B365" s="1"/>
      <c r="C365" s="104"/>
      <c r="H365"/>
      <c r="K365"/>
      <c r="L365"/>
      <c r="M365"/>
    </row>
    <row r="366" spans="1:13" ht="25.5" customHeight="1">
      <c r="A366" s="1"/>
      <c r="B366" s="1"/>
      <c r="C366" s="104"/>
      <c r="H366"/>
      <c r="K366"/>
      <c r="L366"/>
      <c r="M366"/>
    </row>
    <row r="367" spans="1:13" ht="25.5" customHeight="1">
      <c r="A367" s="1"/>
      <c r="B367" s="1"/>
      <c r="C367" s="104"/>
      <c r="H367"/>
      <c r="K367"/>
      <c r="L367"/>
      <c r="M367"/>
    </row>
    <row r="368" spans="1:13" ht="25.5" customHeight="1">
      <c r="A368" s="1"/>
      <c r="B368" s="1"/>
      <c r="C368" s="104"/>
      <c r="H368"/>
      <c r="K368"/>
      <c r="L368"/>
      <c r="M368"/>
    </row>
    <row r="369" spans="1:13" ht="25.5" customHeight="1">
      <c r="A369" s="1"/>
      <c r="B369" s="1"/>
      <c r="C369" s="104"/>
      <c r="H369"/>
      <c r="K369"/>
      <c r="L369"/>
      <c r="M369"/>
    </row>
    <row r="370" spans="1:13" ht="25.5" customHeight="1">
      <c r="A370" s="1"/>
      <c r="B370" s="1"/>
      <c r="C370" s="104"/>
      <c r="H370"/>
      <c r="K370"/>
      <c r="L370"/>
      <c r="M370"/>
    </row>
    <row r="371" spans="1:13" ht="25.5" customHeight="1">
      <c r="A371" s="1"/>
      <c r="B371" s="1"/>
      <c r="C371" s="104"/>
      <c r="H371"/>
      <c r="K371"/>
      <c r="L371"/>
      <c r="M371"/>
    </row>
    <row r="372" spans="1:13" ht="25.5" customHeight="1">
      <c r="A372" s="1"/>
      <c r="B372" s="1"/>
      <c r="C372" s="104"/>
      <c r="H372"/>
      <c r="K372"/>
      <c r="L372"/>
      <c r="M372"/>
    </row>
    <row r="373" spans="1:13" ht="25.5" customHeight="1">
      <c r="A373" s="1"/>
      <c r="B373" s="1"/>
      <c r="C373" s="104"/>
      <c r="H373"/>
      <c r="K373"/>
      <c r="L373"/>
      <c r="M373"/>
    </row>
    <row r="374" spans="1:13" ht="25.5" customHeight="1">
      <c r="A374" s="1"/>
      <c r="B374" s="1"/>
      <c r="C374" s="104"/>
      <c r="H374"/>
      <c r="K374"/>
      <c r="L374"/>
      <c r="M374"/>
    </row>
    <row r="375" spans="1:13" ht="25.5" customHeight="1">
      <c r="A375" s="1"/>
      <c r="B375" s="1"/>
      <c r="C375" s="104"/>
      <c r="H375"/>
      <c r="K375"/>
      <c r="L375"/>
      <c r="M375"/>
    </row>
    <row r="376" spans="1:13" ht="25.5" customHeight="1">
      <c r="A376" s="1"/>
      <c r="B376" s="1"/>
      <c r="C376" s="104"/>
      <c r="H376"/>
      <c r="K376"/>
      <c r="L376"/>
      <c r="M376"/>
    </row>
    <row r="377" spans="1:13" ht="25.5" customHeight="1">
      <c r="A377" s="1"/>
      <c r="B377" s="1"/>
      <c r="C377" s="104"/>
      <c r="H377"/>
      <c r="K377"/>
      <c r="L377"/>
      <c r="M377"/>
    </row>
    <row r="378" spans="1:13" ht="25.5" customHeight="1">
      <c r="A378" s="1"/>
      <c r="B378" s="1"/>
      <c r="C378" s="104"/>
      <c r="H378"/>
      <c r="K378"/>
      <c r="L378"/>
      <c r="M378"/>
    </row>
    <row r="379" spans="1:13" ht="25.5" customHeight="1">
      <c r="A379" s="1"/>
      <c r="B379" s="1"/>
      <c r="C379" s="104"/>
      <c r="H379"/>
      <c r="K379"/>
      <c r="L379"/>
      <c r="M379"/>
    </row>
    <row r="380" spans="1:13" ht="25.5" customHeight="1">
      <c r="A380" s="1"/>
      <c r="B380" s="1"/>
      <c r="C380" s="104"/>
      <c r="H380"/>
      <c r="K380"/>
      <c r="L380"/>
      <c r="M380"/>
    </row>
    <row r="381" spans="1:13" ht="25.5" customHeight="1">
      <c r="A381" s="1"/>
      <c r="B381" s="1"/>
      <c r="C381" s="104"/>
      <c r="H381"/>
      <c r="K381"/>
      <c r="L381"/>
      <c r="M381"/>
    </row>
    <row r="382" spans="1:13" ht="25.5" customHeight="1">
      <c r="A382" s="1"/>
      <c r="B382" s="1"/>
      <c r="C382" s="104"/>
      <c r="H382"/>
      <c r="K382"/>
      <c r="L382"/>
      <c r="M382"/>
    </row>
    <row r="383" spans="1:13" ht="25.5" customHeight="1">
      <c r="A383" s="1"/>
      <c r="B383" s="1"/>
      <c r="C383" s="104"/>
      <c r="H383"/>
      <c r="K383"/>
      <c r="L383"/>
      <c r="M383"/>
    </row>
    <row r="384" spans="1:13" ht="25.5" customHeight="1">
      <c r="A384" s="1"/>
      <c r="B384" s="1"/>
      <c r="C384" s="104"/>
      <c r="H384"/>
      <c r="K384"/>
      <c r="L384"/>
      <c r="M384"/>
    </row>
    <row r="385" spans="1:13" ht="25.5" customHeight="1">
      <c r="A385" s="1"/>
      <c r="B385" s="1"/>
      <c r="C385" s="104"/>
      <c r="H385"/>
      <c r="K385"/>
      <c r="L385"/>
      <c r="M385"/>
    </row>
    <row r="386" spans="1:13" ht="25.5" customHeight="1">
      <c r="A386" s="1"/>
      <c r="B386" s="1"/>
      <c r="C386" s="104"/>
      <c r="H386"/>
      <c r="K386"/>
      <c r="L386"/>
      <c r="M386"/>
    </row>
    <row r="387" spans="1:13" ht="25.5" customHeight="1">
      <c r="A387" s="1"/>
      <c r="B387" s="1"/>
      <c r="C387" s="104"/>
      <c r="H387"/>
      <c r="K387"/>
      <c r="L387"/>
      <c r="M387"/>
    </row>
    <row r="388" spans="1:13" ht="25.5" customHeight="1">
      <c r="A388" s="1"/>
      <c r="B388" s="1"/>
      <c r="C388" s="104"/>
      <c r="H388"/>
      <c r="K388"/>
      <c r="L388"/>
      <c r="M388"/>
    </row>
    <row r="389" spans="1:13" ht="25.5" customHeight="1">
      <c r="A389" s="1"/>
      <c r="B389" s="1"/>
      <c r="C389" s="104"/>
      <c r="H389"/>
      <c r="K389"/>
      <c r="L389"/>
      <c r="M389"/>
    </row>
    <row r="390" spans="1:13" ht="25.5" customHeight="1">
      <c r="A390" s="1"/>
      <c r="B390" s="1"/>
      <c r="C390" s="104"/>
      <c r="H390"/>
      <c r="K390"/>
      <c r="L390"/>
      <c r="M390"/>
    </row>
    <row r="391" spans="1:13" ht="25.5" customHeight="1">
      <c r="A391" s="1"/>
      <c r="B391" s="1"/>
      <c r="C391" s="104"/>
      <c r="H391"/>
      <c r="K391"/>
      <c r="L391"/>
      <c r="M391"/>
    </row>
    <row r="392" spans="1:13" ht="25.5" customHeight="1">
      <c r="A392" s="1"/>
      <c r="B392" s="1"/>
      <c r="C392" s="104"/>
      <c r="H392"/>
      <c r="K392"/>
      <c r="L392"/>
      <c r="M392"/>
    </row>
    <row r="393" spans="1:13" ht="25.5" customHeight="1">
      <c r="A393" s="1"/>
      <c r="B393" s="1"/>
      <c r="C393" s="104"/>
      <c r="H393"/>
      <c r="K393"/>
      <c r="L393"/>
      <c r="M393"/>
    </row>
    <row r="394" spans="1:13" ht="25.5" customHeight="1">
      <c r="A394" s="1"/>
      <c r="B394" s="1"/>
      <c r="C394" s="104"/>
      <c r="H394"/>
      <c r="K394"/>
      <c r="L394"/>
      <c r="M394"/>
    </row>
    <row r="395" spans="1:13" ht="25.5" customHeight="1">
      <c r="A395" s="1"/>
      <c r="B395" s="1"/>
      <c r="C395" s="104"/>
      <c r="H395"/>
      <c r="K395"/>
      <c r="L395"/>
      <c r="M395"/>
    </row>
    <row r="396" spans="1:13" ht="25.5" customHeight="1">
      <c r="A396" s="1"/>
      <c r="B396" s="1"/>
      <c r="C396" s="104"/>
      <c r="H396"/>
      <c r="K396"/>
      <c r="L396"/>
      <c r="M396"/>
    </row>
    <row r="397" spans="1:13" ht="25.5" customHeight="1">
      <c r="A397" s="1"/>
      <c r="B397" s="1"/>
      <c r="C397" s="104"/>
      <c r="H397"/>
      <c r="K397"/>
      <c r="L397"/>
      <c r="M397"/>
    </row>
    <row r="398" spans="1:13" ht="25.5" customHeight="1">
      <c r="A398" s="1"/>
      <c r="B398" s="1"/>
      <c r="C398" s="104"/>
      <c r="H398"/>
      <c r="K398"/>
      <c r="L398"/>
      <c r="M398"/>
    </row>
    <row r="399" spans="1:13" ht="25.5" customHeight="1">
      <c r="A399" s="1"/>
      <c r="B399" s="1"/>
      <c r="C399" s="104"/>
      <c r="H399"/>
      <c r="K399"/>
      <c r="L399"/>
      <c r="M399"/>
    </row>
    <row r="400" spans="1:13" ht="25.5" customHeight="1">
      <c r="A400" s="1"/>
      <c r="B400" s="1"/>
      <c r="C400" s="104"/>
      <c r="H400"/>
      <c r="K400"/>
      <c r="L400"/>
      <c r="M400"/>
    </row>
    <row r="401" spans="1:13" ht="25.5" customHeight="1">
      <c r="A401" s="1"/>
      <c r="B401" s="1"/>
      <c r="C401" s="104"/>
      <c r="H401"/>
      <c r="K401"/>
      <c r="L401"/>
      <c r="M401"/>
    </row>
    <row r="402" spans="1:13" ht="25.5" customHeight="1">
      <c r="A402" s="1"/>
      <c r="B402" s="1"/>
      <c r="C402" s="104"/>
      <c r="H402"/>
      <c r="K402"/>
      <c r="L402"/>
      <c r="M402"/>
    </row>
    <row r="403" spans="1:13" ht="25.5" customHeight="1">
      <c r="A403" s="1"/>
      <c r="B403" s="1"/>
      <c r="C403" s="104"/>
      <c r="H403"/>
      <c r="K403"/>
      <c r="L403"/>
      <c r="M403"/>
    </row>
    <row r="404" spans="1:13" ht="25.5" customHeight="1">
      <c r="A404" s="1"/>
      <c r="B404" s="1"/>
      <c r="C404" s="104"/>
      <c r="H404"/>
      <c r="K404"/>
      <c r="L404"/>
      <c r="M404"/>
    </row>
    <row r="405" spans="1:13" ht="25.5" customHeight="1">
      <c r="A405" s="1"/>
      <c r="B405" s="1"/>
      <c r="C405" s="104"/>
      <c r="H405"/>
      <c r="K405"/>
      <c r="L405"/>
      <c r="M405"/>
    </row>
    <row r="406" spans="1:13" ht="25.5" customHeight="1">
      <c r="A406" s="1"/>
      <c r="B406" s="1"/>
      <c r="C406" s="104"/>
      <c r="H406"/>
      <c r="K406"/>
      <c r="L406"/>
      <c r="M406"/>
    </row>
    <row r="407" spans="1:13" ht="25.5" customHeight="1">
      <c r="A407" s="1"/>
      <c r="B407" s="1"/>
      <c r="C407" s="104"/>
      <c r="H407"/>
      <c r="K407"/>
      <c r="L407"/>
      <c r="M407"/>
    </row>
    <row r="408" spans="1:13" ht="25.5" customHeight="1">
      <c r="A408" s="1"/>
      <c r="B408" s="1"/>
      <c r="C408" s="104"/>
      <c r="H408"/>
      <c r="K408"/>
      <c r="L408"/>
      <c r="M408"/>
    </row>
    <row r="409" spans="1:13" ht="25.5" customHeight="1">
      <c r="A409" s="1"/>
      <c r="B409" s="1"/>
      <c r="C409" s="104"/>
      <c r="H409"/>
      <c r="K409"/>
      <c r="L409"/>
      <c r="M409"/>
    </row>
    <row r="410" spans="1:13" ht="25.5" customHeight="1">
      <c r="A410" s="1"/>
      <c r="B410" s="1"/>
      <c r="C410" s="104"/>
      <c r="H410"/>
      <c r="K410"/>
      <c r="L410"/>
      <c r="M410"/>
    </row>
    <row r="411" spans="1:13" ht="25.5" customHeight="1">
      <c r="A411" s="1"/>
      <c r="B411" s="1"/>
      <c r="C411" s="104"/>
      <c r="H411"/>
      <c r="K411"/>
      <c r="L411"/>
      <c r="M411"/>
    </row>
    <row r="412" spans="1:13" ht="25.5" customHeight="1">
      <c r="A412" s="1"/>
      <c r="B412" s="1"/>
      <c r="C412" s="104"/>
      <c r="H412"/>
      <c r="K412"/>
      <c r="L412"/>
      <c r="M412"/>
    </row>
    <row r="413" spans="1:13" ht="25.5" customHeight="1">
      <c r="A413" s="1"/>
      <c r="B413" s="1"/>
      <c r="C413" s="104"/>
      <c r="H413"/>
      <c r="K413"/>
      <c r="L413"/>
      <c r="M413"/>
    </row>
    <row r="414" spans="1:13" ht="25.5" customHeight="1">
      <c r="A414" s="1"/>
      <c r="B414" s="1"/>
      <c r="C414" s="104"/>
      <c r="H414"/>
      <c r="K414"/>
      <c r="L414"/>
      <c r="M414"/>
    </row>
    <row r="415" spans="1:13" ht="25.5" customHeight="1">
      <c r="A415" s="1"/>
      <c r="B415" s="1"/>
      <c r="C415" s="104"/>
      <c r="H415"/>
      <c r="K415"/>
      <c r="L415"/>
      <c r="M415"/>
    </row>
    <row r="416" spans="1:13" ht="25.5" customHeight="1">
      <c r="A416" s="1"/>
      <c r="B416" s="1"/>
      <c r="C416" s="104"/>
      <c r="H416"/>
      <c r="K416"/>
      <c r="L416"/>
      <c r="M416"/>
    </row>
    <row r="417" spans="1:13" ht="25.5" customHeight="1">
      <c r="A417" s="1"/>
      <c r="B417" s="1"/>
      <c r="C417" s="104"/>
      <c r="H417"/>
      <c r="K417"/>
      <c r="L417"/>
      <c r="M417"/>
    </row>
    <row r="418" spans="1:13" ht="25.5" customHeight="1">
      <c r="A418" s="1"/>
      <c r="B418" s="1"/>
      <c r="C418" s="104"/>
      <c r="H418"/>
      <c r="K418"/>
      <c r="L418"/>
      <c r="M418"/>
    </row>
    <row r="419" spans="1:13" ht="25.5" customHeight="1">
      <c r="A419" s="1"/>
      <c r="B419" s="1"/>
      <c r="C419" s="104"/>
      <c r="H419"/>
      <c r="K419"/>
      <c r="L419"/>
      <c r="M419"/>
    </row>
    <row r="420" spans="1:13" ht="25.5" customHeight="1">
      <c r="A420" s="1"/>
      <c r="B420" s="1"/>
      <c r="C420" s="104"/>
      <c r="H420"/>
      <c r="K420"/>
      <c r="L420"/>
      <c r="M420"/>
    </row>
    <row r="421" spans="1:13" ht="25.5" customHeight="1">
      <c r="A421" s="1"/>
      <c r="B421" s="1"/>
      <c r="C421" s="104"/>
      <c r="H421"/>
      <c r="K421"/>
      <c r="L421"/>
      <c r="M421"/>
    </row>
    <row r="422" spans="1:13" ht="25.5" customHeight="1">
      <c r="A422" s="1"/>
      <c r="B422" s="1"/>
      <c r="C422" s="104"/>
      <c r="H422"/>
      <c r="K422"/>
      <c r="L422"/>
      <c r="M422"/>
    </row>
    <row r="423" spans="1:13" ht="25.5" customHeight="1">
      <c r="A423" s="1"/>
      <c r="B423" s="1"/>
      <c r="C423" s="104"/>
      <c r="H423"/>
      <c r="K423"/>
      <c r="L423"/>
      <c r="M423"/>
    </row>
    <row r="424" spans="1:13" ht="25.5" customHeight="1">
      <c r="A424" s="1"/>
      <c r="B424" s="1"/>
      <c r="C424" s="104"/>
      <c r="H424"/>
      <c r="K424"/>
      <c r="L424"/>
      <c r="M424"/>
    </row>
    <row r="425" spans="1:13" ht="25.5" customHeight="1">
      <c r="A425" s="1"/>
      <c r="B425" s="1"/>
      <c r="C425" s="104"/>
      <c r="H425"/>
      <c r="K425"/>
      <c r="L425"/>
      <c r="M425"/>
    </row>
    <row r="426" spans="1:13" ht="25.5" customHeight="1">
      <c r="A426" s="1"/>
      <c r="B426" s="1"/>
      <c r="C426" s="104"/>
      <c r="H426"/>
      <c r="K426"/>
      <c r="L426"/>
      <c r="M426"/>
    </row>
    <row r="427" spans="1:13" ht="25.5" customHeight="1">
      <c r="A427" s="1"/>
      <c r="B427" s="1"/>
      <c r="C427" s="104"/>
      <c r="H427"/>
      <c r="K427"/>
      <c r="L427"/>
      <c r="M427"/>
    </row>
    <row r="428" spans="1:13" ht="25.5" customHeight="1">
      <c r="A428" s="1"/>
      <c r="B428" s="1"/>
      <c r="C428" s="104"/>
      <c r="H428"/>
      <c r="K428"/>
      <c r="L428"/>
      <c r="M428"/>
    </row>
    <row r="429" spans="1:13" ht="25.5" customHeight="1">
      <c r="A429" s="1"/>
      <c r="B429" s="1"/>
      <c r="C429" s="104"/>
      <c r="H429"/>
      <c r="K429"/>
      <c r="L429"/>
      <c r="M429"/>
    </row>
    <row r="430" spans="1:13" ht="25.5" customHeight="1">
      <c r="A430" s="1"/>
      <c r="B430" s="1"/>
      <c r="C430" s="104"/>
      <c r="H430"/>
      <c r="K430"/>
      <c r="L430"/>
      <c r="M430"/>
    </row>
    <row r="431" spans="1:13" ht="25.5" customHeight="1">
      <c r="A431" s="1"/>
      <c r="B431" s="1"/>
      <c r="C431" s="104"/>
      <c r="H431"/>
      <c r="K431"/>
      <c r="L431"/>
      <c r="M431"/>
    </row>
    <row r="432" spans="1:13" ht="25.5" customHeight="1">
      <c r="A432" s="1"/>
      <c r="B432" s="1"/>
      <c r="C432" s="104"/>
      <c r="H432"/>
      <c r="K432"/>
      <c r="L432"/>
      <c r="M432"/>
    </row>
    <row r="433" spans="1:13" ht="25.5" customHeight="1">
      <c r="A433" s="1"/>
      <c r="B433" s="1"/>
      <c r="C433" s="104"/>
      <c r="H433"/>
      <c r="K433"/>
      <c r="L433"/>
      <c r="M433"/>
    </row>
    <row r="434" spans="1:13" ht="25.5" customHeight="1">
      <c r="A434" s="1"/>
      <c r="B434" s="1"/>
      <c r="C434" s="104"/>
      <c r="H434"/>
      <c r="K434"/>
      <c r="L434"/>
      <c r="M434"/>
    </row>
    <row r="435" spans="1:13" ht="25.5" customHeight="1">
      <c r="A435" s="1"/>
      <c r="B435" s="1"/>
      <c r="C435" s="104"/>
      <c r="H435"/>
      <c r="K435"/>
      <c r="L435"/>
      <c r="M435"/>
    </row>
    <row r="436" spans="1:13" ht="25.5" customHeight="1">
      <c r="A436" s="1"/>
      <c r="B436" s="1"/>
      <c r="C436" s="104"/>
      <c r="H436"/>
      <c r="K436"/>
      <c r="L436"/>
      <c r="M436"/>
    </row>
    <row r="437" spans="1:13" ht="25.5" customHeight="1">
      <c r="A437" s="1"/>
      <c r="B437" s="1"/>
      <c r="C437" s="104"/>
      <c r="H437"/>
      <c r="K437"/>
      <c r="L437"/>
      <c r="M437"/>
    </row>
    <row r="438" spans="1:13" ht="25.5" customHeight="1">
      <c r="A438" s="1"/>
      <c r="B438" s="1"/>
      <c r="C438" s="104"/>
      <c r="H438"/>
      <c r="K438"/>
      <c r="L438"/>
      <c r="M438"/>
    </row>
    <row r="439" spans="1:13" ht="25.5" customHeight="1">
      <c r="A439" s="1"/>
      <c r="B439" s="1"/>
      <c r="C439" s="104"/>
      <c r="H439"/>
      <c r="K439"/>
      <c r="L439"/>
      <c r="M439"/>
    </row>
    <row r="440" spans="1:13" ht="25.5" customHeight="1">
      <c r="A440" s="1"/>
      <c r="B440" s="1"/>
      <c r="C440" s="104"/>
      <c r="H440"/>
      <c r="K440"/>
      <c r="L440"/>
      <c r="M440"/>
    </row>
    <row r="441" spans="1:13" ht="25.5" customHeight="1">
      <c r="A441" s="1"/>
      <c r="B441" s="1"/>
      <c r="C441" s="104"/>
      <c r="H441"/>
      <c r="K441"/>
      <c r="L441"/>
      <c r="M441"/>
    </row>
    <row r="442" spans="1:13" ht="25.5" customHeight="1">
      <c r="A442" s="1"/>
      <c r="B442" s="1"/>
      <c r="C442" s="104"/>
      <c r="H442"/>
      <c r="K442"/>
      <c r="L442"/>
      <c r="M442"/>
    </row>
    <row r="443" spans="1:13" ht="25.5" customHeight="1">
      <c r="A443" s="1"/>
      <c r="B443" s="1"/>
      <c r="C443" s="104"/>
      <c r="H443"/>
      <c r="K443"/>
      <c r="L443"/>
      <c r="M443"/>
    </row>
    <row r="444" spans="1:13" ht="25.5" customHeight="1">
      <c r="A444" s="1"/>
      <c r="B444" s="1"/>
      <c r="C444" s="104"/>
      <c r="H444"/>
      <c r="K444"/>
      <c r="L444"/>
      <c r="M444"/>
    </row>
    <row r="445" spans="1:13" ht="25.5" customHeight="1">
      <c r="A445" s="1"/>
      <c r="B445" s="1"/>
      <c r="C445" s="104"/>
      <c r="H445"/>
      <c r="K445"/>
      <c r="L445"/>
      <c r="M445"/>
    </row>
    <row r="446" spans="1:13" ht="25.5" customHeight="1">
      <c r="A446" s="1"/>
      <c r="B446" s="1"/>
      <c r="C446" s="104"/>
      <c r="H446"/>
      <c r="K446"/>
      <c r="L446"/>
      <c r="M446"/>
    </row>
    <row r="447" spans="1:13" ht="25.5" customHeight="1">
      <c r="A447" s="1"/>
      <c r="B447" s="1"/>
      <c r="C447" s="104"/>
      <c r="H447"/>
      <c r="K447"/>
      <c r="L447"/>
      <c r="M447"/>
    </row>
    <row r="448" spans="1:13" ht="25.5" customHeight="1">
      <c r="A448" s="1"/>
      <c r="B448" s="1"/>
      <c r="C448" s="104"/>
      <c r="H448"/>
      <c r="K448"/>
      <c r="L448"/>
      <c r="M448"/>
    </row>
    <row r="449" spans="1:13" ht="25.5" customHeight="1">
      <c r="A449" s="1"/>
      <c r="B449" s="1"/>
      <c r="C449" s="104"/>
      <c r="H449"/>
      <c r="K449"/>
      <c r="L449"/>
      <c r="M449"/>
    </row>
    <row r="450" spans="1:13" ht="25.5" customHeight="1">
      <c r="A450" s="1"/>
      <c r="B450" s="1"/>
      <c r="C450" s="104"/>
      <c r="H450"/>
      <c r="K450"/>
      <c r="L450"/>
      <c r="M450"/>
    </row>
    <row r="451" spans="1:13" ht="25.5" customHeight="1">
      <c r="A451" s="1"/>
      <c r="B451" s="1"/>
      <c r="C451" s="104"/>
      <c r="H451"/>
      <c r="K451"/>
      <c r="L451"/>
      <c r="M451"/>
    </row>
    <row r="452" spans="1:13" ht="25.5" customHeight="1">
      <c r="A452" s="1"/>
      <c r="B452" s="1"/>
      <c r="C452" s="104"/>
      <c r="H452"/>
      <c r="K452"/>
      <c r="L452"/>
      <c r="M452"/>
    </row>
    <row r="453" spans="1:13" ht="25.5" customHeight="1">
      <c r="A453" s="1"/>
      <c r="B453" s="1"/>
      <c r="C453" s="104"/>
      <c r="H453"/>
      <c r="K453"/>
      <c r="L453"/>
      <c r="M453"/>
    </row>
    <row r="454" spans="1:13" ht="25.5" customHeight="1">
      <c r="A454" s="1"/>
      <c r="B454" s="1"/>
      <c r="C454" s="104"/>
      <c r="H454"/>
      <c r="K454"/>
      <c r="L454"/>
      <c r="M454"/>
    </row>
    <row r="455" spans="1:13" ht="25.5" customHeight="1">
      <c r="A455" s="1"/>
      <c r="B455" s="1"/>
      <c r="C455" s="104"/>
      <c r="H455"/>
      <c r="K455"/>
      <c r="L455"/>
      <c r="M455"/>
    </row>
    <row r="456" spans="1:13" ht="25.5" customHeight="1">
      <c r="A456" s="1"/>
      <c r="B456" s="1"/>
      <c r="C456" s="104"/>
      <c r="H456"/>
      <c r="K456"/>
      <c r="L456"/>
      <c r="M456"/>
    </row>
    <row r="457" spans="1:13" ht="25.5" customHeight="1">
      <c r="A457" s="1"/>
      <c r="B457" s="1"/>
      <c r="C457" s="104"/>
      <c r="H457"/>
      <c r="K457"/>
      <c r="L457"/>
      <c r="M457"/>
    </row>
    <row r="458" spans="1:13" ht="25.5" customHeight="1">
      <c r="A458" s="1"/>
      <c r="B458" s="1"/>
      <c r="C458" s="104"/>
      <c r="H458"/>
      <c r="K458"/>
      <c r="L458"/>
      <c r="M458"/>
    </row>
    <row r="459" spans="1:13" ht="25.5" customHeight="1">
      <c r="A459" s="1"/>
      <c r="B459" s="1"/>
      <c r="C459" s="104"/>
      <c r="H459"/>
      <c r="K459"/>
      <c r="L459"/>
      <c r="M459"/>
    </row>
    <row r="460" spans="1:13" ht="25.5" customHeight="1">
      <c r="A460" s="1"/>
      <c r="B460" s="1"/>
      <c r="C460" s="104"/>
      <c r="H460"/>
      <c r="K460"/>
      <c r="L460"/>
      <c r="M460"/>
    </row>
    <row r="461" spans="1:13" ht="25.5" customHeight="1">
      <c r="A461" s="1"/>
      <c r="B461" s="1"/>
      <c r="C461" s="104"/>
      <c r="H461"/>
      <c r="K461"/>
      <c r="L461"/>
      <c r="M461"/>
    </row>
    <row r="462" spans="1:13" ht="25.5" customHeight="1">
      <c r="A462" s="1"/>
      <c r="B462" s="1"/>
      <c r="C462" s="104"/>
      <c r="H462"/>
      <c r="K462"/>
      <c r="L462"/>
      <c r="M462"/>
    </row>
    <row r="463" spans="1:13" ht="25.5" customHeight="1">
      <c r="A463" s="1"/>
      <c r="B463" s="1"/>
      <c r="C463" s="104"/>
      <c r="H463"/>
      <c r="K463"/>
      <c r="L463"/>
      <c r="M463"/>
    </row>
    <row r="464" spans="1:13" ht="25.5" customHeight="1">
      <c r="A464" s="1"/>
      <c r="B464" s="1"/>
      <c r="C464" s="104"/>
      <c r="H464"/>
      <c r="K464"/>
      <c r="L464"/>
      <c r="M464"/>
    </row>
    <row r="465" spans="1:13" ht="25.5" customHeight="1">
      <c r="A465" s="1"/>
      <c r="B465" s="1"/>
      <c r="C465" s="104"/>
      <c r="H465"/>
      <c r="K465"/>
      <c r="L465"/>
      <c r="M465"/>
    </row>
    <row r="466" spans="1:13" ht="25.5" customHeight="1">
      <c r="A466" s="1"/>
      <c r="B466" s="1"/>
      <c r="C466" s="104"/>
      <c r="H466"/>
      <c r="K466"/>
      <c r="L466"/>
      <c r="M466"/>
    </row>
    <row r="467" spans="1:13" ht="25.5" customHeight="1">
      <c r="A467" s="1"/>
      <c r="B467" s="1"/>
      <c r="C467" s="104"/>
      <c r="H467"/>
      <c r="K467"/>
      <c r="L467"/>
      <c r="M467"/>
    </row>
    <row r="468" spans="1:13" ht="25.5" customHeight="1">
      <c r="A468" s="1"/>
      <c r="B468" s="1"/>
      <c r="C468" s="104"/>
      <c r="H468"/>
      <c r="K468"/>
      <c r="L468"/>
      <c r="M468"/>
    </row>
    <row r="469" spans="1:13" ht="25.5" customHeight="1">
      <c r="A469" s="1"/>
      <c r="B469" s="1"/>
      <c r="C469" s="104"/>
      <c r="H469"/>
      <c r="K469"/>
      <c r="L469"/>
      <c r="M469"/>
    </row>
    <row r="470" spans="1:13" ht="25.5" customHeight="1">
      <c r="A470" s="1"/>
      <c r="B470" s="1"/>
      <c r="C470" s="104"/>
      <c r="H470"/>
      <c r="K470"/>
      <c r="L470"/>
      <c r="M470"/>
    </row>
    <row r="471" spans="1:13" ht="25.5" customHeight="1">
      <c r="A471" s="1"/>
      <c r="B471" s="1"/>
      <c r="C471" s="104"/>
      <c r="H471"/>
      <c r="K471"/>
      <c r="L471"/>
      <c r="M471"/>
    </row>
    <row r="472" spans="1:13" ht="25.5" customHeight="1">
      <c r="A472" s="1"/>
      <c r="B472" s="1"/>
      <c r="C472" s="104"/>
      <c r="H472"/>
      <c r="K472"/>
      <c r="L472"/>
      <c r="M472"/>
    </row>
    <row r="473" spans="1:13" ht="25.5" customHeight="1">
      <c r="A473" s="1"/>
      <c r="B473" s="1"/>
      <c r="C473" s="104"/>
      <c r="H473"/>
      <c r="K473"/>
      <c r="L473"/>
      <c r="M473"/>
    </row>
    <row r="474" spans="1:13" ht="25.5" customHeight="1">
      <c r="A474" s="1"/>
      <c r="B474" s="1"/>
      <c r="C474" s="104"/>
      <c r="H474"/>
      <c r="K474"/>
      <c r="L474"/>
      <c r="M474"/>
    </row>
    <row r="475" spans="1:13" ht="25.5" customHeight="1">
      <c r="A475" s="1"/>
      <c r="B475" s="1"/>
      <c r="C475" s="104"/>
      <c r="H475"/>
      <c r="K475"/>
      <c r="L475"/>
      <c r="M475"/>
    </row>
    <row r="476" spans="1:13" ht="25.5" customHeight="1">
      <c r="A476" s="1"/>
      <c r="B476" s="1"/>
      <c r="C476" s="104"/>
      <c r="H476"/>
      <c r="K476"/>
      <c r="L476"/>
      <c r="M476"/>
    </row>
    <row r="477" spans="1:13" ht="25.5" customHeight="1">
      <c r="A477" s="1"/>
      <c r="B477" s="1"/>
      <c r="C477" s="104"/>
      <c r="H477"/>
      <c r="K477"/>
      <c r="L477"/>
      <c r="M477"/>
    </row>
    <row r="478" spans="1:13" ht="25.5" customHeight="1">
      <c r="A478" s="1"/>
      <c r="B478" s="1"/>
      <c r="C478" s="104"/>
      <c r="H478"/>
      <c r="K478"/>
      <c r="L478"/>
      <c r="M478"/>
    </row>
    <row r="479" spans="1:13" ht="25.5" customHeight="1">
      <c r="A479" s="1"/>
      <c r="B479" s="1"/>
      <c r="C479" s="104"/>
      <c r="H479"/>
      <c r="K479"/>
      <c r="L479"/>
      <c r="M479"/>
    </row>
    <row r="480" spans="1:13" ht="25.5" customHeight="1">
      <c r="A480" s="1"/>
      <c r="B480" s="1"/>
      <c r="C480" s="104"/>
      <c r="H480"/>
      <c r="K480"/>
      <c r="L480"/>
      <c r="M480"/>
    </row>
    <row r="481" spans="1:13" ht="25.5" customHeight="1">
      <c r="A481" s="1"/>
      <c r="B481" s="1"/>
      <c r="C481" s="104"/>
      <c r="H481"/>
      <c r="K481"/>
      <c r="L481"/>
      <c r="M481"/>
    </row>
    <row r="482" spans="1:13" ht="25.5" customHeight="1">
      <c r="A482" s="1"/>
      <c r="B482" s="1"/>
      <c r="C482" s="104"/>
      <c r="H482"/>
      <c r="K482"/>
      <c r="L482"/>
      <c r="M482"/>
    </row>
    <row r="483" spans="1:13" ht="25.5" customHeight="1">
      <c r="A483" s="1"/>
      <c r="B483" s="1"/>
      <c r="C483" s="104"/>
      <c r="H483"/>
      <c r="K483"/>
      <c r="L483"/>
      <c r="M483"/>
    </row>
    <row r="484" spans="1:13" ht="25.5" customHeight="1">
      <c r="A484" s="1"/>
      <c r="B484" s="1"/>
      <c r="C484" s="104"/>
      <c r="H484"/>
      <c r="K484"/>
      <c r="L484"/>
      <c r="M484"/>
    </row>
    <row r="485" spans="1:13" ht="25.5" customHeight="1">
      <c r="A485" s="1"/>
      <c r="B485" s="1"/>
      <c r="C485" s="104"/>
      <c r="H485"/>
      <c r="K485"/>
      <c r="L485"/>
      <c r="M485"/>
    </row>
    <row r="486" spans="1:13" ht="25.5" customHeight="1">
      <c r="A486" s="1"/>
      <c r="B486" s="1"/>
      <c r="C486" s="104"/>
      <c r="H486"/>
      <c r="K486"/>
      <c r="L486"/>
      <c r="M486"/>
    </row>
    <row r="487" spans="1:13" ht="25.5" customHeight="1">
      <c r="A487" s="1"/>
      <c r="B487" s="1"/>
      <c r="C487" s="104"/>
      <c r="H487"/>
      <c r="K487"/>
      <c r="L487"/>
      <c r="M487"/>
    </row>
    <row r="488" spans="1:13" ht="25.5" customHeight="1">
      <c r="A488" s="1"/>
      <c r="B488" s="1"/>
      <c r="C488" s="104"/>
      <c r="H488"/>
      <c r="K488"/>
      <c r="L488"/>
      <c r="M488"/>
    </row>
    <row r="489" spans="1:13" ht="25.5" customHeight="1">
      <c r="A489" s="1"/>
      <c r="B489" s="1"/>
      <c r="C489" s="104"/>
      <c r="H489"/>
      <c r="K489"/>
      <c r="L489"/>
      <c r="M489"/>
    </row>
    <row r="490" spans="1:13" ht="25.5" customHeight="1">
      <c r="A490" s="1"/>
      <c r="B490" s="1"/>
      <c r="C490" s="104"/>
      <c r="H490"/>
      <c r="K490"/>
      <c r="L490"/>
      <c r="M490"/>
    </row>
    <row r="491" spans="1:13" ht="25.5" customHeight="1">
      <c r="A491" s="1"/>
      <c r="B491" s="1"/>
      <c r="C491" s="104"/>
      <c r="H491"/>
      <c r="K491"/>
      <c r="L491"/>
      <c r="M491"/>
    </row>
    <row r="492" spans="1:13" ht="25.5" customHeight="1">
      <c r="A492" s="1"/>
      <c r="B492" s="1"/>
      <c r="C492" s="104"/>
      <c r="H492"/>
      <c r="K492"/>
      <c r="L492"/>
      <c r="M492"/>
    </row>
    <row r="493" spans="1:13" ht="25.5" customHeight="1">
      <c r="A493" s="1"/>
      <c r="B493" s="1"/>
      <c r="C493" s="104"/>
      <c r="H493"/>
      <c r="K493"/>
      <c r="L493"/>
      <c r="M493"/>
    </row>
    <row r="494" spans="1:13" ht="25.5" customHeight="1">
      <c r="A494" s="1"/>
      <c r="B494" s="1"/>
      <c r="C494" s="104"/>
      <c r="H494"/>
      <c r="K494"/>
      <c r="L494"/>
      <c r="M494"/>
    </row>
    <row r="495" spans="1:13" ht="25.5" customHeight="1">
      <c r="A495" s="1"/>
      <c r="B495" s="1"/>
      <c r="C495" s="104"/>
      <c r="H495"/>
      <c r="K495"/>
      <c r="L495"/>
      <c r="M495"/>
    </row>
    <row r="496" spans="1:13" ht="25.5" customHeight="1">
      <c r="A496" s="1"/>
      <c r="B496" s="1"/>
      <c r="C496" s="104"/>
      <c r="H496"/>
      <c r="K496"/>
      <c r="L496"/>
      <c r="M496"/>
    </row>
    <row r="497" spans="1:13" ht="25.5" customHeight="1">
      <c r="A497" s="1"/>
      <c r="B497" s="1"/>
      <c r="C497" s="104"/>
      <c r="H497"/>
      <c r="K497"/>
      <c r="L497"/>
      <c r="M497"/>
    </row>
    <row r="498" spans="1:13" ht="25.5" customHeight="1">
      <c r="A498" s="1"/>
      <c r="B498" s="1"/>
      <c r="C498" s="104"/>
      <c r="H498"/>
      <c r="K498"/>
      <c r="L498"/>
      <c r="M498"/>
    </row>
    <row r="499" spans="1:13" ht="25.5" customHeight="1">
      <c r="A499" s="1"/>
      <c r="B499" s="1"/>
      <c r="C499" s="104"/>
      <c r="H499"/>
      <c r="K499"/>
      <c r="L499"/>
      <c r="M499"/>
    </row>
    <row r="500" spans="1:13" ht="25.5" customHeight="1">
      <c r="A500" s="1"/>
      <c r="B500" s="1"/>
      <c r="C500" s="104"/>
      <c r="H500"/>
      <c r="K500"/>
      <c r="L500"/>
      <c r="M500"/>
    </row>
    <row r="501" spans="1:13" ht="25.5" customHeight="1">
      <c r="A501" s="1"/>
      <c r="B501" s="1"/>
      <c r="C501" s="104"/>
      <c r="H501"/>
      <c r="K501"/>
      <c r="L501"/>
      <c r="M501"/>
    </row>
    <row r="502" spans="1:13" ht="25.5" customHeight="1">
      <c r="A502" s="1"/>
      <c r="B502" s="1"/>
      <c r="C502" s="104"/>
      <c r="H502"/>
      <c r="K502"/>
      <c r="L502"/>
      <c r="M502"/>
    </row>
    <row r="503" spans="1:13" ht="25.5" customHeight="1">
      <c r="A503" s="1"/>
      <c r="B503" s="1"/>
      <c r="C503" s="104"/>
      <c r="H503"/>
      <c r="K503"/>
      <c r="L503"/>
      <c r="M503"/>
    </row>
    <row r="504" spans="1:13" ht="25.5" customHeight="1">
      <c r="A504" s="1"/>
      <c r="B504" s="1"/>
      <c r="C504" s="104"/>
      <c r="H504"/>
      <c r="K504"/>
      <c r="L504"/>
      <c r="M504"/>
    </row>
    <row r="505" spans="1:13" ht="25.5" customHeight="1">
      <c r="A505" s="1"/>
      <c r="B505" s="1"/>
      <c r="C505" s="104"/>
      <c r="H505"/>
      <c r="K505"/>
      <c r="L505"/>
      <c r="M505"/>
    </row>
    <row r="506" spans="1:13" ht="25.5" customHeight="1">
      <c r="A506" s="1"/>
      <c r="B506" s="1"/>
      <c r="C506" s="104"/>
      <c r="H506"/>
      <c r="K506"/>
      <c r="L506"/>
      <c r="M506"/>
    </row>
    <row r="507" spans="1:13" ht="25.5" customHeight="1">
      <c r="A507" s="1"/>
      <c r="B507" s="1"/>
      <c r="C507" s="104"/>
      <c r="H507"/>
      <c r="K507"/>
      <c r="L507"/>
      <c r="M507"/>
    </row>
    <row r="508" spans="1:13" ht="25.5" customHeight="1">
      <c r="A508" s="1"/>
      <c r="B508" s="1"/>
      <c r="C508" s="104"/>
      <c r="H508"/>
      <c r="K508"/>
      <c r="L508"/>
      <c r="M508"/>
    </row>
    <row r="509" spans="1:13" ht="25.5" customHeight="1">
      <c r="A509" s="1"/>
      <c r="B509" s="1"/>
      <c r="C509" s="104"/>
      <c r="H509"/>
      <c r="K509"/>
      <c r="L509"/>
      <c r="M509"/>
    </row>
    <row r="510" spans="1:13" ht="25.5" customHeight="1">
      <c r="A510" s="1"/>
      <c r="B510" s="1"/>
      <c r="C510" s="104"/>
      <c r="H510"/>
      <c r="K510"/>
      <c r="L510"/>
      <c r="M510"/>
    </row>
    <row r="511" spans="1:13" ht="25.5" customHeight="1">
      <c r="A511" s="1"/>
      <c r="B511" s="1"/>
      <c r="C511" s="104"/>
      <c r="H511"/>
      <c r="K511"/>
      <c r="L511"/>
      <c r="M511"/>
    </row>
    <row r="512" spans="1:13" ht="25.5" customHeight="1">
      <c r="A512" s="1"/>
      <c r="B512" s="1"/>
      <c r="C512" s="104"/>
      <c r="H512"/>
      <c r="K512"/>
      <c r="L512"/>
      <c r="M512"/>
    </row>
    <row r="513" spans="1:13" ht="25.5" customHeight="1">
      <c r="A513" s="1"/>
      <c r="B513" s="1"/>
      <c r="C513" s="104"/>
      <c r="H513"/>
      <c r="K513"/>
      <c r="L513"/>
      <c r="M513"/>
    </row>
    <row r="514" spans="1:13" ht="25.5" customHeight="1">
      <c r="A514" s="1"/>
      <c r="B514" s="1"/>
      <c r="C514" s="104"/>
      <c r="H514"/>
      <c r="K514"/>
      <c r="L514"/>
      <c r="M514"/>
    </row>
    <row r="515" spans="1:13" ht="25.5" customHeight="1">
      <c r="A515" s="1"/>
      <c r="B515" s="1"/>
      <c r="C515" s="104"/>
      <c r="H515"/>
      <c r="K515"/>
      <c r="L515"/>
      <c r="M515"/>
    </row>
    <row r="516" spans="1:13" ht="25.5" customHeight="1">
      <c r="A516" s="1"/>
      <c r="B516" s="1"/>
      <c r="C516" s="104"/>
      <c r="H516"/>
      <c r="K516"/>
      <c r="L516"/>
      <c r="M516"/>
    </row>
    <row r="517" spans="1:13" ht="25.5" customHeight="1">
      <c r="A517" s="1"/>
      <c r="B517" s="1"/>
      <c r="C517" s="104"/>
      <c r="H517"/>
      <c r="K517"/>
      <c r="L517"/>
      <c r="M517"/>
    </row>
    <row r="518" spans="1:13" ht="25.5" customHeight="1">
      <c r="A518" s="1"/>
      <c r="B518" s="1"/>
      <c r="C518" s="104"/>
      <c r="H518"/>
      <c r="K518"/>
      <c r="L518"/>
      <c r="M518"/>
    </row>
    <row r="519" spans="1:13" ht="25.5" customHeight="1">
      <c r="A519" s="1"/>
      <c r="B519" s="1"/>
      <c r="C519" s="104"/>
      <c r="H519"/>
      <c r="K519"/>
      <c r="L519"/>
      <c r="M519"/>
    </row>
    <row r="520" spans="1:13" ht="25.5" customHeight="1">
      <c r="A520" s="1"/>
      <c r="B520" s="1"/>
      <c r="C520" s="104"/>
      <c r="H520"/>
      <c r="K520"/>
      <c r="L520"/>
      <c r="M520"/>
    </row>
    <row r="521" spans="1:13" ht="25.5" customHeight="1">
      <c r="A521" s="1"/>
      <c r="B521" s="1"/>
      <c r="C521" s="104"/>
      <c r="H521"/>
      <c r="K521"/>
      <c r="L521"/>
      <c r="M521"/>
    </row>
    <row r="522" spans="1:13" ht="25.5" customHeight="1">
      <c r="A522" s="1"/>
      <c r="B522" s="1"/>
      <c r="C522" s="104"/>
      <c r="H522"/>
      <c r="K522"/>
      <c r="L522"/>
      <c r="M522"/>
    </row>
    <row r="523" spans="1:13" ht="25.5" customHeight="1">
      <c r="A523" s="1"/>
      <c r="B523" s="1"/>
      <c r="C523" s="104"/>
      <c r="H523"/>
      <c r="K523"/>
      <c r="L523"/>
      <c r="M523"/>
    </row>
    <row r="524" spans="1:13" ht="25.5" customHeight="1">
      <c r="A524" s="1"/>
      <c r="B524" s="1"/>
      <c r="C524" s="104"/>
      <c r="H524"/>
      <c r="K524"/>
      <c r="L524"/>
      <c r="M524"/>
    </row>
    <row r="525" spans="1:13" ht="25.5" customHeight="1">
      <c r="A525" s="1"/>
      <c r="B525" s="1"/>
      <c r="C525" s="104"/>
      <c r="H525"/>
      <c r="K525"/>
      <c r="L525"/>
      <c r="M525"/>
    </row>
    <row r="526" spans="1:13" ht="25.5" customHeight="1">
      <c r="A526" s="1"/>
      <c r="B526" s="1"/>
      <c r="C526" s="104"/>
      <c r="H526"/>
      <c r="K526"/>
      <c r="L526"/>
      <c r="M526"/>
    </row>
    <row r="527" spans="1:13" ht="25.5" customHeight="1">
      <c r="A527" s="1"/>
      <c r="B527" s="1"/>
      <c r="C527" s="104"/>
      <c r="H527"/>
      <c r="K527"/>
      <c r="L527"/>
      <c r="M527"/>
    </row>
    <row r="528" spans="1:13" ht="25.5" customHeight="1">
      <c r="A528" s="1"/>
      <c r="B528" s="1"/>
      <c r="C528" s="104"/>
      <c r="H528"/>
      <c r="K528"/>
      <c r="L528"/>
      <c r="M528"/>
    </row>
    <row r="529" spans="1:13" ht="25.5" customHeight="1">
      <c r="A529" s="1"/>
      <c r="B529" s="1"/>
      <c r="C529" s="104"/>
      <c r="H529"/>
      <c r="K529"/>
      <c r="L529"/>
      <c r="M529"/>
    </row>
    <row r="530" spans="1:13" ht="25.5" customHeight="1">
      <c r="A530" s="1"/>
      <c r="B530" s="1"/>
      <c r="C530" s="104"/>
      <c r="H530"/>
      <c r="K530"/>
      <c r="L530"/>
      <c r="M530"/>
    </row>
    <row r="531" spans="1:13" ht="25.5" customHeight="1">
      <c r="A531" s="1"/>
      <c r="B531" s="1"/>
      <c r="C531" s="104"/>
      <c r="H531"/>
      <c r="K531"/>
      <c r="L531"/>
      <c r="M531"/>
    </row>
    <row r="532" spans="1:13" ht="25.5" customHeight="1">
      <c r="A532" s="1"/>
      <c r="B532" s="1"/>
      <c r="C532" s="104"/>
      <c r="H532"/>
      <c r="K532"/>
      <c r="L532"/>
      <c r="M532"/>
    </row>
    <row r="533" spans="1:13" ht="25.5" customHeight="1">
      <c r="A533" s="1"/>
      <c r="B533" s="1"/>
      <c r="C533" s="104"/>
      <c r="H533"/>
      <c r="K533"/>
      <c r="L533"/>
      <c r="M533"/>
    </row>
    <row r="534" spans="1:13" ht="25.5" customHeight="1">
      <c r="A534" s="1"/>
      <c r="B534" s="1"/>
      <c r="C534" s="104"/>
      <c r="H534"/>
      <c r="K534"/>
      <c r="L534"/>
      <c r="M534"/>
    </row>
    <row r="535" spans="1:13" ht="25.5" customHeight="1">
      <c r="A535" s="1"/>
      <c r="B535" s="1"/>
      <c r="C535" s="104"/>
      <c r="H535"/>
      <c r="K535"/>
      <c r="L535"/>
      <c r="M535"/>
    </row>
    <row r="536" spans="1:13" ht="25.5" customHeight="1">
      <c r="A536" s="1"/>
      <c r="B536" s="1"/>
      <c r="C536" s="104"/>
      <c r="H536"/>
      <c r="K536"/>
      <c r="L536"/>
      <c r="M536"/>
    </row>
    <row r="537" spans="1:13" ht="25.5" customHeight="1">
      <c r="A537" s="1"/>
      <c r="B537" s="1"/>
      <c r="C537" s="104"/>
      <c r="H537"/>
      <c r="K537"/>
      <c r="L537"/>
      <c r="M537"/>
    </row>
    <row r="538" spans="1:13" ht="25.5" customHeight="1">
      <c r="A538" s="1"/>
      <c r="B538" s="1"/>
      <c r="C538" s="104"/>
      <c r="H538"/>
      <c r="K538"/>
      <c r="L538"/>
      <c r="M538"/>
    </row>
    <row r="539" spans="1:13" ht="25.5" customHeight="1">
      <c r="A539" s="1"/>
      <c r="B539" s="1"/>
      <c r="C539" s="104"/>
      <c r="H539"/>
      <c r="K539"/>
      <c r="L539"/>
      <c r="M539"/>
    </row>
    <row r="540" spans="1:13" ht="25.5" customHeight="1">
      <c r="A540" s="1"/>
      <c r="B540" s="1"/>
      <c r="C540" s="104"/>
      <c r="H540"/>
      <c r="K540"/>
      <c r="L540"/>
      <c r="M540"/>
    </row>
    <row r="541" spans="1:13" ht="25.5" customHeight="1">
      <c r="A541" s="1"/>
      <c r="B541" s="1"/>
      <c r="C541" s="104"/>
      <c r="H541"/>
      <c r="K541"/>
      <c r="L541"/>
      <c r="M541"/>
    </row>
    <row r="542" spans="1:13" ht="25.5" customHeight="1">
      <c r="A542" s="1"/>
      <c r="B542" s="1"/>
      <c r="C542" s="104"/>
      <c r="H542"/>
      <c r="K542"/>
      <c r="L542"/>
      <c r="M542"/>
    </row>
    <row r="543" spans="1:13" ht="25.5" customHeight="1">
      <c r="A543" s="1"/>
      <c r="B543" s="1"/>
      <c r="C543" s="104"/>
      <c r="H543"/>
      <c r="K543"/>
      <c r="L543"/>
      <c r="M543"/>
    </row>
    <row r="544" spans="1:13" ht="25.5" customHeight="1">
      <c r="A544" s="1"/>
      <c r="B544" s="1"/>
      <c r="C544" s="104"/>
      <c r="H544"/>
      <c r="K544"/>
      <c r="L544"/>
      <c r="M544"/>
    </row>
    <row r="545" spans="1:13" ht="25.5" customHeight="1">
      <c r="A545" s="1"/>
      <c r="B545" s="1"/>
      <c r="C545" s="104"/>
      <c r="H545"/>
      <c r="K545"/>
      <c r="L545"/>
      <c r="M545"/>
    </row>
    <row r="546" spans="1:13" ht="25.5" customHeight="1">
      <c r="A546" s="1"/>
      <c r="B546" s="1"/>
      <c r="C546" s="104"/>
      <c r="H546"/>
      <c r="K546"/>
      <c r="L546"/>
      <c r="M546"/>
    </row>
    <row r="547" spans="1:13" ht="25.5" customHeight="1">
      <c r="A547" s="1"/>
      <c r="B547" s="1"/>
      <c r="C547" s="104"/>
      <c r="H547"/>
      <c r="K547"/>
      <c r="L547"/>
      <c r="M547"/>
    </row>
    <row r="548" spans="1:13" ht="25.5" customHeight="1">
      <c r="A548" s="1"/>
      <c r="B548" s="1"/>
      <c r="C548" s="104"/>
      <c r="H548"/>
      <c r="K548"/>
      <c r="L548"/>
      <c r="M548"/>
    </row>
    <row r="549" spans="1:13" ht="25.5" customHeight="1">
      <c r="A549" s="1"/>
      <c r="B549" s="1"/>
      <c r="C549" s="104"/>
      <c r="H549"/>
      <c r="K549"/>
      <c r="L549"/>
      <c r="M549"/>
    </row>
    <row r="550" spans="1:13" ht="25.5" customHeight="1">
      <c r="A550" s="1"/>
      <c r="B550" s="1"/>
      <c r="C550" s="104"/>
      <c r="H550"/>
      <c r="K550"/>
      <c r="L550"/>
      <c r="M550"/>
    </row>
    <row r="551" spans="1:13" ht="25.5" customHeight="1">
      <c r="A551" s="1"/>
      <c r="B551" s="1"/>
      <c r="C551" s="104"/>
      <c r="H551"/>
      <c r="K551"/>
      <c r="L551"/>
      <c r="M551"/>
    </row>
    <row r="552" spans="1:13" ht="25.5" customHeight="1">
      <c r="A552" s="1"/>
      <c r="B552" s="1"/>
      <c r="C552" s="104"/>
      <c r="H552"/>
      <c r="K552"/>
      <c r="L552"/>
      <c r="M552"/>
    </row>
    <row r="553" spans="1:13" ht="25.5" customHeight="1">
      <c r="A553" s="1"/>
      <c r="B553" s="1"/>
      <c r="C553" s="104"/>
      <c r="H553"/>
      <c r="K553"/>
      <c r="L553"/>
      <c r="M553"/>
    </row>
    <row r="554" spans="1:13" ht="25.5" customHeight="1">
      <c r="A554" s="1"/>
      <c r="B554" s="1"/>
      <c r="C554" s="104"/>
      <c r="H554"/>
      <c r="K554"/>
      <c r="L554"/>
      <c r="M554"/>
    </row>
    <row r="555" spans="1:13" ht="25.5" customHeight="1">
      <c r="A555" s="1"/>
      <c r="B555" s="1"/>
      <c r="C555" s="104"/>
      <c r="H555"/>
      <c r="K555"/>
      <c r="L555"/>
      <c r="M555"/>
    </row>
    <row r="556" spans="1:13" ht="25.5" customHeight="1">
      <c r="A556" s="1"/>
      <c r="B556" s="1"/>
      <c r="C556" s="104"/>
      <c r="H556"/>
      <c r="K556"/>
      <c r="L556"/>
      <c r="M556"/>
    </row>
    <row r="557" spans="1:13" ht="25.5" customHeight="1">
      <c r="A557" s="1"/>
      <c r="B557" s="1"/>
      <c r="C557" s="104"/>
      <c r="H557"/>
      <c r="K557"/>
      <c r="L557"/>
      <c r="M557"/>
    </row>
    <row r="558" spans="1:13" ht="25.5" customHeight="1">
      <c r="A558" s="1"/>
      <c r="B558" s="1"/>
      <c r="C558" s="104"/>
      <c r="H558"/>
      <c r="K558"/>
      <c r="L558"/>
      <c r="M558"/>
    </row>
    <row r="559" spans="1:13" ht="25.5" customHeight="1">
      <c r="A559" s="1"/>
      <c r="B559" s="1"/>
      <c r="C559" s="104"/>
      <c r="H559"/>
      <c r="K559"/>
      <c r="L559"/>
      <c r="M559"/>
    </row>
    <row r="560" spans="1:13" ht="25.5" customHeight="1">
      <c r="A560" s="1"/>
      <c r="B560" s="1"/>
      <c r="C560" s="104"/>
      <c r="H560"/>
      <c r="K560"/>
      <c r="L560"/>
      <c r="M560"/>
    </row>
    <row r="561" spans="1:13" ht="25.5" customHeight="1">
      <c r="A561" s="1"/>
      <c r="B561" s="1"/>
      <c r="C561" s="104"/>
      <c r="H561"/>
      <c r="K561"/>
      <c r="L561"/>
      <c r="M561"/>
    </row>
    <row r="562" spans="1:13" ht="25.5" customHeight="1">
      <c r="A562" s="1"/>
      <c r="B562" s="1"/>
      <c r="C562" s="104"/>
      <c r="H562"/>
      <c r="K562"/>
      <c r="L562"/>
      <c r="M562"/>
    </row>
    <row r="563" spans="1:13" ht="25.5" customHeight="1">
      <c r="A563" s="1"/>
      <c r="B563" s="1"/>
      <c r="C563" s="104"/>
      <c r="H563"/>
      <c r="K563"/>
      <c r="L563"/>
      <c r="M563"/>
    </row>
    <row r="564" spans="1:13" ht="25.5" customHeight="1">
      <c r="A564" s="1"/>
      <c r="B564" s="1"/>
      <c r="C564" s="104"/>
      <c r="H564"/>
      <c r="K564"/>
      <c r="L564"/>
      <c r="M564"/>
    </row>
    <row r="565" spans="1:13" ht="25.5" customHeight="1">
      <c r="A565" s="1"/>
      <c r="B565" s="1"/>
      <c r="C565" s="104"/>
      <c r="H565"/>
      <c r="K565"/>
      <c r="L565"/>
      <c r="M565"/>
    </row>
    <row r="566" spans="1:13" ht="25.5" customHeight="1">
      <c r="A566" s="1"/>
      <c r="B566" s="1"/>
      <c r="C566" s="104"/>
      <c r="H566"/>
      <c r="K566"/>
      <c r="L566"/>
      <c r="M566"/>
    </row>
    <row r="567" spans="1:13" ht="25.5" customHeight="1">
      <c r="A567" s="1"/>
      <c r="B567" s="1"/>
      <c r="C567" s="104"/>
      <c r="H567"/>
      <c r="K567"/>
      <c r="L567"/>
      <c r="M567"/>
    </row>
    <row r="568" spans="1:13" ht="25.5" customHeight="1">
      <c r="A568" s="1"/>
      <c r="B568" s="1"/>
      <c r="C568" s="104"/>
      <c r="H568"/>
      <c r="K568"/>
      <c r="L568"/>
      <c r="M568"/>
    </row>
    <row r="569" spans="1:13" ht="25.5" customHeight="1">
      <c r="A569" s="1"/>
      <c r="B569" s="1"/>
      <c r="C569" s="104"/>
      <c r="H569"/>
      <c r="K569"/>
      <c r="L569"/>
      <c r="M569"/>
    </row>
    <row r="570" spans="1:13" ht="25.5" customHeight="1">
      <c r="A570" s="1"/>
      <c r="B570" s="1"/>
      <c r="C570" s="104"/>
      <c r="H570"/>
      <c r="K570"/>
      <c r="L570"/>
      <c r="M570"/>
    </row>
    <row r="571" spans="1:13" ht="25.5" customHeight="1">
      <c r="A571" s="1"/>
      <c r="B571" s="1"/>
      <c r="C571" s="104"/>
      <c r="H571"/>
      <c r="K571"/>
      <c r="L571"/>
      <c r="M571"/>
    </row>
    <row r="572" spans="1:13" ht="25.5" customHeight="1">
      <c r="A572" s="1"/>
      <c r="B572" s="1"/>
      <c r="C572" s="104"/>
      <c r="H572"/>
      <c r="K572"/>
      <c r="L572"/>
      <c r="M572"/>
    </row>
    <row r="573" spans="1:13" ht="25.5" customHeight="1">
      <c r="A573" s="1"/>
      <c r="B573" s="1"/>
      <c r="C573" s="104"/>
      <c r="H573"/>
      <c r="K573"/>
      <c r="L573"/>
      <c r="M573"/>
    </row>
    <row r="574" spans="1:13" ht="25.5" customHeight="1">
      <c r="A574" s="1"/>
      <c r="B574" s="1"/>
      <c r="C574" s="104"/>
      <c r="H574"/>
      <c r="K574"/>
      <c r="L574"/>
      <c r="M574"/>
    </row>
    <row r="575" spans="1:13" ht="25.5" customHeight="1">
      <c r="A575" s="1"/>
      <c r="B575" s="1"/>
      <c r="C575" s="104"/>
      <c r="H575"/>
      <c r="K575"/>
      <c r="L575"/>
      <c r="M575"/>
    </row>
    <row r="576" spans="1:13" ht="25.5" customHeight="1">
      <c r="A576" s="1"/>
      <c r="B576" s="1"/>
      <c r="C576" s="104"/>
      <c r="H576"/>
      <c r="K576"/>
      <c r="L576"/>
      <c r="M576"/>
    </row>
    <row r="577" spans="1:13" ht="25.5" customHeight="1">
      <c r="A577" s="1"/>
      <c r="B577" s="1"/>
      <c r="C577" s="104"/>
      <c r="H577"/>
      <c r="K577"/>
      <c r="L577"/>
      <c r="M577"/>
    </row>
    <row r="578" spans="1:13" ht="25.5" customHeight="1">
      <c r="A578" s="1"/>
      <c r="B578" s="1"/>
      <c r="C578" s="104"/>
      <c r="H578"/>
      <c r="K578"/>
      <c r="L578"/>
      <c r="M578"/>
    </row>
    <row r="579" spans="1:13" ht="25.5" customHeight="1">
      <c r="A579" s="1"/>
      <c r="B579" s="1"/>
      <c r="C579" s="104"/>
      <c r="H579"/>
      <c r="K579"/>
      <c r="L579"/>
      <c r="M579"/>
    </row>
    <row r="580" spans="1:13" ht="25.5" customHeight="1">
      <c r="A580" s="1"/>
      <c r="B580" s="1"/>
      <c r="C580" s="104"/>
      <c r="H580"/>
      <c r="K580"/>
      <c r="L580"/>
      <c r="M580"/>
    </row>
    <row r="581" spans="1:13" ht="25.5" customHeight="1">
      <c r="A581" s="1"/>
      <c r="B581" s="1"/>
      <c r="C581" s="104"/>
      <c r="H581"/>
      <c r="K581"/>
      <c r="L581"/>
      <c r="M581"/>
    </row>
    <row r="582" spans="1:13" ht="25.5" customHeight="1">
      <c r="A582" s="1"/>
      <c r="B582" s="1"/>
      <c r="C582" s="104"/>
      <c r="H582"/>
      <c r="K582"/>
      <c r="L582"/>
      <c r="M582"/>
    </row>
    <row r="583" spans="1:13" ht="25.5" customHeight="1">
      <c r="A583" s="1"/>
      <c r="B583" s="1"/>
      <c r="C583" s="104"/>
      <c r="H583"/>
      <c r="K583"/>
      <c r="L583"/>
      <c r="M583"/>
    </row>
    <row r="584" spans="1:13" ht="25.5" customHeight="1">
      <c r="A584" s="1"/>
      <c r="B584" s="1"/>
      <c r="C584" s="104"/>
      <c r="H584"/>
      <c r="K584"/>
      <c r="L584"/>
      <c r="M584"/>
    </row>
    <row r="585" spans="1:13" ht="25.5" customHeight="1">
      <c r="A585" s="1"/>
      <c r="B585" s="1"/>
      <c r="C585" s="104"/>
      <c r="H585"/>
      <c r="K585"/>
      <c r="L585"/>
      <c r="M585"/>
    </row>
    <row r="586" spans="1:13" ht="25.5" customHeight="1">
      <c r="A586" s="1"/>
      <c r="B586" s="1"/>
      <c r="C586" s="104"/>
      <c r="H586"/>
      <c r="K586"/>
      <c r="L586"/>
      <c r="M586"/>
    </row>
    <row r="587" spans="1:13" ht="25.5" customHeight="1">
      <c r="A587" s="1"/>
      <c r="B587" s="1"/>
      <c r="C587" s="104"/>
      <c r="H587"/>
      <c r="K587"/>
      <c r="L587"/>
      <c r="M587"/>
    </row>
    <row r="588" spans="1:13" ht="25.5" customHeight="1">
      <c r="A588" s="1"/>
      <c r="B588" s="1"/>
      <c r="C588" s="104"/>
      <c r="H588"/>
      <c r="K588"/>
      <c r="L588"/>
      <c r="M588"/>
    </row>
    <row r="589" spans="1:13" ht="25.5" customHeight="1">
      <c r="A589" s="1"/>
      <c r="B589" s="1"/>
      <c r="C589" s="104"/>
      <c r="H589"/>
      <c r="K589"/>
      <c r="L589"/>
      <c r="M589"/>
    </row>
    <row r="590" spans="1:13" ht="25.5" customHeight="1">
      <c r="A590" s="1"/>
      <c r="B590" s="1"/>
      <c r="C590" s="104"/>
      <c r="H590"/>
      <c r="K590"/>
      <c r="L590"/>
      <c r="M590"/>
    </row>
    <row r="591" spans="1:13" ht="25.5" customHeight="1">
      <c r="A591" s="1"/>
      <c r="B591" s="1"/>
      <c r="C591" s="104"/>
      <c r="H591"/>
      <c r="K591"/>
      <c r="L591"/>
      <c r="M591"/>
    </row>
    <row r="592" spans="1:13" ht="25.5" customHeight="1">
      <c r="A592" s="1"/>
      <c r="B592" s="1"/>
      <c r="C592" s="104"/>
      <c r="H592"/>
      <c r="K592"/>
      <c r="L592"/>
      <c r="M592"/>
    </row>
    <row r="593" spans="1:13" ht="25.5" customHeight="1">
      <c r="A593" s="1"/>
      <c r="B593" s="1"/>
      <c r="C593" s="104"/>
      <c r="H593"/>
      <c r="K593"/>
      <c r="L593"/>
      <c r="M593"/>
    </row>
    <row r="594" spans="1:13" ht="25.5" customHeight="1">
      <c r="A594" s="1"/>
      <c r="B594" s="1"/>
      <c r="C594" s="104"/>
      <c r="H594"/>
      <c r="K594"/>
      <c r="L594"/>
      <c r="M594"/>
    </row>
    <row r="595" spans="1:13" ht="25.5" customHeight="1">
      <c r="A595" s="1"/>
      <c r="B595" s="1"/>
      <c r="C595" s="104"/>
      <c r="H595"/>
      <c r="K595"/>
      <c r="L595"/>
      <c r="M595"/>
    </row>
    <row r="596" spans="1:13" ht="25.5" customHeight="1">
      <c r="A596" s="1"/>
      <c r="B596" s="1"/>
      <c r="C596" s="104"/>
      <c r="H596"/>
      <c r="K596"/>
      <c r="L596"/>
      <c r="M596"/>
    </row>
    <row r="597" spans="1:13" ht="25.5" customHeight="1">
      <c r="A597" s="1"/>
      <c r="B597" s="1"/>
      <c r="C597" s="104"/>
      <c r="H597"/>
      <c r="K597"/>
      <c r="L597"/>
      <c r="M597"/>
    </row>
    <row r="598" spans="1:13" ht="25.5" customHeight="1">
      <c r="A598" s="1"/>
      <c r="B598" s="1"/>
      <c r="C598" s="104"/>
      <c r="H598"/>
      <c r="K598"/>
      <c r="L598"/>
      <c r="M598"/>
    </row>
    <row r="599" spans="1:13" ht="25.5" customHeight="1">
      <c r="A599" s="1"/>
      <c r="B599" s="1"/>
      <c r="C599" s="104"/>
      <c r="H599"/>
      <c r="K599"/>
      <c r="L599"/>
      <c r="M599"/>
    </row>
    <row r="600" spans="1:13" ht="25.5" customHeight="1">
      <c r="A600" s="1"/>
      <c r="B600" s="1"/>
      <c r="C600" s="104"/>
      <c r="H600"/>
      <c r="K600"/>
      <c r="L600"/>
      <c r="M600"/>
    </row>
    <row r="601" spans="1:13" ht="25.5" customHeight="1">
      <c r="A601" s="1"/>
      <c r="B601" s="1"/>
      <c r="C601" s="104"/>
      <c r="H601"/>
      <c r="K601"/>
      <c r="L601"/>
      <c r="M601"/>
    </row>
    <row r="602" spans="1:13" ht="25.5" customHeight="1">
      <c r="A602" s="1"/>
      <c r="B602" s="1"/>
      <c r="C602" s="104"/>
      <c r="H602"/>
      <c r="K602"/>
      <c r="L602"/>
      <c r="M602"/>
    </row>
    <row r="603" spans="1:13" ht="25.5" customHeight="1">
      <c r="A603" s="1"/>
      <c r="B603" s="1"/>
      <c r="C603" s="104"/>
      <c r="H603"/>
      <c r="K603"/>
      <c r="L603"/>
      <c r="M603"/>
    </row>
    <row r="604" spans="1:13" ht="25.5" customHeight="1">
      <c r="A604" s="1"/>
      <c r="B604" s="1"/>
      <c r="C604" s="104"/>
      <c r="H604"/>
      <c r="K604"/>
      <c r="L604"/>
      <c r="M604"/>
    </row>
    <row r="605" spans="1:13" ht="25.5" customHeight="1">
      <c r="A605" s="1"/>
      <c r="B605" s="1"/>
      <c r="C605" s="104"/>
      <c r="H605"/>
      <c r="K605"/>
      <c r="L605"/>
      <c r="M605"/>
    </row>
    <row r="606" spans="1:13" ht="25.5" customHeight="1">
      <c r="A606" s="1"/>
      <c r="B606" s="1"/>
      <c r="C606" s="104"/>
      <c r="H606"/>
      <c r="K606"/>
      <c r="L606"/>
      <c r="M606"/>
    </row>
    <row r="607" spans="1:13" ht="25.5" customHeight="1">
      <c r="A607" s="1"/>
      <c r="B607" s="1"/>
      <c r="C607" s="104"/>
      <c r="H607"/>
      <c r="K607"/>
      <c r="L607"/>
      <c r="M607"/>
    </row>
    <row r="608" spans="1:13" ht="25.5" customHeight="1">
      <c r="A608" s="1"/>
      <c r="B608" s="1"/>
      <c r="C608" s="104"/>
      <c r="H608"/>
      <c r="K608"/>
      <c r="L608"/>
      <c r="M608"/>
    </row>
    <row r="609" spans="1:13" ht="25.5" customHeight="1">
      <c r="A609" s="1"/>
      <c r="B609" s="1"/>
      <c r="C609" s="104"/>
      <c r="H609"/>
      <c r="K609"/>
      <c r="L609"/>
      <c r="M609"/>
    </row>
    <row r="610" spans="1:13" ht="25.5" customHeight="1">
      <c r="A610" s="1"/>
      <c r="B610" s="1"/>
      <c r="C610" s="104"/>
      <c r="H610"/>
      <c r="K610"/>
      <c r="L610"/>
      <c r="M610"/>
    </row>
    <row r="611" spans="1:13" ht="25.5" customHeight="1">
      <c r="A611" s="1"/>
      <c r="B611" s="1"/>
      <c r="C611" s="104"/>
      <c r="H611"/>
      <c r="K611"/>
      <c r="L611"/>
      <c r="M611"/>
    </row>
    <row r="612" spans="1:13" ht="25.5" customHeight="1">
      <c r="A612" s="1"/>
      <c r="B612" s="1"/>
      <c r="C612" s="104"/>
      <c r="H612"/>
      <c r="K612"/>
      <c r="L612"/>
      <c r="M612"/>
    </row>
    <row r="613" spans="1:13" ht="25.5" customHeight="1">
      <c r="A613" s="1"/>
      <c r="B613" s="1"/>
      <c r="C613" s="104"/>
      <c r="H613"/>
      <c r="K613"/>
      <c r="L613"/>
      <c r="M613"/>
    </row>
    <row r="614" spans="1:13" ht="25.5" customHeight="1">
      <c r="A614" s="1"/>
      <c r="B614" s="1"/>
      <c r="C614" s="104"/>
      <c r="H614"/>
      <c r="K614"/>
      <c r="L614"/>
      <c r="M614"/>
    </row>
    <row r="615" spans="1:13" ht="25.5" customHeight="1">
      <c r="A615" s="1"/>
      <c r="B615" s="1"/>
      <c r="C615" s="104"/>
      <c r="H615"/>
      <c r="K615"/>
      <c r="L615"/>
      <c r="M615"/>
    </row>
    <row r="616" spans="1:13" ht="25.5" customHeight="1">
      <c r="A616" s="1"/>
      <c r="B616" s="1"/>
      <c r="C616" s="104"/>
      <c r="H616"/>
      <c r="K616"/>
      <c r="L616"/>
      <c r="M616"/>
    </row>
    <row r="617" spans="1:13" ht="25.5" customHeight="1">
      <c r="A617" s="1"/>
      <c r="B617" s="1"/>
      <c r="C617" s="104"/>
      <c r="H617"/>
      <c r="K617"/>
      <c r="L617"/>
      <c r="M617"/>
    </row>
    <row r="618" spans="1:13" ht="25.5" customHeight="1">
      <c r="A618" s="1"/>
      <c r="B618" s="1"/>
      <c r="C618" s="104"/>
      <c r="H618"/>
      <c r="K618"/>
      <c r="L618"/>
      <c r="M618"/>
    </row>
    <row r="619" spans="1:13" ht="25.5" customHeight="1">
      <c r="A619" s="1"/>
      <c r="B619" s="1"/>
      <c r="C619" s="104"/>
      <c r="H619"/>
      <c r="K619"/>
      <c r="L619"/>
      <c r="M619"/>
    </row>
    <row r="620" spans="1:13" ht="25.5" customHeight="1">
      <c r="A620" s="1"/>
      <c r="B620" s="1"/>
      <c r="C620" s="104"/>
      <c r="H620"/>
      <c r="K620"/>
      <c r="L620"/>
      <c r="M620"/>
    </row>
    <row r="621" spans="1:13" ht="25.5" customHeight="1">
      <c r="A621" s="1"/>
      <c r="B621" s="1"/>
      <c r="C621" s="104"/>
      <c r="H621"/>
      <c r="K621"/>
      <c r="L621"/>
      <c r="M621"/>
    </row>
    <row r="622" spans="1:13" ht="25.5" customHeight="1">
      <c r="A622" s="1"/>
      <c r="B622" s="1"/>
      <c r="C622" s="104"/>
      <c r="H622"/>
      <c r="K622"/>
      <c r="L622"/>
      <c r="M622"/>
    </row>
    <row r="623" spans="1:13" ht="25.5" customHeight="1">
      <c r="A623" s="1"/>
      <c r="B623" s="1"/>
      <c r="C623" s="104"/>
      <c r="H623"/>
      <c r="K623"/>
      <c r="L623"/>
      <c r="M623"/>
    </row>
    <row r="624" spans="1:13" ht="25.5" customHeight="1">
      <c r="A624" s="1"/>
      <c r="B624" s="1"/>
      <c r="C624" s="104"/>
      <c r="H624"/>
      <c r="K624"/>
      <c r="L624"/>
      <c r="M624"/>
    </row>
    <row r="625" spans="1:13" ht="25.5" customHeight="1">
      <c r="A625" s="1"/>
      <c r="B625" s="1"/>
      <c r="C625" s="104"/>
      <c r="H625"/>
      <c r="K625"/>
      <c r="L625"/>
      <c r="M625"/>
    </row>
    <row r="626" spans="1:13" ht="25.5" customHeight="1">
      <c r="A626" s="1"/>
      <c r="B626" s="1"/>
      <c r="C626" s="104"/>
      <c r="H626"/>
      <c r="K626"/>
      <c r="L626"/>
      <c r="M626"/>
    </row>
    <row r="627" spans="1:13" ht="25.5" customHeight="1">
      <c r="A627" s="1"/>
      <c r="B627" s="1"/>
      <c r="C627" s="104"/>
      <c r="H627"/>
      <c r="K627"/>
      <c r="L627"/>
      <c r="M627"/>
    </row>
    <row r="628" spans="1:13" ht="25.5" customHeight="1">
      <c r="A628" s="1"/>
      <c r="B628" s="1"/>
      <c r="C628" s="104"/>
      <c r="H628"/>
      <c r="K628"/>
      <c r="L628"/>
      <c r="M628"/>
    </row>
    <row r="629" spans="1:13" ht="25.5" customHeight="1">
      <c r="A629" s="1"/>
      <c r="B629" s="1"/>
      <c r="C629" s="104"/>
      <c r="H629"/>
      <c r="K629"/>
      <c r="L629"/>
      <c r="M629"/>
    </row>
    <row r="630" spans="1:13" ht="25.5" customHeight="1">
      <c r="A630" s="1"/>
      <c r="B630" s="1"/>
      <c r="C630" s="104"/>
      <c r="H630"/>
      <c r="K630"/>
      <c r="L630"/>
      <c r="M630"/>
    </row>
    <row r="631" spans="1:13" ht="25.5" customHeight="1">
      <c r="A631" s="1"/>
      <c r="B631" s="1"/>
      <c r="C631" s="104"/>
      <c r="H631"/>
      <c r="K631"/>
      <c r="L631"/>
      <c r="M631"/>
    </row>
    <row r="632" spans="1:13" ht="25.5" customHeight="1">
      <c r="A632" s="1"/>
      <c r="B632" s="1"/>
      <c r="C632" s="104"/>
      <c r="H632"/>
      <c r="K632"/>
      <c r="L632"/>
      <c r="M632"/>
    </row>
    <row r="633" spans="1:13" ht="25.5" customHeight="1">
      <c r="A633" s="1"/>
      <c r="B633" s="1"/>
      <c r="C633" s="104"/>
      <c r="H633"/>
      <c r="K633"/>
      <c r="L633"/>
      <c r="M633"/>
    </row>
    <row r="634" spans="1:13" ht="25.5" customHeight="1">
      <c r="A634" s="1"/>
      <c r="B634" s="1"/>
      <c r="C634" s="104"/>
      <c r="H634"/>
      <c r="K634"/>
      <c r="L634"/>
      <c r="M634"/>
    </row>
    <row r="635" spans="1:13" ht="25.5" customHeight="1">
      <c r="A635" s="1"/>
      <c r="B635" s="1"/>
      <c r="C635" s="104"/>
      <c r="H635"/>
      <c r="K635"/>
      <c r="L635"/>
      <c r="M635"/>
    </row>
    <row r="636" spans="1:13" ht="25.5" customHeight="1">
      <c r="A636" s="1"/>
      <c r="B636" s="1"/>
      <c r="C636" s="104"/>
      <c r="H636"/>
      <c r="K636"/>
      <c r="L636"/>
      <c r="M636"/>
    </row>
    <row r="637" spans="1:13" ht="25.5" customHeight="1">
      <c r="A637" s="1"/>
      <c r="B637" s="1"/>
      <c r="C637" s="104"/>
      <c r="H637"/>
      <c r="K637"/>
      <c r="L637"/>
      <c r="M637"/>
    </row>
    <row r="638" spans="1:13" ht="25.5" customHeight="1">
      <c r="A638" s="1"/>
      <c r="B638" s="1"/>
      <c r="C638" s="104"/>
      <c r="H638"/>
      <c r="K638"/>
      <c r="L638"/>
      <c r="M638"/>
    </row>
    <row r="639" spans="1:13" ht="25.5" customHeight="1">
      <c r="A639" s="1"/>
      <c r="B639" s="1"/>
      <c r="C639" s="104"/>
      <c r="H639"/>
      <c r="K639"/>
      <c r="L639"/>
      <c r="M639"/>
    </row>
    <row r="640" spans="1:13" ht="25.5" customHeight="1">
      <c r="A640" s="1"/>
      <c r="B640" s="1"/>
      <c r="C640" s="104"/>
      <c r="H640"/>
      <c r="K640"/>
      <c r="L640"/>
      <c r="M640"/>
    </row>
    <row r="641" spans="1:13" ht="25.5" customHeight="1">
      <c r="A641" s="1"/>
      <c r="B641" s="1"/>
      <c r="C641" s="104"/>
      <c r="H641"/>
      <c r="K641"/>
      <c r="L641"/>
      <c r="M641"/>
    </row>
    <row r="642" spans="1:13" ht="25.5" customHeight="1">
      <c r="A642" s="1"/>
      <c r="B642" s="1"/>
      <c r="C642" s="104"/>
      <c r="H642"/>
      <c r="K642"/>
      <c r="L642"/>
      <c r="M642"/>
    </row>
    <row r="643" spans="1:13" ht="25.5" customHeight="1">
      <c r="A643" s="1"/>
      <c r="B643" s="1"/>
      <c r="C643" s="104"/>
      <c r="H643"/>
      <c r="K643"/>
      <c r="L643"/>
      <c r="M643"/>
    </row>
    <row r="644" spans="1:13" ht="25.5" customHeight="1">
      <c r="A644" s="1"/>
      <c r="B644" s="1"/>
      <c r="C644" s="104"/>
      <c r="H644"/>
      <c r="K644"/>
      <c r="L644"/>
      <c r="M644"/>
    </row>
    <row r="645" spans="1:13" ht="25.5" customHeight="1">
      <c r="A645" s="1"/>
      <c r="B645" s="1"/>
      <c r="C645" s="104"/>
      <c r="H645"/>
      <c r="K645"/>
      <c r="L645"/>
      <c r="M645"/>
    </row>
    <row r="646" spans="1:13" ht="25.5" customHeight="1">
      <c r="A646" s="1"/>
      <c r="B646" s="1"/>
      <c r="C646" s="104"/>
      <c r="H646"/>
      <c r="K646"/>
      <c r="L646"/>
      <c r="M646"/>
    </row>
    <row r="647" spans="1:13" ht="25.5" customHeight="1">
      <c r="A647" s="1"/>
      <c r="B647" s="1"/>
      <c r="C647" s="104"/>
      <c r="H647"/>
      <c r="K647"/>
      <c r="L647"/>
      <c r="M647"/>
    </row>
    <row r="648" spans="1:13" ht="25.5" customHeight="1">
      <c r="A648" s="1"/>
      <c r="B648" s="1"/>
      <c r="C648" s="104"/>
      <c r="H648"/>
      <c r="K648"/>
      <c r="L648"/>
      <c r="M648"/>
    </row>
    <row r="649" spans="1:13" ht="25.5" customHeight="1">
      <c r="A649" s="1"/>
      <c r="B649" s="1"/>
      <c r="C649" s="104"/>
      <c r="H649"/>
      <c r="K649"/>
      <c r="L649"/>
      <c r="M649"/>
    </row>
    <row r="650" spans="1:13" ht="25.5" customHeight="1">
      <c r="A650" s="1"/>
      <c r="B650" s="1"/>
      <c r="C650" s="104"/>
      <c r="H650"/>
      <c r="K650"/>
      <c r="L650"/>
      <c r="M650"/>
    </row>
    <row r="651" spans="1:13" ht="25.5" customHeight="1">
      <c r="A651" s="1"/>
      <c r="B651" s="1"/>
      <c r="C651" s="104"/>
      <c r="H651"/>
      <c r="K651"/>
      <c r="L651"/>
      <c r="M651"/>
    </row>
    <row r="652" spans="1:13" ht="25.5" customHeight="1">
      <c r="A652" s="1"/>
      <c r="B652" s="1"/>
      <c r="C652" s="104"/>
      <c r="H652"/>
      <c r="K652"/>
      <c r="L652"/>
      <c r="M652"/>
    </row>
    <row r="653" spans="1:13" ht="25.5" customHeight="1">
      <c r="A653" s="1"/>
      <c r="B653" s="1"/>
      <c r="C653" s="104"/>
      <c r="H653"/>
      <c r="K653"/>
      <c r="L653"/>
      <c r="M653"/>
    </row>
    <row r="654" spans="1:13" ht="25.5" customHeight="1">
      <c r="A654" s="1"/>
      <c r="B654" s="1"/>
      <c r="C654" s="104"/>
      <c r="H654"/>
      <c r="K654"/>
      <c r="L654"/>
      <c r="M654"/>
    </row>
    <row r="655" spans="1:13" ht="25.5" customHeight="1">
      <c r="A655" s="1"/>
      <c r="B655" s="1"/>
      <c r="C655" s="104"/>
      <c r="H655"/>
      <c r="K655"/>
      <c r="L655"/>
      <c r="M655"/>
    </row>
    <row r="656" spans="1:13" ht="25.5" customHeight="1">
      <c r="A656" s="1"/>
      <c r="B656" s="1"/>
      <c r="C656" s="104"/>
      <c r="H656"/>
      <c r="K656"/>
      <c r="L656"/>
      <c r="M656"/>
    </row>
    <row r="657" spans="1:13" ht="25.5" customHeight="1">
      <c r="A657" s="1"/>
      <c r="B657" s="1"/>
      <c r="C657" s="104"/>
      <c r="H657"/>
      <c r="K657"/>
      <c r="L657"/>
      <c r="M657"/>
    </row>
    <row r="658" spans="1:13" ht="25.5" customHeight="1">
      <c r="A658" s="1"/>
      <c r="B658" s="1"/>
      <c r="C658" s="104"/>
      <c r="H658"/>
      <c r="K658"/>
      <c r="L658"/>
      <c r="M658"/>
    </row>
    <row r="659" spans="1:13" ht="25.5" customHeight="1">
      <c r="A659" s="1"/>
      <c r="B659" s="1"/>
      <c r="C659" s="104"/>
      <c r="H659"/>
      <c r="K659"/>
      <c r="L659"/>
      <c r="M659"/>
    </row>
    <row r="660" spans="1:13" ht="25.5" customHeight="1">
      <c r="A660" s="1"/>
      <c r="B660" s="1"/>
      <c r="C660" s="104"/>
      <c r="H660"/>
      <c r="K660"/>
      <c r="L660"/>
      <c r="M660"/>
    </row>
    <row r="661" spans="1:13" ht="25.5" customHeight="1">
      <c r="A661" s="1"/>
      <c r="B661" s="1"/>
      <c r="C661" s="104"/>
      <c r="H661"/>
      <c r="K661"/>
      <c r="L661"/>
      <c r="M661"/>
    </row>
    <row r="662" spans="1:13" ht="25.5" customHeight="1">
      <c r="A662" s="1"/>
      <c r="B662" s="1"/>
      <c r="C662" s="104"/>
      <c r="H662"/>
      <c r="K662"/>
      <c r="L662"/>
      <c r="M662"/>
    </row>
    <row r="663" spans="1:13" ht="25.5" customHeight="1">
      <c r="A663" s="1"/>
      <c r="B663" s="1"/>
      <c r="C663" s="104"/>
      <c r="H663"/>
      <c r="K663"/>
      <c r="L663"/>
      <c r="M663"/>
    </row>
    <row r="664" spans="1:13" ht="25.5" customHeight="1">
      <c r="A664" s="1"/>
      <c r="B664" s="1"/>
      <c r="C664" s="104"/>
      <c r="H664"/>
      <c r="K664"/>
      <c r="L664"/>
      <c r="M664"/>
    </row>
    <row r="665" spans="1:13" ht="25.5" customHeight="1">
      <c r="A665" s="1"/>
      <c r="B665" s="1"/>
      <c r="C665" s="104"/>
      <c r="H665"/>
      <c r="K665"/>
      <c r="L665"/>
      <c r="M665"/>
    </row>
    <row r="666" spans="1:13" ht="25.5" customHeight="1">
      <c r="A666" s="1"/>
      <c r="B666" s="1"/>
      <c r="C666" s="104"/>
      <c r="H666"/>
      <c r="K666"/>
      <c r="L666"/>
      <c r="M666"/>
    </row>
    <row r="667" spans="1:13" ht="25.5" customHeight="1">
      <c r="A667" s="1"/>
      <c r="B667" s="1"/>
      <c r="C667" s="104"/>
      <c r="H667"/>
      <c r="K667"/>
      <c r="L667"/>
      <c r="M667"/>
    </row>
    <row r="668" spans="1:13" ht="25.5" customHeight="1">
      <c r="A668" s="1"/>
      <c r="B668" s="1"/>
      <c r="C668" s="104"/>
      <c r="H668"/>
      <c r="K668"/>
      <c r="L668"/>
      <c r="M668"/>
    </row>
    <row r="669" spans="1:13" ht="25.5" customHeight="1">
      <c r="A669" s="1"/>
      <c r="B669" s="1"/>
      <c r="C669" s="104"/>
      <c r="H669"/>
      <c r="K669"/>
      <c r="L669"/>
      <c r="M669"/>
    </row>
    <row r="670" spans="1:13" ht="25.5" customHeight="1">
      <c r="A670" s="1"/>
      <c r="B670" s="1"/>
      <c r="C670" s="104"/>
      <c r="H670"/>
      <c r="K670"/>
      <c r="L670"/>
      <c r="M670"/>
    </row>
    <row r="671" spans="1:13" ht="25.5" customHeight="1">
      <c r="A671" s="1"/>
      <c r="B671" s="1"/>
      <c r="C671" s="104"/>
      <c r="H671"/>
      <c r="K671"/>
      <c r="L671"/>
      <c r="M671"/>
    </row>
    <row r="672" spans="1:13" ht="25.5" customHeight="1">
      <c r="A672" s="1"/>
      <c r="B672" s="1"/>
      <c r="C672" s="104"/>
      <c r="H672"/>
      <c r="K672"/>
      <c r="L672"/>
      <c r="M672"/>
    </row>
    <row r="673" spans="1:13" ht="25.5" customHeight="1">
      <c r="A673" s="1"/>
      <c r="B673" s="1"/>
      <c r="C673" s="104"/>
      <c r="H673"/>
      <c r="K673"/>
      <c r="L673"/>
      <c r="M673"/>
    </row>
    <row r="674" spans="1:13" ht="25.5" customHeight="1">
      <c r="A674" s="1"/>
      <c r="B674" s="1"/>
      <c r="C674" s="104"/>
      <c r="H674"/>
      <c r="K674"/>
      <c r="L674"/>
      <c r="M674"/>
    </row>
    <row r="675" spans="1:13" ht="25.5" customHeight="1">
      <c r="A675" s="1"/>
      <c r="B675" s="1"/>
      <c r="C675" s="104"/>
      <c r="H675"/>
      <c r="K675"/>
      <c r="L675"/>
      <c r="M675"/>
    </row>
    <row r="676" spans="1:13" ht="25.5" customHeight="1">
      <c r="A676" s="1"/>
      <c r="B676" s="1"/>
      <c r="C676" s="104"/>
      <c r="H676"/>
      <c r="K676"/>
      <c r="L676"/>
      <c r="M676"/>
    </row>
    <row r="677" spans="1:13" ht="25.5" customHeight="1">
      <c r="A677" s="1"/>
      <c r="B677" s="1"/>
      <c r="C677" s="104"/>
      <c r="H677"/>
      <c r="K677"/>
      <c r="L677"/>
      <c r="M677"/>
    </row>
    <row r="678" spans="1:13" ht="25.5" customHeight="1">
      <c r="A678" s="1"/>
      <c r="B678" s="1"/>
      <c r="C678" s="104"/>
      <c r="H678"/>
      <c r="K678"/>
      <c r="L678"/>
      <c r="M678"/>
    </row>
    <row r="679" spans="1:13" ht="25.5" customHeight="1">
      <c r="A679" s="1"/>
      <c r="B679" s="1"/>
      <c r="C679" s="104"/>
      <c r="H679"/>
      <c r="K679"/>
      <c r="L679"/>
      <c r="M679"/>
    </row>
    <row r="680" spans="1:13" ht="25.5" customHeight="1">
      <c r="A680" s="1"/>
      <c r="B680" s="1"/>
      <c r="C680" s="104"/>
      <c r="H680"/>
      <c r="K680"/>
      <c r="L680"/>
      <c r="M680"/>
    </row>
    <row r="681" spans="1:13" ht="25.5" customHeight="1">
      <c r="A681" s="1"/>
      <c r="B681" s="1"/>
      <c r="C681" s="104"/>
      <c r="H681"/>
      <c r="K681"/>
      <c r="L681"/>
      <c r="M681"/>
    </row>
    <row r="682" spans="1:13" ht="25.5" customHeight="1">
      <c r="A682" s="1"/>
      <c r="B682" s="1"/>
      <c r="C682" s="104"/>
      <c r="H682"/>
      <c r="K682"/>
      <c r="L682"/>
      <c r="M682"/>
    </row>
    <row r="683" spans="1:13" ht="25.5" customHeight="1">
      <c r="A683" s="1"/>
      <c r="B683" s="1"/>
      <c r="C683" s="104"/>
      <c r="H683"/>
      <c r="K683"/>
      <c r="L683"/>
      <c r="M683"/>
    </row>
    <row r="684" spans="1:13" ht="25.5" customHeight="1">
      <c r="A684" s="1"/>
      <c r="B684" s="1"/>
      <c r="C684" s="104"/>
      <c r="H684"/>
      <c r="K684"/>
      <c r="L684"/>
      <c r="M684"/>
    </row>
    <row r="685" spans="1:13" ht="25.5" customHeight="1">
      <c r="A685" s="1"/>
      <c r="B685" s="1"/>
      <c r="C685" s="104"/>
      <c r="H685"/>
      <c r="K685"/>
      <c r="L685"/>
      <c r="M685"/>
    </row>
    <row r="686" spans="1:13" ht="25.5" customHeight="1">
      <c r="A686" s="1"/>
      <c r="B686" s="1"/>
      <c r="C686" s="104"/>
      <c r="H686"/>
      <c r="K686"/>
      <c r="L686"/>
      <c r="M686"/>
    </row>
    <row r="687" spans="1:13" ht="25.5" customHeight="1">
      <c r="A687" s="1"/>
      <c r="B687" s="1"/>
      <c r="C687" s="104"/>
      <c r="H687"/>
      <c r="K687"/>
      <c r="L687"/>
      <c r="M687"/>
    </row>
    <row r="688" spans="1:13" ht="25.5" customHeight="1">
      <c r="A688" s="1"/>
      <c r="B688" s="1"/>
      <c r="C688" s="104"/>
      <c r="H688"/>
      <c r="K688"/>
      <c r="L688"/>
      <c r="M688"/>
    </row>
    <row r="689" spans="1:13" ht="25.5" customHeight="1">
      <c r="A689" s="1"/>
      <c r="B689" s="1"/>
      <c r="C689" s="104"/>
      <c r="H689"/>
      <c r="K689"/>
      <c r="L689"/>
      <c r="M689"/>
    </row>
    <row r="690" spans="1:13" ht="25.5" customHeight="1">
      <c r="A690" s="1"/>
      <c r="B690" s="1"/>
      <c r="C690" s="104"/>
      <c r="H690"/>
      <c r="K690"/>
      <c r="L690"/>
      <c r="M690"/>
    </row>
    <row r="691" spans="1:13" ht="25.5" customHeight="1">
      <c r="A691" s="1"/>
      <c r="B691" s="1"/>
      <c r="C691" s="104"/>
      <c r="H691"/>
      <c r="K691"/>
      <c r="L691"/>
      <c r="M691"/>
    </row>
    <row r="692" spans="1:13" ht="25.5" customHeight="1">
      <c r="A692" s="1"/>
      <c r="B692" s="1"/>
      <c r="C692" s="104"/>
      <c r="H692"/>
      <c r="K692"/>
      <c r="L692"/>
      <c r="M692"/>
    </row>
    <row r="693" spans="1:13" ht="25.5" customHeight="1">
      <c r="A693" s="1"/>
      <c r="B693" s="1"/>
      <c r="C693" s="104"/>
      <c r="H693"/>
      <c r="K693"/>
      <c r="L693"/>
      <c r="M693"/>
    </row>
    <row r="694" spans="1:13" ht="25.5" customHeight="1">
      <c r="A694" s="1"/>
      <c r="B694" s="1"/>
      <c r="C694" s="104"/>
      <c r="H694"/>
      <c r="K694"/>
      <c r="L694"/>
      <c r="M694"/>
    </row>
    <row r="695" spans="1:13" ht="25.5" customHeight="1">
      <c r="A695" s="1"/>
      <c r="B695" s="1"/>
      <c r="C695" s="104"/>
      <c r="H695"/>
      <c r="K695"/>
      <c r="L695"/>
      <c r="M695"/>
    </row>
    <row r="696" spans="1:13" ht="25.5" customHeight="1">
      <c r="A696" s="1"/>
      <c r="B696" s="1"/>
      <c r="C696" s="104"/>
      <c r="H696"/>
      <c r="K696"/>
      <c r="L696"/>
      <c r="M696"/>
    </row>
    <row r="697" spans="1:13" ht="25.5" customHeight="1">
      <c r="A697" s="1"/>
      <c r="B697" s="1"/>
      <c r="C697" s="104"/>
      <c r="H697"/>
      <c r="K697"/>
      <c r="L697"/>
      <c r="M697"/>
    </row>
    <row r="698" spans="1:13" ht="25.5" customHeight="1">
      <c r="A698" s="1"/>
      <c r="B698" s="1"/>
      <c r="C698" s="104"/>
      <c r="H698"/>
      <c r="K698"/>
      <c r="L698"/>
      <c r="M698"/>
    </row>
    <row r="699" spans="1:13" ht="25.5" customHeight="1">
      <c r="A699" s="1"/>
      <c r="B699" s="1"/>
      <c r="C699" s="104"/>
      <c r="H699"/>
      <c r="K699"/>
      <c r="L699"/>
      <c r="M699"/>
    </row>
    <row r="700" spans="1:13" ht="25.5" customHeight="1">
      <c r="A700" s="1"/>
      <c r="B700" s="1"/>
      <c r="C700" s="104"/>
      <c r="H700"/>
      <c r="K700"/>
      <c r="L700"/>
      <c r="M700"/>
    </row>
    <row r="701" spans="1:13" ht="25.5" customHeight="1">
      <c r="A701" s="1"/>
      <c r="B701" s="1"/>
      <c r="C701" s="104"/>
      <c r="H701"/>
      <c r="K701"/>
      <c r="L701"/>
      <c r="M701"/>
    </row>
    <row r="702" spans="1:13" ht="25.5" customHeight="1">
      <c r="A702" s="1"/>
      <c r="B702" s="1"/>
      <c r="C702" s="104"/>
      <c r="H702"/>
      <c r="K702"/>
      <c r="L702"/>
      <c r="M702"/>
    </row>
    <row r="703" spans="1:13" ht="25.5" customHeight="1">
      <c r="A703" s="1"/>
      <c r="B703" s="1"/>
      <c r="C703" s="104"/>
      <c r="H703"/>
      <c r="K703"/>
      <c r="L703"/>
      <c r="M703"/>
    </row>
    <row r="704" spans="1:13" ht="25.5" customHeight="1">
      <c r="A704" s="1"/>
      <c r="B704" s="1"/>
      <c r="C704" s="104"/>
      <c r="H704"/>
      <c r="K704"/>
      <c r="L704"/>
      <c r="M704"/>
    </row>
    <row r="705" spans="1:13" ht="25.5" customHeight="1">
      <c r="A705" s="1"/>
      <c r="B705" s="1"/>
      <c r="C705" s="104"/>
      <c r="H705"/>
      <c r="K705"/>
      <c r="L705"/>
      <c r="M705"/>
    </row>
    <row r="706" spans="1:13" ht="25.5" customHeight="1">
      <c r="A706" s="1"/>
      <c r="B706" s="1"/>
      <c r="C706" s="104"/>
      <c r="H706"/>
      <c r="K706"/>
      <c r="L706"/>
      <c r="M706"/>
    </row>
    <row r="707" spans="1:13" ht="25.5" customHeight="1">
      <c r="A707" s="1"/>
      <c r="B707" s="1"/>
      <c r="C707" s="104"/>
      <c r="H707"/>
      <c r="K707"/>
      <c r="L707"/>
      <c r="M707"/>
    </row>
    <row r="708" spans="1:13" ht="25.5" customHeight="1">
      <c r="A708" s="1"/>
      <c r="B708" s="1"/>
      <c r="C708" s="104"/>
      <c r="H708"/>
      <c r="K708"/>
      <c r="L708"/>
      <c r="M708"/>
    </row>
    <row r="709" spans="1:13" ht="25.5" customHeight="1">
      <c r="A709" s="1"/>
      <c r="B709" s="1"/>
      <c r="C709" s="104"/>
      <c r="H709"/>
      <c r="K709"/>
      <c r="L709"/>
      <c r="M709"/>
    </row>
    <row r="710" spans="1:13" ht="25.5" customHeight="1">
      <c r="A710" s="1"/>
      <c r="B710" s="1"/>
      <c r="C710" s="104"/>
      <c r="H710"/>
      <c r="K710"/>
      <c r="L710"/>
      <c r="M710"/>
    </row>
    <row r="711" spans="1:13" ht="25.5" customHeight="1">
      <c r="A711" s="1"/>
      <c r="B711" s="1"/>
      <c r="C711" s="104"/>
      <c r="H711"/>
      <c r="K711"/>
      <c r="L711"/>
      <c r="M711"/>
    </row>
    <row r="712" spans="1:13" ht="25.5" customHeight="1">
      <c r="A712" s="1"/>
      <c r="B712" s="1"/>
      <c r="C712" s="104"/>
      <c r="H712"/>
      <c r="K712"/>
      <c r="L712"/>
      <c r="M712"/>
    </row>
    <row r="713" spans="1:13" ht="25.5" customHeight="1">
      <c r="A713" s="1"/>
      <c r="B713" s="1"/>
      <c r="C713" s="104"/>
      <c r="H713"/>
      <c r="K713"/>
      <c r="L713"/>
      <c r="M713"/>
    </row>
    <row r="714" spans="1:13" ht="25.5" customHeight="1">
      <c r="A714" s="1"/>
      <c r="B714" s="1"/>
      <c r="C714" s="104"/>
      <c r="H714"/>
      <c r="K714"/>
      <c r="L714"/>
      <c r="M714"/>
    </row>
    <row r="715" spans="1:13" ht="25.5" customHeight="1">
      <c r="A715" s="1"/>
      <c r="B715" s="1"/>
      <c r="C715" s="104"/>
      <c r="H715"/>
      <c r="K715"/>
      <c r="L715"/>
      <c r="M715"/>
    </row>
    <row r="716" spans="1:13" ht="25.5" customHeight="1">
      <c r="A716" s="1"/>
      <c r="B716" s="1"/>
      <c r="C716" s="104"/>
      <c r="H716"/>
      <c r="K716"/>
      <c r="L716"/>
      <c r="M716"/>
    </row>
    <row r="717" spans="1:13" ht="25.5" customHeight="1">
      <c r="A717" s="1"/>
      <c r="B717" s="1"/>
      <c r="C717" s="104"/>
      <c r="H717"/>
      <c r="K717"/>
      <c r="L717"/>
      <c r="M717"/>
    </row>
    <row r="718" spans="1:13" ht="25.5" customHeight="1">
      <c r="A718" s="1"/>
      <c r="B718" s="1"/>
      <c r="C718" s="104"/>
      <c r="H718"/>
      <c r="K718"/>
      <c r="L718"/>
      <c r="M718"/>
    </row>
    <row r="719" spans="1:13" ht="25.5" customHeight="1">
      <c r="A719" s="1"/>
      <c r="B719" s="1"/>
      <c r="C719" s="104"/>
      <c r="H719"/>
      <c r="K719"/>
      <c r="L719"/>
      <c r="M719"/>
    </row>
    <row r="720" spans="1:13" ht="25.5" customHeight="1">
      <c r="A720" s="1"/>
      <c r="B720" s="1"/>
      <c r="C720" s="104"/>
      <c r="H720"/>
      <c r="K720"/>
      <c r="L720"/>
      <c r="M720"/>
    </row>
    <row r="721" spans="1:13" ht="25.5" customHeight="1">
      <c r="A721" s="1"/>
      <c r="B721" s="1"/>
      <c r="C721" s="104"/>
      <c r="H721"/>
      <c r="K721"/>
      <c r="L721"/>
      <c r="M721"/>
    </row>
    <row r="722" spans="1:13" ht="25.5" customHeight="1">
      <c r="A722" s="1"/>
      <c r="B722" s="1"/>
      <c r="C722" s="104"/>
      <c r="H722"/>
      <c r="K722"/>
      <c r="L722"/>
      <c r="M722"/>
    </row>
    <row r="723" spans="1:13" ht="25.5" customHeight="1">
      <c r="A723" s="1"/>
      <c r="B723" s="1"/>
      <c r="C723" s="104"/>
      <c r="H723"/>
      <c r="K723"/>
      <c r="L723"/>
      <c r="M723"/>
    </row>
    <row r="724" spans="1:13" ht="25.5" customHeight="1">
      <c r="A724" s="1"/>
      <c r="B724" s="1"/>
      <c r="C724" s="104"/>
      <c r="H724"/>
      <c r="K724"/>
      <c r="L724"/>
      <c r="M724"/>
    </row>
    <row r="725" spans="1:13" ht="25.5" customHeight="1">
      <c r="A725" s="1"/>
      <c r="B725" s="1"/>
      <c r="C725" s="104"/>
      <c r="H725"/>
      <c r="K725"/>
      <c r="L725"/>
      <c r="M725"/>
    </row>
    <row r="726" spans="1:13" ht="25.5" customHeight="1">
      <c r="A726" s="1"/>
      <c r="B726" s="1"/>
      <c r="C726" s="104"/>
      <c r="H726"/>
      <c r="K726"/>
      <c r="L726"/>
      <c r="M726"/>
    </row>
    <row r="727" spans="1:13" ht="25.5" customHeight="1">
      <c r="A727" s="1"/>
      <c r="B727" s="1"/>
      <c r="C727" s="104"/>
      <c r="H727"/>
      <c r="K727"/>
      <c r="L727"/>
      <c r="M727"/>
    </row>
    <row r="728" spans="1:13" ht="25.5" customHeight="1">
      <c r="A728" s="1"/>
      <c r="B728" s="1"/>
      <c r="C728" s="104"/>
      <c r="H728"/>
      <c r="K728"/>
      <c r="L728"/>
      <c r="M728"/>
    </row>
    <row r="729" spans="1:13" ht="25.5" customHeight="1">
      <c r="A729" s="1"/>
      <c r="B729" s="1"/>
      <c r="C729" s="104"/>
      <c r="H729"/>
      <c r="K729"/>
      <c r="L729"/>
      <c r="M729"/>
    </row>
    <row r="730" spans="1:13" ht="25.5" customHeight="1">
      <c r="A730" s="1"/>
      <c r="B730" s="1"/>
      <c r="C730" s="104"/>
      <c r="H730"/>
      <c r="K730"/>
      <c r="L730"/>
      <c r="M730"/>
    </row>
    <row r="731" spans="1:13" ht="25.5" customHeight="1">
      <c r="A731" s="1"/>
      <c r="B731" s="1"/>
      <c r="C731" s="104"/>
      <c r="H731"/>
      <c r="K731"/>
      <c r="L731"/>
      <c r="M731"/>
    </row>
    <row r="732" spans="1:13" ht="25.5" customHeight="1">
      <c r="A732" s="1"/>
      <c r="B732" s="1"/>
      <c r="C732" s="104"/>
      <c r="H732"/>
      <c r="K732"/>
      <c r="L732"/>
      <c r="M732"/>
    </row>
    <row r="733" spans="1:13" ht="25.5" customHeight="1">
      <c r="A733" s="1"/>
      <c r="B733" s="1"/>
      <c r="C733" s="104"/>
      <c r="H733"/>
      <c r="K733"/>
      <c r="L733"/>
      <c r="M733"/>
    </row>
    <row r="734" spans="1:13" ht="25.5" customHeight="1">
      <c r="A734" s="1"/>
      <c r="B734" s="1"/>
      <c r="C734" s="104"/>
      <c r="H734"/>
      <c r="K734"/>
      <c r="L734"/>
      <c r="M734"/>
    </row>
    <row r="735" spans="1:13" ht="25.5" customHeight="1">
      <c r="A735" s="1"/>
      <c r="B735" s="1"/>
      <c r="C735" s="104"/>
      <c r="H735"/>
      <c r="K735"/>
      <c r="L735"/>
      <c r="M735"/>
    </row>
    <row r="736" spans="1:13" ht="25.5" customHeight="1">
      <c r="A736" s="1"/>
      <c r="B736" s="1"/>
      <c r="C736" s="104"/>
      <c r="H736"/>
      <c r="K736"/>
      <c r="L736"/>
      <c r="M736"/>
    </row>
    <row r="737" spans="1:13" ht="25.5" customHeight="1">
      <c r="A737" s="1"/>
      <c r="B737" s="1"/>
      <c r="C737" s="104"/>
      <c r="H737"/>
      <c r="K737"/>
      <c r="L737"/>
      <c r="M737"/>
    </row>
    <row r="738" spans="1:13" ht="25.5" customHeight="1">
      <c r="A738" s="1"/>
      <c r="B738" s="1"/>
      <c r="C738" s="104"/>
      <c r="H738"/>
      <c r="K738"/>
      <c r="L738"/>
      <c r="M738"/>
    </row>
    <row r="739" spans="1:13" ht="25.5" customHeight="1">
      <c r="A739" s="1"/>
      <c r="B739" s="1"/>
      <c r="C739" s="104"/>
      <c r="H739"/>
      <c r="K739"/>
      <c r="L739"/>
      <c r="M739"/>
    </row>
    <row r="740" spans="1:13" ht="25.5" customHeight="1">
      <c r="A740" s="1"/>
      <c r="B740" s="1"/>
      <c r="C740" s="104"/>
      <c r="H740"/>
      <c r="K740"/>
      <c r="L740"/>
      <c r="M740"/>
    </row>
    <row r="741" spans="1:13" ht="25.5" customHeight="1">
      <c r="A741" s="1"/>
      <c r="B741" s="1"/>
      <c r="C741" s="104"/>
      <c r="H741"/>
      <c r="K741"/>
      <c r="L741"/>
      <c r="M741"/>
    </row>
    <row r="742" spans="1:13" ht="25.5" customHeight="1">
      <c r="A742" s="1"/>
      <c r="B742" s="1"/>
      <c r="C742" s="104"/>
      <c r="H742"/>
      <c r="K742"/>
      <c r="L742"/>
      <c r="M742"/>
    </row>
    <row r="743" spans="1:13" ht="25.5" customHeight="1">
      <c r="A743" s="1"/>
      <c r="B743" s="1"/>
      <c r="C743" s="104"/>
      <c r="H743"/>
      <c r="K743"/>
      <c r="L743"/>
      <c r="M743"/>
    </row>
    <row r="744" spans="1:13" ht="25.5" customHeight="1">
      <c r="A744" s="1"/>
      <c r="B744" s="1"/>
      <c r="C744" s="104"/>
      <c r="H744"/>
      <c r="K744"/>
      <c r="L744"/>
      <c r="M744"/>
    </row>
    <row r="745" spans="1:13" ht="25.5" customHeight="1">
      <c r="A745" s="1"/>
      <c r="B745" s="1"/>
      <c r="C745" s="104"/>
      <c r="H745"/>
      <c r="K745"/>
      <c r="L745"/>
      <c r="M745"/>
    </row>
    <row r="746" spans="1:13" ht="25.5" customHeight="1">
      <c r="A746" s="1"/>
      <c r="B746" s="1"/>
      <c r="C746" s="104"/>
      <c r="H746"/>
      <c r="K746"/>
      <c r="L746"/>
      <c r="M746"/>
    </row>
    <row r="747" spans="1:13" ht="25.5" customHeight="1">
      <c r="A747" s="1"/>
      <c r="B747" s="1"/>
      <c r="C747" s="104"/>
      <c r="H747"/>
      <c r="K747"/>
      <c r="L747"/>
      <c r="M747"/>
    </row>
    <row r="748" spans="1:13" ht="25.5" customHeight="1">
      <c r="A748" s="1"/>
      <c r="B748" s="1"/>
      <c r="C748" s="104"/>
      <c r="H748"/>
      <c r="K748"/>
      <c r="L748"/>
      <c r="M748"/>
    </row>
    <row r="749" spans="1:13" ht="25.5" customHeight="1">
      <c r="A749" s="1"/>
      <c r="B749" s="1"/>
      <c r="C749" s="104"/>
      <c r="H749"/>
      <c r="K749"/>
      <c r="L749"/>
      <c r="M749"/>
    </row>
    <row r="750" spans="1:13" ht="25.5" customHeight="1">
      <c r="A750" s="1"/>
      <c r="B750" s="1"/>
      <c r="C750" s="104"/>
      <c r="H750"/>
      <c r="K750"/>
      <c r="L750"/>
      <c r="M750"/>
    </row>
    <row r="751" spans="1:13" ht="25.5" customHeight="1">
      <c r="A751" s="1"/>
      <c r="B751" s="1"/>
      <c r="C751" s="104"/>
      <c r="H751"/>
      <c r="K751"/>
      <c r="L751"/>
      <c r="M751"/>
    </row>
    <row r="752" spans="1:13" ht="25.5" customHeight="1">
      <c r="A752" s="1"/>
      <c r="B752" s="1"/>
      <c r="C752" s="104"/>
      <c r="H752"/>
      <c r="K752"/>
      <c r="L752"/>
      <c r="M752"/>
    </row>
    <row r="753" spans="1:13" ht="25.5" customHeight="1">
      <c r="A753" s="1"/>
      <c r="B753" s="1"/>
      <c r="C753" s="104"/>
      <c r="H753"/>
      <c r="K753"/>
      <c r="L753"/>
      <c r="M753"/>
    </row>
    <row r="754" spans="1:13" ht="25.5" customHeight="1">
      <c r="A754" s="1"/>
      <c r="B754" s="1"/>
      <c r="C754" s="104"/>
      <c r="H754"/>
      <c r="K754"/>
      <c r="L754"/>
      <c r="M754"/>
    </row>
    <row r="755" spans="1:13" ht="25.5" customHeight="1">
      <c r="A755" s="1"/>
      <c r="B755" s="1"/>
      <c r="C755" s="104"/>
      <c r="H755"/>
      <c r="K755"/>
      <c r="L755"/>
      <c r="M755"/>
    </row>
    <row r="756" spans="1:13" ht="25.5" customHeight="1">
      <c r="A756" s="1"/>
      <c r="B756" s="1"/>
      <c r="C756" s="104"/>
      <c r="H756"/>
      <c r="K756"/>
      <c r="L756"/>
      <c r="M756"/>
    </row>
    <row r="757" spans="1:13" ht="25.5" customHeight="1">
      <c r="A757" s="1"/>
      <c r="B757" s="1"/>
      <c r="C757" s="104"/>
      <c r="H757"/>
      <c r="K757"/>
      <c r="L757"/>
      <c r="M757"/>
    </row>
    <row r="758" spans="1:13" ht="25.5" customHeight="1">
      <c r="A758" s="1"/>
      <c r="B758" s="1"/>
      <c r="C758" s="104"/>
      <c r="H758"/>
      <c r="K758"/>
      <c r="L758"/>
      <c r="M758"/>
    </row>
    <row r="759" spans="1:13" ht="25.5" customHeight="1">
      <c r="A759" s="1"/>
      <c r="B759" s="1"/>
      <c r="C759" s="104"/>
      <c r="H759"/>
      <c r="K759"/>
      <c r="L759"/>
      <c r="M759"/>
    </row>
    <row r="760" spans="1:13" ht="25.5" customHeight="1">
      <c r="A760" s="1"/>
      <c r="B760" s="1"/>
      <c r="C760" s="104"/>
      <c r="H760"/>
      <c r="K760"/>
      <c r="L760"/>
      <c r="M760"/>
    </row>
    <row r="761" spans="1:13" ht="25.5" customHeight="1">
      <c r="A761" s="1"/>
      <c r="B761" s="1"/>
      <c r="C761" s="104"/>
      <c r="H761"/>
      <c r="K761"/>
      <c r="L761"/>
      <c r="M761"/>
    </row>
    <row r="762" spans="1:13" ht="25.5" customHeight="1">
      <c r="A762" s="1"/>
      <c r="B762" s="1"/>
      <c r="C762" s="104"/>
      <c r="H762"/>
      <c r="K762"/>
      <c r="L762"/>
      <c r="M762"/>
    </row>
    <row r="763" spans="1:13" ht="25.5" customHeight="1">
      <c r="A763" s="1"/>
      <c r="B763" s="1"/>
      <c r="C763" s="104"/>
      <c r="H763"/>
      <c r="K763"/>
      <c r="L763"/>
      <c r="M763"/>
    </row>
    <row r="764" spans="1:13" ht="25.5" customHeight="1">
      <c r="A764" s="1"/>
      <c r="B764" s="1"/>
      <c r="C764" s="104"/>
      <c r="H764"/>
      <c r="K764"/>
      <c r="L764"/>
      <c r="M764"/>
    </row>
    <row r="765" spans="1:13" ht="25.5" customHeight="1">
      <c r="A765" s="1"/>
      <c r="B765" s="1"/>
      <c r="C765" s="104"/>
      <c r="H765"/>
      <c r="K765"/>
      <c r="L765"/>
      <c r="M765"/>
    </row>
    <row r="766" spans="1:13" ht="25.5" customHeight="1">
      <c r="A766" s="1"/>
      <c r="B766" s="1"/>
      <c r="C766" s="104"/>
      <c r="H766"/>
      <c r="K766"/>
      <c r="L766"/>
      <c r="M766"/>
    </row>
    <row r="767" spans="1:13" ht="25.5" customHeight="1">
      <c r="A767" s="1"/>
      <c r="B767" s="1"/>
      <c r="C767" s="104"/>
      <c r="H767"/>
      <c r="K767"/>
      <c r="L767"/>
      <c r="M767"/>
    </row>
    <row r="768" spans="1:13" ht="25.5" customHeight="1">
      <c r="A768" s="1"/>
      <c r="B768" s="1"/>
      <c r="C768" s="104"/>
      <c r="H768"/>
      <c r="K768"/>
      <c r="L768"/>
      <c r="M768"/>
    </row>
    <row r="769" spans="1:13" ht="25.5" customHeight="1">
      <c r="A769" s="1"/>
      <c r="B769" s="1"/>
      <c r="C769" s="104"/>
      <c r="H769"/>
      <c r="K769"/>
      <c r="L769"/>
      <c r="M769"/>
    </row>
    <row r="770" spans="1:13" ht="25.5" customHeight="1">
      <c r="A770" s="1"/>
      <c r="B770" s="1"/>
      <c r="C770" s="104"/>
      <c r="H770"/>
      <c r="K770"/>
      <c r="L770"/>
      <c r="M770"/>
    </row>
    <row r="771" spans="1:13" ht="25.5" customHeight="1">
      <c r="A771" s="1"/>
      <c r="B771" s="1"/>
      <c r="C771" s="104"/>
      <c r="H771"/>
      <c r="K771"/>
      <c r="L771"/>
      <c r="M771"/>
    </row>
    <row r="772" spans="1:13" ht="25.5" customHeight="1">
      <c r="A772" s="1"/>
      <c r="B772" s="1"/>
      <c r="C772" s="104"/>
      <c r="H772"/>
      <c r="K772"/>
      <c r="L772"/>
      <c r="M772"/>
    </row>
    <row r="773" spans="1:13" ht="25.5" customHeight="1">
      <c r="A773" s="1"/>
      <c r="B773" s="1"/>
      <c r="C773" s="104"/>
      <c r="H773"/>
      <c r="K773"/>
      <c r="L773"/>
      <c r="M773"/>
    </row>
    <row r="774" spans="1:13" ht="25.5" customHeight="1">
      <c r="A774" s="1"/>
      <c r="B774" s="1"/>
      <c r="C774" s="104"/>
      <c r="H774"/>
      <c r="K774"/>
      <c r="L774"/>
      <c r="M774"/>
    </row>
    <row r="775" spans="1:13" ht="25.5" customHeight="1">
      <c r="A775" s="1"/>
      <c r="B775" s="1"/>
      <c r="C775" s="104"/>
      <c r="H775"/>
      <c r="K775"/>
      <c r="L775"/>
      <c r="M775"/>
    </row>
    <row r="776" spans="1:13" ht="25.5" customHeight="1">
      <c r="A776" s="1"/>
      <c r="B776" s="1"/>
      <c r="C776" s="104"/>
      <c r="H776"/>
      <c r="K776"/>
      <c r="L776"/>
      <c r="M776"/>
    </row>
    <row r="777" spans="1:13" ht="25.5" customHeight="1">
      <c r="A777" s="1"/>
      <c r="B777" s="1"/>
      <c r="C777" s="104"/>
      <c r="H777"/>
      <c r="K777"/>
      <c r="L777"/>
      <c r="M777"/>
    </row>
    <row r="778" spans="1:13" ht="25.5" customHeight="1">
      <c r="A778" s="1"/>
      <c r="B778" s="1"/>
      <c r="C778" s="104"/>
      <c r="H778"/>
      <c r="K778"/>
      <c r="L778"/>
      <c r="M778"/>
    </row>
    <row r="779" spans="1:13" ht="25.5" customHeight="1">
      <c r="A779" s="1"/>
      <c r="B779" s="1"/>
      <c r="C779" s="104"/>
      <c r="H779"/>
      <c r="K779"/>
      <c r="L779"/>
      <c r="M779"/>
    </row>
    <row r="780" spans="1:13" ht="25.5" customHeight="1">
      <c r="A780" s="1"/>
      <c r="B780" s="1"/>
      <c r="C780" s="104"/>
      <c r="H780"/>
      <c r="K780"/>
      <c r="L780"/>
      <c r="M780"/>
    </row>
    <row r="781" spans="1:13" ht="25.5" customHeight="1">
      <c r="A781" s="1"/>
      <c r="B781" s="1"/>
      <c r="C781" s="104"/>
      <c r="H781"/>
      <c r="K781"/>
      <c r="L781"/>
      <c r="M781"/>
    </row>
    <row r="782" spans="1:13" ht="25.5" customHeight="1">
      <c r="A782" s="1"/>
      <c r="B782" s="1"/>
      <c r="C782" s="104"/>
      <c r="H782"/>
      <c r="K782"/>
      <c r="L782"/>
      <c r="M782"/>
    </row>
    <row r="783" spans="1:13" ht="25.5" customHeight="1">
      <c r="A783" s="1"/>
      <c r="B783" s="1"/>
      <c r="C783" s="104"/>
      <c r="H783"/>
      <c r="K783"/>
      <c r="L783"/>
      <c r="M783"/>
    </row>
    <row r="784" spans="1:13" ht="25.5" customHeight="1">
      <c r="A784" s="1"/>
      <c r="B784" s="1"/>
      <c r="C784" s="104"/>
      <c r="H784"/>
      <c r="K784"/>
      <c r="L784"/>
      <c r="M784"/>
    </row>
    <row r="785" spans="1:13" ht="25.5" customHeight="1">
      <c r="A785" s="1"/>
      <c r="B785" s="1"/>
      <c r="C785" s="104"/>
      <c r="H785"/>
      <c r="K785"/>
      <c r="L785"/>
      <c r="M785"/>
    </row>
    <row r="786" spans="1:13" ht="25.5" customHeight="1">
      <c r="A786" s="1"/>
      <c r="B786" s="1"/>
      <c r="C786" s="104"/>
      <c r="H786"/>
      <c r="K786"/>
      <c r="L786"/>
      <c r="M786"/>
    </row>
    <row r="787" spans="1:13" ht="25.5" customHeight="1">
      <c r="A787" s="1"/>
      <c r="B787" s="1"/>
      <c r="C787" s="104"/>
      <c r="H787"/>
      <c r="K787"/>
      <c r="L787"/>
      <c r="M787"/>
    </row>
    <row r="788" spans="1:13" ht="25.5" customHeight="1">
      <c r="A788" s="1"/>
      <c r="B788" s="1"/>
      <c r="C788" s="104"/>
      <c r="H788"/>
      <c r="K788"/>
      <c r="L788"/>
      <c r="M788"/>
    </row>
    <row r="789" spans="1:13" ht="25.5" customHeight="1">
      <c r="A789" s="1"/>
      <c r="B789" s="1"/>
      <c r="C789" s="104"/>
      <c r="H789"/>
      <c r="K789"/>
      <c r="L789"/>
      <c r="M789"/>
    </row>
    <row r="790" spans="1:13" ht="25.5" customHeight="1">
      <c r="A790" s="1"/>
      <c r="B790" s="1"/>
      <c r="C790" s="104"/>
      <c r="H790"/>
      <c r="K790"/>
      <c r="L790"/>
      <c r="M790"/>
    </row>
    <row r="791" spans="1:13" ht="25.5" customHeight="1">
      <c r="A791" s="1"/>
      <c r="B791" s="1"/>
      <c r="C791" s="104"/>
      <c r="H791"/>
      <c r="K791"/>
      <c r="L791"/>
      <c r="M791"/>
    </row>
    <row r="792" spans="1:13" ht="25.5" customHeight="1">
      <c r="A792" s="1"/>
      <c r="B792" s="1"/>
      <c r="C792" s="104"/>
      <c r="H792"/>
      <c r="K792"/>
      <c r="L792"/>
      <c r="M792"/>
    </row>
    <row r="793" spans="1:13" ht="25.5" customHeight="1">
      <c r="A793" s="1"/>
      <c r="B793" s="1"/>
      <c r="C793" s="104"/>
      <c r="H793"/>
      <c r="K793"/>
      <c r="L793"/>
      <c r="M793"/>
    </row>
    <row r="794" spans="1:13" ht="25.5" customHeight="1">
      <c r="A794" s="1"/>
      <c r="B794" s="1"/>
      <c r="C794" s="104"/>
      <c r="H794"/>
      <c r="K794"/>
      <c r="L794"/>
      <c r="M794"/>
    </row>
    <row r="795" spans="1:13" ht="25.5" customHeight="1">
      <c r="A795" s="1"/>
      <c r="B795" s="1"/>
      <c r="C795" s="104"/>
      <c r="H795"/>
      <c r="K795"/>
      <c r="L795"/>
      <c r="M795"/>
    </row>
    <row r="796" spans="1:13" ht="25.5" customHeight="1">
      <c r="A796" s="1"/>
      <c r="B796" s="1"/>
      <c r="C796" s="104"/>
      <c r="H796"/>
      <c r="K796"/>
      <c r="L796"/>
      <c r="M796"/>
    </row>
    <row r="797" spans="1:13" ht="25.5" customHeight="1">
      <c r="A797" s="1"/>
      <c r="B797" s="1"/>
      <c r="C797" s="104"/>
      <c r="H797"/>
      <c r="K797"/>
      <c r="L797"/>
      <c r="M797"/>
    </row>
    <row r="798" spans="1:13" ht="25.5" customHeight="1">
      <c r="A798" s="1"/>
      <c r="B798" s="1"/>
      <c r="C798" s="104"/>
      <c r="H798"/>
      <c r="K798"/>
      <c r="L798"/>
      <c r="M798"/>
    </row>
    <row r="799" spans="1:13" ht="25.5" customHeight="1">
      <c r="A799" s="1"/>
      <c r="B799" s="1"/>
      <c r="C799" s="104"/>
      <c r="H799"/>
      <c r="K799"/>
      <c r="L799"/>
      <c r="M799"/>
    </row>
    <row r="800" spans="1:13" ht="25.5" customHeight="1">
      <c r="A800" s="1"/>
      <c r="B800" s="1"/>
      <c r="C800" s="104"/>
      <c r="H800"/>
      <c r="K800"/>
      <c r="L800"/>
      <c r="M800"/>
    </row>
    <row r="801" spans="1:13" ht="25.5" customHeight="1">
      <c r="A801" s="1"/>
      <c r="B801" s="1"/>
      <c r="C801" s="104"/>
      <c r="H801"/>
      <c r="K801"/>
      <c r="L801"/>
      <c r="M801"/>
    </row>
    <row r="802" spans="1:13" ht="25.5" customHeight="1">
      <c r="A802" s="1"/>
      <c r="B802" s="1"/>
      <c r="C802" s="104"/>
      <c r="H802"/>
      <c r="K802"/>
      <c r="L802"/>
      <c r="M802"/>
    </row>
    <row r="803" spans="1:13" ht="25.5" customHeight="1">
      <c r="A803" s="1"/>
      <c r="B803" s="1"/>
      <c r="C803" s="104"/>
      <c r="H803"/>
      <c r="K803"/>
      <c r="L803"/>
      <c r="M803"/>
    </row>
    <row r="804" spans="1:13" ht="25.5" customHeight="1">
      <c r="A804" s="1"/>
      <c r="B804" s="1"/>
      <c r="C804" s="104"/>
      <c r="H804"/>
      <c r="K804"/>
      <c r="L804"/>
      <c r="M804"/>
    </row>
    <row r="805" spans="1:13" ht="25.5" customHeight="1">
      <c r="A805" s="1"/>
      <c r="B805" s="1"/>
      <c r="C805" s="104"/>
      <c r="H805"/>
      <c r="K805"/>
      <c r="L805"/>
      <c r="M805"/>
    </row>
    <row r="806" spans="1:13" ht="25.5" customHeight="1">
      <c r="A806" s="1"/>
      <c r="B806" s="1"/>
      <c r="C806" s="104"/>
      <c r="H806"/>
      <c r="K806"/>
      <c r="L806"/>
      <c r="M806"/>
    </row>
    <row r="807" spans="1:13" ht="25.5" customHeight="1">
      <c r="A807" s="1"/>
      <c r="B807" s="1"/>
      <c r="C807" s="104"/>
      <c r="H807"/>
      <c r="K807"/>
      <c r="L807"/>
      <c r="M807"/>
    </row>
    <row r="808" spans="1:13" ht="25.5" customHeight="1">
      <c r="A808" s="1"/>
      <c r="B808" s="1"/>
      <c r="C808" s="104"/>
      <c r="H808"/>
      <c r="K808"/>
      <c r="L808"/>
      <c r="M808"/>
    </row>
    <row r="809" spans="1:13" ht="25.5" customHeight="1">
      <c r="A809" s="1"/>
      <c r="B809" s="1"/>
      <c r="C809" s="104"/>
      <c r="H809"/>
      <c r="K809"/>
      <c r="L809"/>
      <c r="M809"/>
    </row>
    <row r="810" spans="1:13" ht="25.5" customHeight="1">
      <c r="A810" s="1"/>
      <c r="B810" s="1"/>
      <c r="C810" s="104"/>
      <c r="H810"/>
      <c r="K810"/>
      <c r="L810"/>
      <c r="M810"/>
    </row>
    <row r="811" spans="1:13" ht="25.5" customHeight="1">
      <c r="A811" s="1"/>
      <c r="B811" s="1"/>
      <c r="C811" s="104"/>
      <c r="H811"/>
      <c r="K811"/>
      <c r="L811"/>
      <c r="M811"/>
    </row>
    <row r="812" spans="1:13" ht="25.5" customHeight="1">
      <c r="A812" s="1"/>
      <c r="B812" s="1"/>
      <c r="C812" s="104"/>
      <c r="H812"/>
      <c r="K812"/>
      <c r="L812"/>
      <c r="M812"/>
    </row>
    <row r="813" spans="1:13" ht="25.5" customHeight="1">
      <c r="A813" s="1"/>
      <c r="B813" s="1"/>
      <c r="C813" s="104"/>
      <c r="H813"/>
      <c r="K813"/>
      <c r="L813"/>
      <c r="M813"/>
    </row>
    <row r="814" spans="1:13" ht="25.5" customHeight="1">
      <c r="A814" s="1"/>
      <c r="B814" s="1"/>
      <c r="C814" s="104"/>
      <c r="H814"/>
      <c r="K814"/>
      <c r="L814"/>
      <c r="M814"/>
    </row>
    <row r="815" spans="1:13" ht="25.5" customHeight="1">
      <c r="A815" s="1"/>
      <c r="B815" s="1"/>
      <c r="C815" s="104"/>
      <c r="H815"/>
      <c r="K815"/>
      <c r="L815"/>
      <c r="M815"/>
    </row>
    <row r="816" spans="1:13" ht="25.5" customHeight="1">
      <c r="A816" s="1"/>
      <c r="B816" s="1"/>
      <c r="C816" s="104"/>
      <c r="H816"/>
      <c r="K816"/>
      <c r="L816"/>
      <c r="M816"/>
    </row>
    <row r="817" spans="1:13" ht="25.5" customHeight="1">
      <c r="A817" s="1"/>
      <c r="B817" s="1"/>
      <c r="C817" s="104"/>
      <c r="H817"/>
      <c r="K817"/>
      <c r="L817"/>
      <c r="M817"/>
    </row>
    <row r="818" spans="1:13" ht="25.5" customHeight="1">
      <c r="A818" s="1"/>
      <c r="B818" s="1"/>
      <c r="C818" s="104"/>
      <c r="H818"/>
      <c r="K818"/>
      <c r="L818"/>
      <c r="M818"/>
    </row>
    <row r="819" spans="1:13" ht="25.5" customHeight="1">
      <c r="A819" s="1"/>
      <c r="B819" s="1"/>
      <c r="C819" s="104"/>
      <c r="H819"/>
      <c r="K819"/>
      <c r="L819"/>
      <c r="M819"/>
    </row>
    <row r="820" spans="1:13" ht="25.5" customHeight="1">
      <c r="A820" s="1"/>
      <c r="B820" s="1"/>
      <c r="C820" s="104"/>
      <c r="H820"/>
      <c r="K820"/>
      <c r="L820"/>
      <c r="M820"/>
    </row>
    <row r="821" spans="1:13" ht="25.5" customHeight="1">
      <c r="A821" s="1"/>
      <c r="B821" s="1"/>
      <c r="C821" s="104"/>
      <c r="H821"/>
      <c r="K821"/>
      <c r="L821"/>
      <c r="M821"/>
    </row>
    <row r="822" spans="1:13" ht="25.5" customHeight="1">
      <c r="A822" s="1"/>
      <c r="B822" s="1"/>
      <c r="C822" s="104"/>
      <c r="H822"/>
      <c r="K822"/>
      <c r="L822"/>
      <c r="M822"/>
    </row>
    <row r="823" spans="1:13" ht="25.5" customHeight="1">
      <c r="A823" s="1"/>
      <c r="B823" s="1"/>
      <c r="C823" s="104"/>
      <c r="H823"/>
      <c r="K823"/>
      <c r="L823"/>
      <c r="M823"/>
    </row>
    <row r="824" spans="1:13" ht="25.5" customHeight="1">
      <c r="A824" s="1"/>
      <c r="B824" s="1"/>
      <c r="C824" s="104"/>
      <c r="H824"/>
      <c r="K824"/>
      <c r="L824"/>
      <c r="M824"/>
    </row>
    <row r="825" spans="1:13" ht="25.5" customHeight="1">
      <c r="A825" s="1"/>
      <c r="B825" s="1"/>
      <c r="C825" s="104"/>
      <c r="H825"/>
      <c r="K825"/>
      <c r="L825"/>
      <c r="M825"/>
    </row>
    <row r="826" spans="1:13" ht="25.5" customHeight="1">
      <c r="A826" s="1"/>
      <c r="B826" s="1"/>
      <c r="C826" s="104"/>
      <c r="H826"/>
      <c r="K826"/>
      <c r="L826"/>
      <c r="M826"/>
    </row>
    <row r="827" spans="1:13" ht="25.5" customHeight="1">
      <c r="A827" s="1"/>
      <c r="B827" s="1"/>
      <c r="C827" s="104"/>
      <c r="H827"/>
      <c r="K827"/>
      <c r="L827"/>
      <c r="M827"/>
    </row>
    <row r="828" spans="1:13" ht="25.5" customHeight="1">
      <c r="A828" s="1"/>
      <c r="B828" s="1"/>
      <c r="C828" s="104"/>
      <c r="H828"/>
      <c r="K828"/>
      <c r="L828"/>
      <c r="M828"/>
    </row>
    <row r="829" spans="1:13" ht="25.5" customHeight="1">
      <c r="A829" s="1"/>
      <c r="B829" s="1"/>
      <c r="C829" s="104"/>
      <c r="H829"/>
      <c r="K829"/>
      <c r="L829"/>
      <c r="M829"/>
    </row>
    <row r="830" spans="1:13" ht="25.5" customHeight="1">
      <c r="A830" s="1"/>
      <c r="B830" s="1"/>
      <c r="C830" s="104"/>
      <c r="H830"/>
      <c r="K830"/>
      <c r="L830"/>
      <c r="M830"/>
    </row>
    <row r="831" spans="1:13" ht="25.5" customHeight="1">
      <c r="A831" s="1"/>
      <c r="B831" s="1"/>
      <c r="C831" s="104"/>
      <c r="H831"/>
      <c r="K831"/>
      <c r="L831"/>
      <c r="M831"/>
    </row>
    <row r="832" spans="1:13" ht="25.5" customHeight="1">
      <c r="A832" s="1"/>
      <c r="B832" s="1"/>
      <c r="C832" s="104"/>
      <c r="H832"/>
      <c r="K832"/>
      <c r="L832"/>
      <c r="M832"/>
    </row>
    <row r="833" spans="1:13" ht="25.5" customHeight="1">
      <c r="A833" s="1"/>
      <c r="B833" s="1"/>
      <c r="C833" s="104"/>
      <c r="H833"/>
      <c r="K833"/>
      <c r="L833"/>
      <c r="M833"/>
    </row>
    <row r="834" spans="1:13" ht="25.5" customHeight="1">
      <c r="A834" s="1"/>
      <c r="B834" s="1"/>
      <c r="C834" s="104"/>
      <c r="H834"/>
      <c r="K834"/>
      <c r="L834"/>
      <c r="M834"/>
    </row>
    <row r="835" spans="1:13" ht="25.5" customHeight="1">
      <c r="A835" s="1"/>
      <c r="B835" s="1"/>
      <c r="C835" s="104"/>
      <c r="H835"/>
      <c r="K835"/>
      <c r="L835"/>
      <c r="M835"/>
    </row>
    <row r="836" spans="1:13" ht="25.5" customHeight="1">
      <c r="A836" s="1"/>
      <c r="B836" s="1"/>
      <c r="C836" s="104"/>
      <c r="H836"/>
      <c r="K836"/>
      <c r="L836"/>
      <c r="M836"/>
    </row>
    <row r="837" spans="1:13" ht="25.5" customHeight="1">
      <c r="A837" s="1"/>
      <c r="B837" s="1"/>
      <c r="C837" s="104"/>
      <c r="H837"/>
      <c r="K837"/>
      <c r="L837"/>
      <c r="M837"/>
    </row>
    <row r="838" spans="1:13" ht="25.5" customHeight="1">
      <c r="A838" s="1"/>
      <c r="B838" s="1"/>
      <c r="C838" s="104"/>
      <c r="H838"/>
      <c r="K838"/>
      <c r="L838"/>
      <c r="M838"/>
    </row>
    <row r="839" spans="1:13" ht="25.5" customHeight="1">
      <c r="A839" s="1"/>
      <c r="B839" s="1"/>
      <c r="C839" s="104"/>
      <c r="H839"/>
      <c r="K839"/>
      <c r="L839"/>
      <c r="M839"/>
    </row>
    <row r="840" spans="1:13" ht="25.5" customHeight="1">
      <c r="A840" s="1"/>
      <c r="B840" s="1"/>
      <c r="C840" s="104"/>
      <c r="H840"/>
      <c r="K840"/>
      <c r="L840"/>
      <c r="M840"/>
    </row>
    <row r="841" spans="1:13" ht="25.5" customHeight="1">
      <c r="A841" s="1"/>
      <c r="B841" s="1"/>
      <c r="C841" s="104"/>
      <c r="H841"/>
      <c r="K841"/>
      <c r="L841"/>
      <c r="M841"/>
    </row>
    <row r="842" spans="1:13" ht="25.5" customHeight="1">
      <c r="A842" s="1"/>
      <c r="B842" s="1"/>
      <c r="C842" s="104"/>
      <c r="H842"/>
      <c r="K842"/>
      <c r="L842"/>
      <c r="M842"/>
    </row>
    <row r="843" spans="1:13" ht="25.5" customHeight="1">
      <c r="A843" s="1"/>
      <c r="B843" s="1"/>
      <c r="C843" s="104"/>
      <c r="H843"/>
      <c r="K843"/>
      <c r="L843"/>
      <c r="M843"/>
    </row>
    <row r="844" spans="1:13" ht="25.5" customHeight="1">
      <c r="A844" s="1"/>
      <c r="B844" s="1"/>
      <c r="C844" s="104"/>
      <c r="H844"/>
      <c r="K844"/>
      <c r="L844"/>
      <c r="M844"/>
    </row>
    <row r="845" spans="1:13" ht="25.5" customHeight="1">
      <c r="A845" s="1"/>
      <c r="B845" s="1"/>
      <c r="C845" s="104"/>
      <c r="H845"/>
      <c r="K845"/>
      <c r="L845"/>
      <c r="M845"/>
    </row>
    <row r="846" spans="1:13" ht="25.5" customHeight="1">
      <c r="A846" s="1"/>
      <c r="B846" s="1"/>
      <c r="C846" s="104"/>
      <c r="H846"/>
      <c r="K846"/>
      <c r="L846"/>
      <c r="M846"/>
    </row>
    <row r="847" spans="1:13" ht="25.5" customHeight="1">
      <c r="A847" s="1"/>
      <c r="B847" s="1"/>
      <c r="C847" s="104"/>
      <c r="H847"/>
      <c r="K847"/>
      <c r="L847"/>
      <c r="M847"/>
    </row>
    <row r="848" spans="1:13" ht="25.5" customHeight="1">
      <c r="A848" s="1"/>
      <c r="B848" s="1"/>
      <c r="C848" s="104"/>
      <c r="H848"/>
      <c r="K848"/>
      <c r="L848"/>
      <c r="M848"/>
    </row>
    <row r="849" spans="1:13" ht="25.5" customHeight="1">
      <c r="A849" s="1"/>
      <c r="B849" s="1"/>
      <c r="C849" s="104"/>
      <c r="H849"/>
      <c r="K849"/>
      <c r="L849"/>
      <c r="M849"/>
    </row>
    <row r="850" spans="1:13" ht="25.5" customHeight="1">
      <c r="A850" s="1"/>
      <c r="B850" s="1"/>
      <c r="C850" s="104"/>
      <c r="H850"/>
      <c r="K850"/>
      <c r="L850"/>
      <c r="M850"/>
    </row>
    <row r="851" spans="1:13" ht="25.5" customHeight="1">
      <c r="A851" s="1"/>
      <c r="B851" s="1"/>
      <c r="C851" s="104"/>
      <c r="H851"/>
      <c r="K851"/>
      <c r="L851"/>
      <c r="M851"/>
    </row>
    <row r="852" spans="1:13" ht="25.5" customHeight="1">
      <c r="A852" s="1"/>
      <c r="B852" s="1"/>
      <c r="C852" s="104"/>
      <c r="H852"/>
      <c r="K852"/>
      <c r="L852"/>
      <c r="M852"/>
    </row>
    <row r="853" spans="1:13" ht="25.5" customHeight="1">
      <c r="A853" s="1"/>
      <c r="B853" s="1"/>
      <c r="C853" s="104"/>
      <c r="H853"/>
      <c r="K853"/>
      <c r="L853"/>
      <c r="M853"/>
    </row>
    <row r="854" spans="1:13" ht="25.5" customHeight="1">
      <c r="A854" s="1"/>
      <c r="B854" s="1"/>
      <c r="C854" s="104"/>
      <c r="H854"/>
      <c r="K854"/>
      <c r="L854"/>
      <c r="M854"/>
    </row>
    <row r="855" spans="1:13" ht="25.5" customHeight="1">
      <c r="A855" s="1"/>
      <c r="B855" s="1"/>
      <c r="C855" s="104"/>
      <c r="H855"/>
      <c r="K855"/>
      <c r="L855"/>
      <c r="M855"/>
    </row>
    <row r="856" spans="1:13" ht="25.5" customHeight="1">
      <c r="A856" s="1"/>
      <c r="B856" s="1"/>
      <c r="C856" s="104"/>
      <c r="H856"/>
      <c r="K856"/>
      <c r="L856"/>
      <c r="M856"/>
    </row>
    <row r="857" spans="1:13" ht="25.5" customHeight="1">
      <c r="A857" s="1"/>
      <c r="B857" s="1"/>
      <c r="C857" s="104"/>
      <c r="H857"/>
      <c r="K857"/>
      <c r="L857"/>
      <c r="M857"/>
    </row>
    <row r="858" spans="1:13" ht="25.5" customHeight="1">
      <c r="A858" s="1"/>
      <c r="B858" s="1"/>
      <c r="C858" s="104"/>
      <c r="H858"/>
      <c r="K858"/>
      <c r="L858"/>
      <c r="M858"/>
    </row>
    <row r="859" spans="1:13" ht="25.5" customHeight="1">
      <c r="A859" s="1"/>
      <c r="B859" s="1"/>
      <c r="C859" s="104"/>
      <c r="H859"/>
      <c r="K859"/>
      <c r="L859"/>
      <c r="M859"/>
    </row>
    <row r="860" spans="1:13" ht="25.5" customHeight="1">
      <c r="A860" s="1"/>
      <c r="B860" s="1"/>
      <c r="C860" s="104"/>
      <c r="H860"/>
      <c r="K860"/>
      <c r="L860"/>
      <c r="M860"/>
    </row>
    <row r="861" spans="1:13" ht="25.5" customHeight="1">
      <c r="A861" s="1"/>
      <c r="B861" s="1"/>
      <c r="C861" s="104"/>
      <c r="H861"/>
      <c r="K861"/>
      <c r="L861"/>
      <c r="M861"/>
    </row>
    <row r="862" spans="1:13" ht="25.5" customHeight="1">
      <c r="A862" s="1"/>
      <c r="B862" s="1"/>
      <c r="C862" s="104"/>
      <c r="H862"/>
      <c r="K862"/>
      <c r="L862"/>
      <c r="M862"/>
    </row>
    <row r="863" spans="1:13" ht="25.5" customHeight="1">
      <c r="A863" s="1"/>
      <c r="B863" s="1"/>
      <c r="C863" s="104"/>
      <c r="H863"/>
      <c r="K863"/>
      <c r="L863"/>
      <c r="M863"/>
    </row>
    <row r="864" spans="1:13" ht="25.5" customHeight="1">
      <c r="A864" s="1"/>
      <c r="B864" s="1"/>
      <c r="C864" s="104"/>
      <c r="H864"/>
      <c r="K864"/>
      <c r="L864"/>
      <c r="M864"/>
    </row>
    <row r="865" spans="1:13" ht="25.5" customHeight="1">
      <c r="A865" s="1"/>
      <c r="B865" s="1"/>
      <c r="C865" s="104"/>
      <c r="H865"/>
      <c r="K865"/>
      <c r="L865"/>
      <c r="M865"/>
    </row>
    <row r="866" spans="1:13" ht="25.5" customHeight="1">
      <c r="A866" s="1"/>
      <c r="B866" s="1"/>
      <c r="C866" s="104"/>
      <c r="H866"/>
      <c r="K866"/>
      <c r="L866"/>
      <c r="M866"/>
    </row>
    <row r="867" spans="1:13" ht="25.5" customHeight="1">
      <c r="A867" s="1"/>
      <c r="B867" s="1"/>
      <c r="C867" s="104"/>
      <c r="H867"/>
      <c r="K867"/>
      <c r="L867"/>
      <c r="M867"/>
    </row>
    <row r="868" spans="1:13" ht="25.5" customHeight="1">
      <c r="A868" s="1"/>
      <c r="B868" s="1"/>
      <c r="C868" s="104"/>
      <c r="H868"/>
      <c r="K868"/>
      <c r="L868"/>
      <c r="M868"/>
    </row>
    <row r="869" spans="1:13" ht="25.5" customHeight="1">
      <c r="A869" s="1"/>
      <c r="B869" s="1"/>
      <c r="C869" s="104"/>
      <c r="H869"/>
      <c r="K869"/>
      <c r="L869"/>
      <c r="M869"/>
    </row>
    <row r="870" spans="1:13" ht="25.5" customHeight="1">
      <c r="A870" s="1"/>
      <c r="B870" s="1"/>
      <c r="C870" s="104"/>
      <c r="H870"/>
      <c r="K870"/>
      <c r="L870"/>
      <c r="M870"/>
    </row>
    <row r="871" spans="1:13" ht="25.5" customHeight="1">
      <c r="A871" s="1"/>
      <c r="B871" s="1"/>
      <c r="C871" s="104"/>
      <c r="H871"/>
      <c r="K871"/>
      <c r="L871"/>
      <c r="M871"/>
    </row>
    <row r="872" spans="1:13" ht="25.5" customHeight="1">
      <c r="A872" s="1"/>
      <c r="B872" s="1"/>
      <c r="C872" s="104"/>
      <c r="H872"/>
      <c r="K872"/>
      <c r="L872"/>
      <c r="M872"/>
    </row>
    <row r="873" spans="1:13" ht="25.5" customHeight="1">
      <c r="A873" s="1"/>
      <c r="B873" s="1"/>
      <c r="C873" s="104"/>
      <c r="H873"/>
      <c r="K873"/>
      <c r="L873"/>
      <c r="M873"/>
    </row>
    <row r="874" spans="1:13" ht="25.5" customHeight="1">
      <c r="A874" s="1"/>
      <c r="B874" s="1"/>
      <c r="C874" s="104"/>
      <c r="H874"/>
      <c r="K874"/>
      <c r="L874"/>
      <c r="M874"/>
    </row>
    <row r="875" spans="1:13" ht="25.5" customHeight="1">
      <c r="A875" s="1"/>
      <c r="B875" s="1"/>
      <c r="C875" s="104"/>
      <c r="H875"/>
      <c r="K875"/>
      <c r="L875"/>
      <c r="M875"/>
    </row>
    <row r="876" spans="1:13" ht="25.5" customHeight="1">
      <c r="A876" s="1"/>
      <c r="B876" s="1"/>
      <c r="C876" s="104"/>
      <c r="H876"/>
      <c r="K876"/>
      <c r="L876"/>
      <c r="M876"/>
    </row>
    <row r="877" spans="1:13" ht="25.5" customHeight="1">
      <c r="A877" s="1"/>
      <c r="B877" s="1"/>
      <c r="C877" s="104"/>
      <c r="H877"/>
      <c r="K877"/>
      <c r="L877"/>
      <c r="M877"/>
    </row>
    <row r="878" spans="1:13" ht="25.5" customHeight="1">
      <c r="A878" s="1"/>
      <c r="B878" s="1"/>
      <c r="C878" s="104"/>
      <c r="H878"/>
      <c r="K878"/>
      <c r="L878"/>
      <c r="M878"/>
    </row>
    <row r="879" spans="1:13" ht="25.5" customHeight="1">
      <c r="A879" s="1"/>
      <c r="B879" s="1"/>
      <c r="C879" s="104"/>
      <c r="H879"/>
      <c r="K879"/>
      <c r="L879"/>
      <c r="M879"/>
    </row>
    <row r="880" spans="1:13" ht="25.5" customHeight="1">
      <c r="A880" s="1"/>
      <c r="B880" s="1"/>
      <c r="C880" s="104"/>
      <c r="H880"/>
      <c r="K880"/>
      <c r="L880"/>
      <c r="M880"/>
    </row>
    <row r="881" spans="1:13" ht="25.5" customHeight="1">
      <c r="A881" s="1"/>
      <c r="B881" s="1"/>
      <c r="C881" s="104"/>
      <c r="H881"/>
      <c r="K881"/>
      <c r="L881"/>
      <c r="M881"/>
    </row>
    <row r="882" spans="1:13" ht="25.5" customHeight="1">
      <c r="A882" s="1"/>
      <c r="B882" s="1"/>
      <c r="C882" s="104"/>
      <c r="H882"/>
      <c r="K882"/>
      <c r="L882"/>
      <c r="M882"/>
    </row>
    <row r="883" spans="1:13" ht="25.5" customHeight="1">
      <c r="A883" s="1"/>
      <c r="B883" s="1"/>
      <c r="C883" s="104"/>
      <c r="H883"/>
      <c r="K883"/>
      <c r="L883"/>
      <c r="M883"/>
    </row>
    <row r="884" spans="1:13" ht="25.5" customHeight="1">
      <c r="A884" s="1"/>
      <c r="B884" s="1"/>
      <c r="C884" s="104"/>
      <c r="H884"/>
      <c r="K884"/>
      <c r="L884"/>
      <c r="M884"/>
    </row>
    <row r="885" spans="1:13" ht="25.5" customHeight="1">
      <c r="A885" s="1"/>
      <c r="B885" s="1"/>
      <c r="C885" s="104"/>
      <c r="H885"/>
      <c r="K885"/>
      <c r="L885"/>
      <c r="M885"/>
    </row>
    <row r="886" spans="1:13" ht="25.5" customHeight="1">
      <c r="A886" s="1"/>
      <c r="B886" s="1"/>
      <c r="C886" s="104"/>
      <c r="H886"/>
      <c r="K886"/>
      <c r="L886"/>
      <c r="M886"/>
    </row>
    <row r="887" spans="1:13" ht="25.5" customHeight="1">
      <c r="A887" s="1"/>
      <c r="B887" s="1"/>
      <c r="C887" s="104"/>
      <c r="H887"/>
      <c r="K887"/>
      <c r="L887"/>
      <c r="M887"/>
    </row>
    <row r="888" spans="1:13" ht="25.5" customHeight="1">
      <c r="A888" s="1"/>
      <c r="B888" s="1"/>
      <c r="C888" s="104"/>
      <c r="H888"/>
      <c r="K888"/>
      <c r="L888"/>
      <c r="M888"/>
    </row>
    <row r="889" spans="1:13" ht="25.5" customHeight="1">
      <c r="A889" s="1"/>
      <c r="B889" s="1"/>
      <c r="C889" s="104"/>
      <c r="H889"/>
      <c r="K889"/>
      <c r="L889"/>
      <c r="M889"/>
    </row>
    <row r="890" spans="1:13" ht="25.5" customHeight="1">
      <c r="A890" s="1"/>
      <c r="B890" s="1"/>
      <c r="C890" s="104"/>
      <c r="H890"/>
      <c r="K890"/>
      <c r="L890"/>
      <c r="M890"/>
    </row>
    <row r="891" spans="1:13" ht="25.5" customHeight="1">
      <c r="A891" s="1"/>
      <c r="B891" s="1"/>
      <c r="C891" s="104"/>
      <c r="H891"/>
      <c r="K891"/>
      <c r="L891"/>
      <c r="M891"/>
    </row>
    <row r="892" spans="1:13" ht="25.5" customHeight="1">
      <c r="A892" s="1"/>
      <c r="B892" s="1"/>
      <c r="C892" s="104"/>
      <c r="H892"/>
      <c r="K892"/>
      <c r="L892"/>
      <c r="M892"/>
    </row>
    <row r="893" spans="1:13" ht="25.5" customHeight="1">
      <c r="A893" s="1"/>
      <c r="B893" s="1"/>
      <c r="C893" s="104"/>
      <c r="H893"/>
      <c r="K893"/>
      <c r="L893"/>
      <c r="M893"/>
    </row>
    <row r="894" spans="1:13" ht="25.5" customHeight="1">
      <c r="A894" s="1"/>
      <c r="B894" s="1"/>
      <c r="C894" s="104"/>
      <c r="H894"/>
      <c r="K894"/>
      <c r="L894"/>
      <c r="M894"/>
    </row>
    <row r="895" spans="1:13" ht="25.5" customHeight="1">
      <c r="A895" s="1"/>
      <c r="B895" s="1"/>
      <c r="C895" s="104"/>
      <c r="H895"/>
      <c r="K895"/>
      <c r="L895"/>
      <c r="M895"/>
    </row>
    <row r="896" spans="1:13" ht="25.5" customHeight="1">
      <c r="A896" s="1"/>
      <c r="B896" s="1"/>
      <c r="C896" s="104"/>
      <c r="H896"/>
      <c r="K896"/>
      <c r="L896"/>
      <c r="M896"/>
    </row>
    <row r="897" spans="1:13" ht="25.5" customHeight="1">
      <c r="A897" s="1"/>
      <c r="B897" s="1"/>
      <c r="C897" s="104"/>
      <c r="H897"/>
      <c r="K897"/>
      <c r="L897"/>
      <c r="M897"/>
    </row>
    <row r="898" spans="1:13" ht="25.5" customHeight="1">
      <c r="A898" s="1"/>
      <c r="B898" s="1"/>
      <c r="C898" s="104"/>
      <c r="H898"/>
      <c r="K898"/>
      <c r="L898"/>
      <c r="M898"/>
    </row>
    <row r="899" spans="1:13" ht="25.5" customHeight="1">
      <c r="A899" s="1"/>
      <c r="B899" s="1"/>
      <c r="C899" s="104"/>
      <c r="H899"/>
      <c r="K899"/>
      <c r="L899"/>
      <c r="M899"/>
    </row>
    <row r="900" spans="1:13" ht="25.5" customHeight="1">
      <c r="A900" s="1"/>
      <c r="B900" s="1"/>
      <c r="C900" s="104"/>
      <c r="H900"/>
      <c r="K900"/>
      <c r="L900"/>
      <c r="M900"/>
    </row>
    <row r="901" spans="1:13" ht="25.5" customHeight="1">
      <c r="A901" s="1"/>
      <c r="B901" s="1"/>
      <c r="C901" s="104"/>
      <c r="H901"/>
      <c r="K901"/>
      <c r="L901"/>
      <c r="M901"/>
    </row>
    <row r="902" spans="1:13" ht="25.5" customHeight="1">
      <c r="A902" s="1"/>
      <c r="B902" s="1"/>
      <c r="C902" s="104"/>
      <c r="H902"/>
      <c r="K902"/>
      <c r="L902"/>
      <c r="M902"/>
    </row>
    <row r="903" spans="1:13" ht="25.5" customHeight="1">
      <c r="A903" s="1"/>
      <c r="B903" s="1"/>
      <c r="C903" s="104"/>
      <c r="H903"/>
      <c r="K903"/>
      <c r="L903"/>
      <c r="M903"/>
    </row>
    <row r="904" spans="1:13" ht="25.5" customHeight="1">
      <c r="A904" s="1"/>
      <c r="B904" s="1"/>
      <c r="C904" s="104"/>
      <c r="H904"/>
      <c r="K904"/>
      <c r="L904"/>
      <c r="M904"/>
    </row>
    <row r="905" spans="1:13" ht="25.5" customHeight="1">
      <c r="A905" s="1"/>
      <c r="B905" s="1"/>
      <c r="C905" s="104"/>
      <c r="H905"/>
      <c r="K905"/>
      <c r="L905"/>
      <c r="M905"/>
    </row>
    <row r="906" spans="1:13" ht="25.5" customHeight="1">
      <c r="A906" s="1"/>
      <c r="B906" s="1"/>
      <c r="C906" s="104"/>
      <c r="H906"/>
      <c r="K906"/>
      <c r="L906"/>
      <c r="M906"/>
    </row>
    <row r="907" spans="1:13" ht="25.5" customHeight="1">
      <c r="A907" s="1"/>
      <c r="B907" s="1"/>
      <c r="C907" s="104"/>
      <c r="H907"/>
      <c r="K907"/>
      <c r="L907"/>
      <c r="M907"/>
    </row>
    <row r="908" spans="1:13" ht="25.5" customHeight="1">
      <c r="A908" s="1"/>
      <c r="B908" s="1"/>
      <c r="C908" s="104"/>
      <c r="H908"/>
      <c r="K908"/>
      <c r="L908"/>
      <c r="M908"/>
    </row>
    <row r="909" spans="1:13" ht="25.5" customHeight="1">
      <c r="A909" s="1"/>
      <c r="B909" s="1"/>
      <c r="C909" s="104"/>
      <c r="H909"/>
      <c r="K909"/>
      <c r="L909"/>
      <c r="M909"/>
    </row>
    <row r="910" spans="1:13" ht="25.5" customHeight="1">
      <c r="A910" s="1"/>
      <c r="B910" s="1"/>
      <c r="C910" s="104"/>
      <c r="H910"/>
      <c r="K910"/>
      <c r="L910"/>
      <c r="M910"/>
    </row>
    <row r="911" spans="1:13" ht="25.5" customHeight="1">
      <c r="A911" s="1"/>
      <c r="B911" s="1"/>
      <c r="C911" s="104"/>
      <c r="H911"/>
      <c r="K911"/>
      <c r="L911"/>
      <c r="M911"/>
    </row>
    <row r="912" spans="1:13" ht="25.5" customHeight="1">
      <c r="A912" s="1"/>
      <c r="B912" s="1"/>
      <c r="C912" s="104"/>
      <c r="H912"/>
      <c r="K912"/>
      <c r="L912"/>
      <c r="M912"/>
    </row>
    <row r="913" spans="1:13" ht="25.5" customHeight="1">
      <c r="A913" s="1"/>
      <c r="B913" s="1"/>
      <c r="C913" s="104"/>
      <c r="H913"/>
      <c r="K913"/>
      <c r="L913"/>
      <c r="M913"/>
    </row>
    <row r="914" spans="1:13" ht="25.5" customHeight="1">
      <c r="A914" s="1"/>
      <c r="B914" s="1"/>
      <c r="C914" s="104"/>
      <c r="H914"/>
      <c r="K914"/>
      <c r="L914"/>
      <c r="M914"/>
    </row>
    <row r="915" spans="1:13" ht="25.5" customHeight="1">
      <c r="A915" s="1"/>
      <c r="B915" s="1"/>
      <c r="C915" s="104"/>
      <c r="H915"/>
      <c r="K915"/>
      <c r="L915"/>
      <c r="M915"/>
    </row>
    <row r="916" spans="1:13" ht="25.5" customHeight="1">
      <c r="A916" s="1"/>
      <c r="B916" s="1"/>
      <c r="C916" s="104"/>
      <c r="H916"/>
      <c r="K916"/>
      <c r="L916"/>
      <c r="M916"/>
    </row>
    <row r="917" spans="1:13" ht="25.5" customHeight="1">
      <c r="A917" s="1"/>
      <c r="B917" s="1"/>
      <c r="C917" s="104"/>
      <c r="H917"/>
      <c r="K917"/>
      <c r="L917"/>
      <c r="M917"/>
    </row>
    <row r="918" spans="1:13" ht="25.5" customHeight="1">
      <c r="A918" s="1"/>
      <c r="B918" s="1"/>
      <c r="C918" s="104"/>
      <c r="H918"/>
      <c r="K918"/>
      <c r="L918"/>
      <c r="M918"/>
    </row>
    <row r="919" spans="1:13" ht="25.5" customHeight="1">
      <c r="A919" s="1"/>
      <c r="B919" s="1"/>
      <c r="C919" s="104"/>
      <c r="H919"/>
      <c r="K919"/>
      <c r="L919"/>
      <c r="M919"/>
    </row>
    <row r="920" spans="1:13" ht="25.5" customHeight="1">
      <c r="A920" s="1"/>
      <c r="B920" s="1"/>
      <c r="C920" s="104"/>
      <c r="H920"/>
      <c r="K920"/>
      <c r="L920"/>
      <c r="M920"/>
    </row>
    <row r="921" spans="1:13" ht="25.5" customHeight="1">
      <c r="A921" s="1"/>
      <c r="B921" s="1"/>
      <c r="C921" s="104"/>
      <c r="H921"/>
      <c r="K921"/>
      <c r="L921"/>
      <c r="M921"/>
    </row>
    <row r="922" spans="1:13" ht="25.5" customHeight="1">
      <c r="A922" s="1"/>
      <c r="B922" s="1"/>
      <c r="C922" s="104"/>
      <c r="H922"/>
      <c r="K922"/>
      <c r="L922"/>
      <c r="M922"/>
    </row>
    <row r="923" spans="1:13" ht="25.5" customHeight="1">
      <c r="A923" s="1"/>
      <c r="B923" s="1"/>
      <c r="C923" s="104"/>
      <c r="H923"/>
      <c r="K923"/>
      <c r="L923"/>
      <c r="M923"/>
    </row>
    <row r="924" spans="1:13" ht="25.5" customHeight="1">
      <c r="A924" s="1"/>
      <c r="B924" s="1"/>
      <c r="C924" s="104"/>
      <c r="H924"/>
      <c r="K924"/>
      <c r="L924"/>
      <c r="M924"/>
    </row>
    <row r="925" spans="1:13" ht="25.5" customHeight="1">
      <c r="A925" s="1"/>
      <c r="B925" s="1"/>
      <c r="C925" s="104"/>
      <c r="H925"/>
      <c r="K925"/>
      <c r="L925"/>
      <c r="M925"/>
    </row>
    <row r="926" spans="1:13" ht="25.5" customHeight="1">
      <c r="A926" s="1"/>
      <c r="B926" s="1"/>
      <c r="C926" s="104"/>
      <c r="H926"/>
      <c r="K926"/>
      <c r="L926"/>
      <c r="M926"/>
    </row>
    <row r="927" spans="1:13" ht="25.5" customHeight="1">
      <c r="A927" s="1"/>
      <c r="B927" s="1"/>
      <c r="C927" s="104"/>
      <c r="H927"/>
      <c r="K927"/>
      <c r="L927"/>
      <c r="M927"/>
    </row>
    <row r="928" spans="1:13" ht="25.5" customHeight="1">
      <c r="A928" s="1"/>
      <c r="B928" s="1"/>
      <c r="C928" s="104"/>
      <c r="H928"/>
      <c r="K928"/>
      <c r="L928"/>
      <c r="M928"/>
    </row>
    <row r="929" spans="1:13" ht="25.5" customHeight="1">
      <c r="A929" s="1"/>
      <c r="B929" s="1"/>
      <c r="C929" s="104"/>
      <c r="H929"/>
      <c r="K929"/>
      <c r="L929"/>
      <c r="M929"/>
    </row>
    <row r="930" spans="1:13" ht="25.5" customHeight="1">
      <c r="A930" s="1"/>
      <c r="B930" s="1"/>
      <c r="C930" s="104"/>
      <c r="H930"/>
      <c r="K930"/>
      <c r="L930"/>
      <c r="M930"/>
    </row>
    <row r="931" spans="1:13" ht="25.5" customHeight="1">
      <c r="A931" s="1"/>
      <c r="B931" s="1"/>
      <c r="C931" s="104"/>
      <c r="H931"/>
      <c r="K931"/>
      <c r="L931"/>
      <c r="M931"/>
    </row>
    <row r="932" spans="1:13" ht="25.5" customHeight="1">
      <c r="A932" s="1"/>
      <c r="B932" s="1"/>
      <c r="C932" s="104"/>
      <c r="H932"/>
      <c r="K932"/>
      <c r="L932"/>
      <c r="M932"/>
    </row>
    <row r="933" spans="1:13" ht="25.5" customHeight="1">
      <c r="A933" s="1"/>
      <c r="B933" s="1"/>
      <c r="C933" s="104"/>
      <c r="H933"/>
      <c r="K933"/>
      <c r="L933"/>
      <c r="M933"/>
    </row>
    <row r="934" spans="1:13" ht="25.5" customHeight="1">
      <c r="A934" s="1"/>
      <c r="B934" s="1"/>
      <c r="C934" s="104"/>
      <c r="H934"/>
      <c r="K934"/>
      <c r="L934"/>
      <c r="M934"/>
    </row>
    <row r="935" spans="1:13" ht="25.5" customHeight="1">
      <c r="A935" s="1"/>
      <c r="B935" s="1"/>
      <c r="C935" s="104"/>
      <c r="H935"/>
      <c r="K935"/>
      <c r="L935"/>
      <c r="M935"/>
    </row>
    <row r="936" spans="1:13" ht="25.5" customHeight="1">
      <c r="A936" s="1"/>
      <c r="B936" s="1"/>
      <c r="C936" s="104"/>
      <c r="H936"/>
      <c r="K936"/>
      <c r="L936"/>
      <c r="M936"/>
    </row>
    <row r="937" spans="1:13" ht="25.5" customHeight="1">
      <c r="A937" s="1"/>
      <c r="B937" s="1"/>
      <c r="C937" s="104"/>
      <c r="H937"/>
      <c r="K937"/>
      <c r="L937"/>
      <c r="M937"/>
    </row>
    <row r="938" spans="1:13" ht="25.5" customHeight="1">
      <c r="A938" s="1"/>
      <c r="B938" s="1"/>
      <c r="C938" s="104"/>
      <c r="H938"/>
      <c r="K938"/>
      <c r="L938"/>
      <c r="M938"/>
    </row>
    <row r="939" spans="1:13" ht="25.5" customHeight="1">
      <c r="A939" s="1"/>
      <c r="B939" s="1"/>
      <c r="C939" s="104"/>
      <c r="H939"/>
      <c r="K939"/>
      <c r="L939"/>
      <c r="M939"/>
    </row>
    <row r="940" spans="1:13" ht="25.5" customHeight="1">
      <c r="A940" s="1"/>
      <c r="B940" s="1"/>
      <c r="C940" s="104"/>
      <c r="H940"/>
      <c r="K940"/>
      <c r="L940"/>
      <c r="M940"/>
    </row>
    <row r="941" spans="1:13" ht="25.5" customHeight="1">
      <c r="A941" s="1"/>
      <c r="B941" s="1"/>
      <c r="C941" s="104"/>
      <c r="H941"/>
      <c r="K941"/>
      <c r="L941"/>
      <c r="M941"/>
    </row>
    <row r="942" spans="1:13" ht="25.5" customHeight="1">
      <c r="A942" s="1"/>
      <c r="B942" s="1"/>
      <c r="C942" s="104"/>
      <c r="H942"/>
      <c r="K942"/>
      <c r="L942"/>
      <c r="M942"/>
    </row>
    <row r="943" spans="1:13" ht="25.5" customHeight="1">
      <c r="A943" s="1"/>
      <c r="B943" s="1"/>
      <c r="C943" s="104"/>
      <c r="H943"/>
      <c r="K943"/>
      <c r="L943"/>
      <c r="M943"/>
    </row>
    <row r="944" spans="1:13" ht="25.5" customHeight="1">
      <c r="A944" s="1"/>
      <c r="B944" s="1"/>
      <c r="C944" s="104"/>
      <c r="H944"/>
      <c r="K944"/>
      <c r="L944"/>
      <c r="M944"/>
    </row>
    <row r="945" spans="1:13" ht="25.5" customHeight="1">
      <c r="A945" s="1"/>
      <c r="B945" s="1"/>
      <c r="C945" s="104"/>
      <c r="H945"/>
      <c r="K945"/>
      <c r="L945"/>
      <c r="M945"/>
    </row>
    <row r="946" spans="1:13" ht="25.5" customHeight="1">
      <c r="A946" s="1"/>
      <c r="B946" s="1"/>
      <c r="C946" s="104"/>
      <c r="H946"/>
      <c r="K946"/>
      <c r="L946"/>
      <c r="M946"/>
    </row>
    <row r="947" spans="1:13" ht="25.5" customHeight="1">
      <c r="A947" s="1"/>
      <c r="B947" s="1"/>
      <c r="C947" s="104"/>
      <c r="H947"/>
      <c r="K947"/>
      <c r="L947"/>
      <c r="M947"/>
    </row>
    <row r="948" spans="1:13" ht="25.5" customHeight="1">
      <c r="A948" s="1"/>
      <c r="B948" s="1"/>
      <c r="C948" s="104"/>
      <c r="H948"/>
      <c r="K948"/>
      <c r="L948"/>
      <c r="M948"/>
    </row>
    <row r="949" spans="1:13" ht="25.5" customHeight="1">
      <c r="A949" s="1"/>
      <c r="B949" s="1"/>
      <c r="C949" s="104"/>
      <c r="H949"/>
      <c r="K949"/>
      <c r="L949"/>
      <c r="M949"/>
    </row>
    <row r="950" spans="1:13" ht="25.5" customHeight="1">
      <c r="A950" s="1"/>
      <c r="B950" s="1"/>
      <c r="C950" s="104"/>
      <c r="H950"/>
      <c r="K950"/>
      <c r="L950"/>
      <c r="M950"/>
    </row>
    <row r="951" spans="1:13" ht="25.5" customHeight="1">
      <c r="A951" s="1"/>
      <c r="B951" s="1"/>
      <c r="C951" s="104"/>
      <c r="H951"/>
      <c r="K951"/>
      <c r="L951"/>
      <c r="M951"/>
    </row>
    <row r="952" spans="1:13" ht="25.5" customHeight="1">
      <c r="A952" s="1"/>
      <c r="B952" s="1"/>
      <c r="C952" s="104"/>
      <c r="H952"/>
      <c r="K952"/>
      <c r="L952"/>
      <c r="M952"/>
    </row>
    <row r="953" spans="1:13" ht="25.5" customHeight="1">
      <c r="A953" s="1"/>
      <c r="B953" s="1"/>
      <c r="C953" s="104"/>
      <c r="H953"/>
      <c r="K953"/>
      <c r="L953"/>
      <c r="M953"/>
    </row>
    <row r="954" spans="1:13" ht="25.5" customHeight="1">
      <c r="A954" s="1"/>
      <c r="B954" s="1"/>
      <c r="C954" s="104"/>
      <c r="H954"/>
      <c r="K954"/>
      <c r="L954"/>
      <c r="M954"/>
    </row>
    <row r="955" spans="1:13" ht="25.5" customHeight="1">
      <c r="A955" s="1"/>
      <c r="B955" s="1"/>
      <c r="C955" s="104"/>
      <c r="H955"/>
      <c r="K955"/>
      <c r="L955"/>
      <c r="M955"/>
    </row>
    <row r="956" spans="1:13" ht="25.5" customHeight="1">
      <c r="A956" s="1"/>
      <c r="B956" s="1"/>
      <c r="C956" s="104"/>
      <c r="H956"/>
      <c r="K956"/>
      <c r="L956"/>
      <c r="M956"/>
    </row>
    <row r="957" spans="1:13" ht="25.5" customHeight="1">
      <c r="A957" s="1"/>
      <c r="B957" s="1"/>
      <c r="C957" s="104"/>
      <c r="H957"/>
      <c r="K957"/>
      <c r="L957"/>
      <c r="M957"/>
    </row>
    <row r="958" spans="1:13" ht="25.5" customHeight="1">
      <c r="A958" s="1"/>
      <c r="B958" s="1"/>
      <c r="C958" s="104"/>
      <c r="H958"/>
      <c r="K958"/>
      <c r="L958"/>
      <c r="M958"/>
    </row>
    <row r="959" spans="1:13" ht="25.5" customHeight="1">
      <c r="A959" s="1"/>
      <c r="B959" s="1"/>
      <c r="C959" s="104"/>
      <c r="H959"/>
      <c r="K959"/>
      <c r="L959"/>
      <c r="M959"/>
    </row>
    <row r="960" spans="1:13" ht="25.5" customHeight="1">
      <c r="A960" s="1"/>
      <c r="B960" s="1"/>
      <c r="C960" s="104"/>
      <c r="H960"/>
      <c r="K960"/>
      <c r="L960"/>
      <c r="M960"/>
    </row>
    <row r="961" spans="1:13" ht="25.5" customHeight="1">
      <c r="A961" s="1"/>
      <c r="B961" s="1"/>
      <c r="C961" s="104"/>
      <c r="H961"/>
      <c r="K961"/>
      <c r="L961"/>
      <c r="M961"/>
    </row>
    <row r="962" spans="1:13" ht="25.5" customHeight="1">
      <c r="A962" s="1"/>
      <c r="B962" s="1"/>
      <c r="C962" s="104"/>
      <c r="H962"/>
      <c r="K962"/>
      <c r="L962"/>
      <c r="M962"/>
    </row>
    <row r="963" spans="1:13" ht="25.5" customHeight="1">
      <c r="A963" s="1"/>
      <c r="B963" s="1"/>
      <c r="C963" s="104"/>
      <c r="H963"/>
      <c r="K963"/>
      <c r="L963"/>
      <c r="M963"/>
    </row>
    <row r="964" spans="1:13" ht="25.5" customHeight="1">
      <c r="A964" s="1"/>
      <c r="B964" s="1"/>
      <c r="C964" s="104"/>
      <c r="H964"/>
      <c r="K964"/>
      <c r="L964"/>
      <c r="M964"/>
    </row>
    <row r="965" spans="1:13" ht="25.5" customHeight="1">
      <c r="A965" s="1"/>
      <c r="B965" s="1"/>
      <c r="C965" s="104"/>
      <c r="H965"/>
      <c r="K965"/>
      <c r="L965"/>
      <c r="M965"/>
    </row>
    <row r="966" spans="1:13" ht="25.5" customHeight="1">
      <c r="A966" s="1"/>
      <c r="B966" s="1"/>
      <c r="C966" s="104"/>
      <c r="H966"/>
      <c r="K966"/>
      <c r="L966"/>
      <c r="M966"/>
    </row>
    <row r="967" spans="1:13" ht="25.5" customHeight="1">
      <c r="A967" s="1"/>
      <c r="B967" s="1"/>
      <c r="C967" s="104"/>
      <c r="H967"/>
      <c r="K967"/>
      <c r="L967"/>
      <c r="M967"/>
    </row>
    <row r="968" spans="1:13" ht="25.5" customHeight="1">
      <c r="A968" s="1"/>
      <c r="B968" s="1"/>
      <c r="C968" s="104"/>
      <c r="H968"/>
      <c r="K968"/>
      <c r="L968"/>
      <c r="M968"/>
    </row>
    <row r="969" spans="1:13" ht="25.5" customHeight="1">
      <c r="A969" s="1"/>
      <c r="B969" s="1"/>
      <c r="C969" s="104"/>
      <c r="H969"/>
      <c r="K969"/>
      <c r="L969"/>
      <c r="M969"/>
    </row>
    <row r="970" spans="1:13" ht="25.5" customHeight="1">
      <c r="A970" s="1"/>
      <c r="B970" s="1"/>
      <c r="C970" s="104"/>
      <c r="H970"/>
      <c r="K970"/>
      <c r="L970"/>
      <c r="M970"/>
    </row>
    <row r="971" spans="1:13" ht="25.5" customHeight="1">
      <c r="A971" s="1"/>
      <c r="B971" s="1"/>
      <c r="C971" s="104"/>
      <c r="H971"/>
      <c r="K971"/>
      <c r="L971"/>
      <c r="M971"/>
    </row>
    <row r="972" spans="1:13" ht="25.5" customHeight="1">
      <c r="A972" s="1"/>
      <c r="B972" s="1"/>
      <c r="C972" s="104"/>
      <c r="H972"/>
      <c r="K972"/>
      <c r="L972"/>
      <c r="M972"/>
    </row>
    <row r="973" spans="1:13" ht="25.5" customHeight="1">
      <c r="A973" s="1"/>
      <c r="B973" s="1"/>
      <c r="C973" s="104"/>
      <c r="H973"/>
      <c r="K973"/>
      <c r="L973"/>
      <c r="M973"/>
    </row>
    <row r="974" spans="1:13" ht="25.5" customHeight="1">
      <c r="A974" s="1"/>
      <c r="B974" s="1"/>
    </row>
    <row r="975" spans="1:13" ht="25.5" customHeight="1">
      <c r="A975" s="1"/>
      <c r="B975" s="1"/>
    </row>
    <row r="976" spans="1:13" ht="25.5" customHeight="1">
      <c r="A976" s="1"/>
      <c r="B976" s="1"/>
    </row>
    <row r="977" spans="1:2" ht="25.5" customHeight="1">
      <c r="A977" s="1"/>
      <c r="B977" s="1"/>
    </row>
    <row r="978" spans="1:2" ht="25.5" customHeight="1">
      <c r="A978" s="1"/>
      <c r="B978" s="1"/>
    </row>
    <row r="979" spans="1:2" ht="25.5" customHeight="1">
      <c r="A979" s="1"/>
      <c r="B979" s="1"/>
    </row>
    <row r="980" spans="1:2" ht="25.5" customHeight="1">
      <c r="A980" s="1"/>
      <c r="B980" s="1"/>
    </row>
    <row r="981" spans="1:2" ht="25.5" customHeight="1">
      <c r="A981" s="1"/>
      <c r="B981" s="1"/>
    </row>
    <row r="982" spans="1:2" ht="25.5" customHeight="1">
      <c r="A982" s="1"/>
      <c r="B982" s="1"/>
    </row>
    <row r="983" spans="1:2" ht="25.5" customHeight="1">
      <c r="A983" s="1"/>
      <c r="B983" s="1"/>
    </row>
    <row r="984" spans="1:2" ht="25.5" customHeight="1">
      <c r="A984" s="1"/>
      <c r="B984" s="1"/>
    </row>
    <row r="985" spans="1:2" ht="25.5" customHeight="1">
      <c r="A985" s="1"/>
      <c r="B985" s="1"/>
    </row>
    <row r="986" spans="1:2" ht="25.5" customHeight="1">
      <c r="A986" s="1"/>
      <c r="B986" s="1"/>
    </row>
    <row r="987" spans="1:2" ht="25.5" customHeight="1">
      <c r="A987" s="1"/>
      <c r="B987" s="1"/>
    </row>
    <row r="988" spans="1:2" ht="25.5" customHeight="1">
      <c r="A988" s="1"/>
      <c r="B988" s="1"/>
    </row>
    <row r="989" spans="1:2" ht="25.5" customHeight="1">
      <c r="A989" s="1"/>
      <c r="B989" s="1"/>
    </row>
    <row r="990" spans="1:2" ht="25.5" customHeight="1">
      <c r="A990" s="1"/>
      <c r="B990" s="1"/>
    </row>
    <row r="991" spans="1:2" ht="25.5" customHeight="1">
      <c r="A991" s="1"/>
      <c r="B991" s="1"/>
    </row>
    <row r="992" spans="1:2" ht="25.5" customHeight="1">
      <c r="A992" s="1"/>
      <c r="B992" s="1"/>
    </row>
    <row r="993" spans="1:23" ht="25.5" customHeight="1">
      <c r="A993" s="1"/>
      <c r="B993" s="1"/>
    </row>
    <row r="994" spans="1:23" ht="25.5" customHeight="1">
      <c r="A994" s="1"/>
      <c r="B994" s="1"/>
      <c r="W994" s="104"/>
    </row>
    <row r="995" spans="1:23" ht="25.5" customHeight="1">
      <c r="A995" s="1"/>
      <c r="B995" s="1"/>
      <c r="W995" s="104"/>
    </row>
    <row r="996" spans="1:23" ht="25.5" customHeight="1">
      <c r="A996" s="1"/>
      <c r="B996" s="1"/>
      <c r="W996" s="104"/>
    </row>
    <row r="997" spans="1:23" ht="25.5" customHeight="1">
      <c r="A997" s="1"/>
      <c r="B997" s="1"/>
      <c r="W997" s="104"/>
    </row>
    <row r="998" spans="1:23" ht="25.5" customHeight="1">
      <c r="A998" s="1"/>
      <c r="B998" s="1"/>
      <c r="W998" s="104"/>
    </row>
    <row r="999" spans="1:23" ht="25.5" customHeight="1">
      <c r="A999" s="1"/>
      <c r="B999" s="1"/>
      <c r="W999" s="104"/>
    </row>
    <row r="1000" spans="1:23" ht="25.5" customHeight="1">
      <c r="A1000" s="1"/>
      <c r="B1000" s="1"/>
      <c r="W1000" s="104"/>
    </row>
    <row r="1001" spans="1:23" ht="25.5" customHeight="1">
      <c r="A1001" s="1"/>
      <c r="B1001" s="1"/>
      <c r="W1001" s="104"/>
    </row>
    <row r="1002" spans="1:23" ht="25.5" customHeight="1">
      <c r="A1002" s="1"/>
      <c r="B1002" s="1"/>
      <c r="W1002" s="104"/>
    </row>
    <row r="1003" spans="1:23" ht="25.5" customHeight="1">
      <c r="A1003" s="1"/>
      <c r="B1003" s="1"/>
      <c r="W1003" s="104"/>
    </row>
    <row r="1004" spans="1:23" ht="25.5" customHeight="1">
      <c r="A1004" s="1"/>
      <c r="B1004" s="1"/>
      <c r="C1004" s="104"/>
      <c r="H1004"/>
      <c r="K1004"/>
      <c r="L1004"/>
      <c r="M1004"/>
      <c r="W1004" s="104"/>
    </row>
    <row r="1005" spans="1:23" ht="25.5" customHeight="1">
      <c r="A1005" s="1"/>
      <c r="B1005" s="1"/>
      <c r="C1005" s="104"/>
      <c r="H1005"/>
      <c r="K1005"/>
      <c r="L1005"/>
      <c r="M1005"/>
      <c r="W1005" s="104"/>
    </row>
    <row r="1006" spans="1:23" ht="25.5" customHeight="1">
      <c r="A1006" s="1"/>
      <c r="B1006" s="1"/>
      <c r="C1006" s="104"/>
      <c r="H1006"/>
      <c r="K1006"/>
      <c r="L1006"/>
      <c r="M1006"/>
      <c r="W1006" s="104"/>
    </row>
    <row r="1007" spans="1:23" ht="25.5" customHeight="1">
      <c r="A1007" s="1"/>
      <c r="B1007" s="1"/>
      <c r="C1007" s="104"/>
      <c r="H1007"/>
      <c r="K1007"/>
      <c r="L1007"/>
      <c r="M1007"/>
      <c r="W1007" s="104"/>
    </row>
    <row r="1008" spans="1:23" ht="25.5" customHeight="1">
      <c r="A1008" s="1"/>
      <c r="B1008" s="1"/>
      <c r="C1008" s="104"/>
      <c r="H1008"/>
      <c r="K1008"/>
      <c r="L1008"/>
      <c r="M1008"/>
      <c r="W1008" s="104"/>
    </row>
    <row r="1009" spans="1:23" ht="25.5" customHeight="1">
      <c r="A1009" s="1"/>
      <c r="B1009" s="1"/>
      <c r="C1009" s="104"/>
      <c r="H1009"/>
      <c r="K1009"/>
      <c r="L1009"/>
      <c r="M1009"/>
      <c r="W1009" s="104"/>
    </row>
    <row r="1010" spans="1:23" ht="25.5" customHeight="1">
      <c r="A1010" s="1"/>
      <c r="B1010" s="1"/>
      <c r="C1010" s="104"/>
      <c r="H1010"/>
      <c r="K1010"/>
      <c r="L1010"/>
      <c r="M1010"/>
      <c r="W1010" s="104"/>
    </row>
    <row r="1011" spans="1:23" ht="25.5" customHeight="1">
      <c r="A1011" s="1"/>
      <c r="B1011" s="1"/>
      <c r="C1011" s="104"/>
      <c r="H1011"/>
      <c r="K1011"/>
      <c r="L1011"/>
      <c r="M1011"/>
      <c r="W1011" s="104"/>
    </row>
    <row r="1012" spans="1:23" ht="25.5" customHeight="1">
      <c r="A1012" s="1"/>
      <c r="B1012" s="1"/>
      <c r="C1012" s="104"/>
      <c r="H1012"/>
      <c r="K1012"/>
      <c r="L1012"/>
      <c r="M1012"/>
      <c r="W1012" s="104"/>
    </row>
    <row r="1013" spans="1:23" ht="25.5" customHeight="1">
      <c r="A1013" s="1"/>
      <c r="B1013" s="1"/>
      <c r="C1013" s="104"/>
      <c r="H1013"/>
      <c r="K1013"/>
      <c r="L1013"/>
      <c r="M1013"/>
      <c r="W1013" s="104"/>
    </row>
    <row r="1014" spans="1:23" ht="25.5" customHeight="1">
      <c r="A1014" s="1"/>
      <c r="B1014" s="1"/>
      <c r="C1014" s="104"/>
      <c r="H1014"/>
      <c r="K1014"/>
      <c r="L1014"/>
      <c r="M1014"/>
      <c r="W1014" s="104"/>
    </row>
    <row r="1015" spans="1:23" ht="25.5" customHeight="1">
      <c r="A1015" s="1"/>
      <c r="B1015" s="1"/>
      <c r="C1015" s="104"/>
      <c r="H1015"/>
      <c r="K1015"/>
      <c r="L1015"/>
      <c r="M1015"/>
      <c r="W1015" s="104"/>
    </row>
    <row r="1016" spans="1:23" ht="25.5" customHeight="1">
      <c r="A1016" s="1"/>
      <c r="B1016" s="1"/>
      <c r="C1016" s="104"/>
      <c r="H1016"/>
      <c r="K1016"/>
      <c r="L1016"/>
      <c r="M1016"/>
      <c r="W1016" s="104"/>
    </row>
    <row r="1017" spans="1:23" ht="25.5" customHeight="1">
      <c r="A1017" s="1"/>
      <c r="B1017" s="1"/>
      <c r="C1017" s="104"/>
      <c r="H1017"/>
      <c r="K1017"/>
      <c r="L1017"/>
      <c r="M1017"/>
      <c r="W1017" s="104"/>
    </row>
    <row r="1018" spans="1:23" ht="25.5" customHeight="1">
      <c r="A1018" s="1"/>
      <c r="B1018" s="1"/>
      <c r="C1018" s="104"/>
      <c r="H1018"/>
      <c r="K1018"/>
      <c r="L1018"/>
      <c r="M1018"/>
      <c r="W1018" s="104"/>
    </row>
    <row r="1019" spans="1:23" ht="25.5" customHeight="1">
      <c r="A1019" s="1"/>
      <c r="B1019" s="1"/>
      <c r="C1019" s="104"/>
      <c r="H1019"/>
      <c r="K1019"/>
      <c r="L1019"/>
      <c r="M1019"/>
      <c r="W1019" s="104"/>
    </row>
    <row r="1020" spans="1:23" ht="25.5" customHeight="1">
      <c r="A1020" s="1"/>
      <c r="B1020" s="1"/>
      <c r="C1020" s="104"/>
      <c r="H1020"/>
      <c r="K1020"/>
      <c r="L1020"/>
      <c r="M1020"/>
      <c r="W1020" s="104"/>
    </row>
    <row r="1021" spans="1:23" ht="25.5" customHeight="1">
      <c r="A1021" s="1"/>
      <c r="B1021" s="1"/>
      <c r="C1021" s="104"/>
      <c r="H1021"/>
      <c r="K1021"/>
      <c r="L1021"/>
      <c r="M1021"/>
      <c r="W1021" s="104"/>
    </row>
    <row r="1022" spans="1:23" ht="25.5" customHeight="1">
      <c r="A1022" s="1"/>
      <c r="B1022" s="1"/>
      <c r="C1022" s="104"/>
      <c r="H1022"/>
      <c r="K1022"/>
      <c r="L1022"/>
      <c r="M1022"/>
      <c r="W1022" s="104"/>
    </row>
    <row r="1023" spans="1:23" ht="25.5" customHeight="1">
      <c r="A1023" s="1"/>
      <c r="B1023" s="1"/>
      <c r="C1023" s="104"/>
      <c r="H1023"/>
      <c r="K1023"/>
      <c r="L1023"/>
      <c r="M1023"/>
    </row>
    <row r="1024" spans="1:23" ht="25.5" customHeight="1">
      <c r="A1024" s="1"/>
      <c r="B1024" s="1"/>
      <c r="C1024" s="104"/>
      <c r="H1024"/>
      <c r="K1024"/>
      <c r="L1024"/>
      <c r="M1024"/>
    </row>
    <row r="1025" spans="1:13" ht="25.5" customHeight="1">
      <c r="A1025" s="1"/>
      <c r="B1025" s="1"/>
      <c r="C1025" s="104"/>
      <c r="H1025"/>
      <c r="K1025"/>
      <c r="L1025"/>
      <c r="M1025"/>
    </row>
    <row r="1026" spans="1:13" ht="25.5" customHeight="1">
      <c r="A1026" s="1"/>
      <c r="B1026" s="1"/>
      <c r="C1026" s="104"/>
      <c r="H1026"/>
      <c r="K1026"/>
      <c r="L1026"/>
      <c r="M1026"/>
    </row>
    <row r="1027" spans="1:13" ht="25.5" customHeight="1">
      <c r="A1027" s="1"/>
      <c r="B1027" s="1"/>
      <c r="C1027" s="104"/>
      <c r="H1027"/>
      <c r="K1027"/>
      <c r="L1027"/>
      <c r="M1027"/>
    </row>
    <row r="1028" spans="1:13" ht="25.5" customHeight="1">
      <c r="A1028" s="1"/>
      <c r="B1028" s="1"/>
      <c r="C1028" s="104"/>
      <c r="H1028"/>
      <c r="K1028"/>
      <c r="L1028"/>
      <c r="M1028"/>
    </row>
    <row r="1029" spans="1:13" ht="25.5" customHeight="1">
      <c r="A1029" s="1"/>
      <c r="B1029" s="1"/>
      <c r="C1029" s="104"/>
      <c r="H1029"/>
      <c r="K1029"/>
      <c r="L1029"/>
      <c r="M1029"/>
    </row>
    <row r="1030" spans="1:13" ht="25.5" customHeight="1">
      <c r="A1030" s="1"/>
      <c r="B1030" s="1"/>
      <c r="C1030" s="104"/>
      <c r="H1030"/>
      <c r="K1030"/>
      <c r="L1030"/>
      <c r="M1030"/>
    </row>
    <row r="1031" spans="1:13" ht="25.5" customHeight="1">
      <c r="A1031" s="1"/>
      <c r="B1031" s="1"/>
      <c r="C1031" s="104"/>
      <c r="H1031"/>
      <c r="K1031"/>
      <c r="L1031"/>
      <c r="M1031"/>
    </row>
    <row r="1032" spans="1:13" ht="25.5" customHeight="1">
      <c r="A1032" s="1"/>
      <c r="B1032" s="1"/>
      <c r="C1032" s="104"/>
      <c r="H1032"/>
      <c r="K1032"/>
      <c r="L1032"/>
      <c r="M1032"/>
    </row>
    <row r="1033" spans="1:13" ht="25.5" customHeight="1">
      <c r="A1033" s="1"/>
      <c r="B1033" s="1"/>
      <c r="C1033" s="104"/>
      <c r="H1033"/>
      <c r="K1033"/>
      <c r="L1033"/>
      <c r="M1033"/>
    </row>
    <row r="1034" spans="1:13" ht="25.5" customHeight="1">
      <c r="A1034" s="1"/>
      <c r="B1034" s="1"/>
      <c r="C1034" s="104"/>
      <c r="H1034"/>
      <c r="K1034"/>
      <c r="L1034"/>
      <c r="M1034"/>
    </row>
    <row r="1035" spans="1:13" ht="25.5" customHeight="1">
      <c r="A1035" s="1"/>
      <c r="B1035" s="1"/>
      <c r="C1035" s="104"/>
      <c r="H1035"/>
      <c r="K1035"/>
      <c r="L1035"/>
      <c r="M1035"/>
    </row>
    <row r="1036" spans="1:13" ht="25.5" customHeight="1">
      <c r="A1036" s="1"/>
      <c r="B1036" s="1"/>
      <c r="C1036" s="104"/>
      <c r="H1036"/>
      <c r="K1036"/>
      <c r="L1036"/>
      <c r="M1036"/>
    </row>
    <row r="1037" spans="1:13" ht="25.5" customHeight="1">
      <c r="A1037" s="1"/>
      <c r="B1037" s="1"/>
      <c r="C1037" s="104"/>
      <c r="H1037"/>
      <c r="K1037"/>
      <c r="L1037"/>
      <c r="M1037"/>
    </row>
    <row r="1038" spans="1:13" ht="25.5" customHeight="1">
      <c r="A1038" s="1"/>
      <c r="B1038" s="1"/>
      <c r="C1038" s="104"/>
      <c r="H1038"/>
      <c r="K1038"/>
      <c r="L1038"/>
      <c r="M1038"/>
    </row>
    <row r="1039" spans="1:13" ht="25.5" customHeight="1">
      <c r="A1039" s="1"/>
      <c r="B1039" s="1"/>
      <c r="C1039" s="104"/>
      <c r="H1039"/>
      <c r="K1039"/>
      <c r="L1039"/>
      <c r="M1039"/>
    </row>
    <row r="1040" spans="1:13" ht="25.5" customHeight="1">
      <c r="A1040" s="1"/>
      <c r="B1040" s="1"/>
      <c r="C1040" s="104"/>
      <c r="H1040"/>
      <c r="K1040"/>
      <c r="L1040"/>
      <c r="M1040"/>
    </row>
    <row r="1041" spans="1:13" ht="25.5" customHeight="1">
      <c r="A1041" s="1"/>
      <c r="B1041" s="1"/>
      <c r="C1041" s="104"/>
      <c r="H1041"/>
      <c r="K1041"/>
      <c r="L1041"/>
      <c r="M1041"/>
    </row>
    <row r="1042" spans="1:13" ht="25.5" customHeight="1">
      <c r="A1042" s="1"/>
      <c r="B1042" s="1"/>
    </row>
    <row r="1043" spans="1:13" ht="25.5" customHeight="1">
      <c r="A1043" s="1"/>
      <c r="B1043" s="1"/>
    </row>
    <row r="1044" spans="1:13" ht="25.5" customHeight="1">
      <c r="A1044" s="1"/>
      <c r="B1044" s="1"/>
    </row>
    <row r="1045" spans="1:13" ht="25.5" customHeight="1">
      <c r="A1045" s="1"/>
      <c r="B1045" s="1"/>
    </row>
    <row r="1046" spans="1:13" ht="25.5" customHeight="1">
      <c r="A1046" s="1"/>
      <c r="B1046" s="1"/>
    </row>
    <row r="1047" spans="1:13" ht="25.5" customHeight="1">
      <c r="A1047" s="1"/>
      <c r="B1047" s="1"/>
    </row>
    <row r="1048" spans="1:13" ht="25.5" customHeight="1">
      <c r="A1048" s="1"/>
      <c r="B1048" s="1"/>
    </row>
    <row r="1049" spans="1:13" ht="25.5" customHeight="1">
      <c r="A1049" s="1"/>
      <c r="B1049" s="1"/>
    </row>
    <row r="1050" spans="1:13" ht="25.5" customHeight="1">
      <c r="A1050" s="1"/>
      <c r="B1050" s="1"/>
    </row>
    <row r="1051" spans="1:13" ht="25.5" customHeight="1">
      <c r="A1051" s="1"/>
      <c r="B1051" s="1"/>
    </row>
    <row r="1052" spans="1:13" ht="25.5" customHeight="1">
      <c r="A1052" s="1"/>
      <c r="B1052" s="1"/>
    </row>
    <row r="1053" spans="1:13" ht="25.5" customHeight="1">
      <c r="A1053" s="1"/>
      <c r="B1053" s="1"/>
    </row>
    <row r="1054" spans="1:13" ht="25.5" customHeight="1">
      <c r="A1054" s="1"/>
      <c r="B1054" s="1"/>
    </row>
    <row r="1055" spans="1:13" ht="25.5" customHeight="1">
      <c r="A1055" s="1"/>
      <c r="B1055" s="1"/>
    </row>
    <row r="1056" spans="1:13" ht="25.5" customHeight="1">
      <c r="A1056" s="1"/>
      <c r="B1056" s="1"/>
    </row>
    <row r="1057" spans="1:23" ht="25.5" customHeight="1">
      <c r="A1057" s="1"/>
      <c r="B1057" s="1"/>
    </row>
    <row r="1058" spans="1:23" ht="25.5" customHeight="1">
      <c r="A1058" s="1"/>
      <c r="B1058" s="1"/>
    </row>
    <row r="1059" spans="1:23" ht="25.5" customHeight="1">
      <c r="A1059" s="1"/>
      <c r="B1059" s="1"/>
    </row>
    <row r="1060" spans="1:23" ht="25.5" customHeight="1">
      <c r="A1060" s="1"/>
      <c r="B1060" s="1"/>
    </row>
    <row r="1061" spans="1:23" ht="25.5" customHeight="1">
      <c r="A1061" s="1"/>
      <c r="B1061" s="1"/>
    </row>
    <row r="1062" spans="1:23" ht="25.5" customHeight="1">
      <c r="A1062" s="1"/>
      <c r="B1062" s="1"/>
      <c r="W1062" s="104"/>
    </row>
    <row r="1063" spans="1:23" ht="25.5" customHeight="1">
      <c r="A1063" s="1"/>
      <c r="B1063" s="1"/>
      <c r="W1063" s="104"/>
    </row>
    <row r="1064" spans="1:23" ht="25.5" customHeight="1">
      <c r="A1064" s="1"/>
      <c r="B1064" s="1"/>
      <c r="W1064" s="104"/>
    </row>
    <row r="1065" spans="1:23" ht="25.5" customHeight="1">
      <c r="A1065" s="1"/>
      <c r="B1065" s="1"/>
      <c r="W1065" s="104"/>
    </row>
    <row r="1066" spans="1:23" ht="25.5" customHeight="1">
      <c r="A1066" s="1"/>
      <c r="B1066" s="1"/>
      <c r="W1066" s="104"/>
    </row>
    <row r="1067" spans="1:23" ht="25.5" customHeight="1">
      <c r="A1067" s="1"/>
      <c r="B1067" s="1"/>
      <c r="W1067" s="104"/>
    </row>
    <row r="1068" spans="1:23" ht="25.5" customHeight="1">
      <c r="A1068" s="1"/>
      <c r="B1068" s="1"/>
      <c r="W1068" s="104"/>
    </row>
    <row r="1069" spans="1:23" ht="25.5" customHeight="1">
      <c r="A1069" s="1"/>
      <c r="B1069" s="1"/>
      <c r="W1069" s="104"/>
    </row>
    <row r="1070" spans="1:23" ht="25.5" customHeight="1">
      <c r="A1070" s="1"/>
      <c r="B1070" s="1"/>
      <c r="W1070" s="104"/>
    </row>
    <row r="1071" spans="1:23" ht="25.5" customHeight="1">
      <c r="A1071" s="1"/>
      <c r="B1071" s="1"/>
      <c r="W1071" s="104"/>
    </row>
    <row r="1072" spans="1:23" ht="25.5" customHeight="1">
      <c r="A1072" s="1"/>
      <c r="B1072" s="1"/>
      <c r="W1072" s="104"/>
    </row>
    <row r="1073" spans="1:23" ht="25.5" customHeight="1">
      <c r="A1073" s="1"/>
      <c r="B1073" s="1"/>
      <c r="W1073" s="104"/>
    </row>
    <row r="1074" spans="1:23" ht="25.5" customHeight="1">
      <c r="A1074" s="1"/>
      <c r="B1074" s="1"/>
      <c r="W1074" s="104"/>
    </row>
    <row r="1075" spans="1:23" ht="25.5" customHeight="1">
      <c r="A1075" s="1"/>
      <c r="B1075" s="1"/>
      <c r="W1075" s="104"/>
    </row>
    <row r="1076" spans="1:23" ht="25.5" customHeight="1">
      <c r="A1076" s="1"/>
      <c r="B1076" s="1"/>
      <c r="W1076" s="104"/>
    </row>
    <row r="1077" spans="1:23" ht="25.5" customHeight="1">
      <c r="A1077" s="1"/>
      <c r="B1077" s="1"/>
      <c r="W1077" s="104"/>
    </row>
    <row r="1078" spans="1:23" ht="25.5" customHeight="1">
      <c r="A1078" s="1"/>
      <c r="B1078" s="1"/>
      <c r="W1078" s="104"/>
    </row>
    <row r="1079" spans="1:23" ht="25.5" customHeight="1">
      <c r="A1079" s="1"/>
      <c r="B1079" s="1"/>
      <c r="W1079" s="104"/>
    </row>
    <row r="1080" spans="1:23" ht="25.5" customHeight="1">
      <c r="A1080" s="1"/>
      <c r="B1080" s="1"/>
      <c r="W1080" s="104"/>
    </row>
    <row r="1081" spans="1:23" ht="25.5" customHeight="1">
      <c r="A1081" s="1"/>
      <c r="B1081" s="1"/>
      <c r="W1081" s="104"/>
    </row>
    <row r="1082" spans="1:23" ht="25.5" customHeight="1">
      <c r="A1082" s="1"/>
      <c r="B1082" s="1"/>
      <c r="W1082" s="104"/>
    </row>
    <row r="1083" spans="1:23" ht="25.5" customHeight="1">
      <c r="A1083" s="1"/>
      <c r="B1083" s="1"/>
      <c r="W1083" s="104"/>
    </row>
    <row r="1084" spans="1:23" ht="25.5" customHeight="1">
      <c r="A1084" s="1"/>
      <c r="B1084" s="1"/>
      <c r="W1084" s="104"/>
    </row>
    <row r="1085" spans="1:23" ht="25.5" customHeight="1">
      <c r="A1085" s="1"/>
      <c r="B1085" s="1"/>
      <c r="W1085" s="104"/>
    </row>
    <row r="1086" spans="1:23" ht="25.5" customHeight="1">
      <c r="A1086" s="1"/>
      <c r="B1086" s="1"/>
      <c r="W1086" s="104"/>
    </row>
    <row r="1087" spans="1:23" ht="25.5" customHeight="1">
      <c r="A1087" s="1"/>
      <c r="B1087" s="1"/>
      <c r="W1087" s="104"/>
    </row>
    <row r="1088" spans="1:23" ht="25.5" customHeight="1">
      <c r="A1088" s="1"/>
      <c r="B1088" s="1"/>
      <c r="W1088" s="104"/>
    </row>
    <row r="1089" spans="1:23" ht="25.5" customHeight="1">
      <c r="A1089" s="1"/>
      <c r="B1089" s="1"/>
      <c r="W1089" s="104"/>
    </row>
    <row r="1090" spans="1:23" ht="25.5" customHeight="1">
      <c r="A1090" s="1"/>
      <c r="B1090" s="1"/>
      <c r="W1090" s="104"/>
    </row>
    <row r="1091" spans="1:23" ht="25.5" customHeight="1">
      <c r="A1091" s="1"/>
      <c r="B1091" s="1"/>
      <c r="W1091" s="104"/>
    </row>
    <row r="1092" spans="1:23" ht="25.5" customHeight="1">
      <c r="A1092" s="1"/>
      <c r="B1092" s="1"/>
      <c r="W1092" s="104"/>
    </row>
    <row r="1093" spans="1:23" ht="25.5" customHeight="1">
      <c r="A1093" s="1"/>
      <c r="B1093" s="1"/>
      <c r="W1093" s="104"/>
    </row>
    <row r="1094" spans="1:23" ht="25.5" customHeight="1">
      <c r="A1094" s="1"/>
      <c r="B1094" s="1"/>
      <c r="W1094" s="104"/>
    </row>
    <row r="1095" spans="1:23" ht="25.5" customHeight="1">
      <c r="A1095" s="1"/>
      <c r="B1095" s="1"/>
      <c r="W1095" s="104"/>
    </row>
    <row r="1096" spans="1:23" ht="25.5" customHeight="1">
      <c r="A1096" s="1"/>
      <c r="B1096" s="1"/>
      <c r="W1096" s="104"/>
    </row>
    <row r="1097" spans="1:23" ht="25.5" customHeight="1">
      <c r="A1097" s="1"/>
      <c r="B1097" s="1"/>
      <c r="W1097" s="104"/>
    </row>
    <row r="1098" spans="1:23" ht="25.5" customHeight="1">
      <c r="A1098" s="1"/>
      <c r="B1098" s="1"/>
      <c r="W1098" s="104"/>
    </row>
    <row r="1099" spans="1:23" ht="25.5" customHeight="1">
      <c r="A1099" s="1"/>
      <c r="B1099" s="1"/>
      <c r="W1099" s="104"/>
    </row>
    <row r="1100" spans="1:23" ht="25.5" customHeight="1">
      <c r="A1100" s="1"/>
      <c r="B1100" s="1"/>
      <c r="W1100" s="94"/>
    </row>
    <row r="1101" spans="1:23" ht="25.5" customHeight="1">
      <c r="A1101" s="1"/>
      <c r="B1101" s="1"/>
    </row>
    <row r="1102" spans="1:23" ht="25.5" customHeight="1">
      <c r="A1102" s="1"/>
      <c r="B1102" s="1"/>
    </row>
    <row r="1103" spans="1:23" ht="25.5" customHeight="1">
      <c r="A1103" s="1"/>
      <c r="B1103" s="1"/>
    </row>
    <row r="1104" spans="1:23" ht="25.5" customHeight="1">
      <c r="A1104" s="1"/>
      <c r="B1104" s="1"/>
    </row>
    <row r="1105" spans="1:2" ht="25.5" customHeight="1">
      <c r="A1105" s="1"/>
      <c r="B1105" s="1"/>
    </row>
    <row r="1106" spans="1:2" ht="25.5" customHeight="1">
      <c r="A1106" s="1"/>
      <c r="B1106" s="1"/>
    </row>
    <row r="1107" spans="1:2" ht="25.5" customHeight="1">
      <c r="A1107" s="1"/>
      <c r="B1107" s="1"/>
    </row>
    <row r="1108" spans="1:2" ht="25.5" customHeight="1">
      <c r="A1108" s="1"/>
      <c r="B1108" s="1"/>
    </row>
    <row r="1109" spans="1:2" ht="25.5" customHeight="1">
      <c r="A1109" s="1"/>
      <c r="B1109" s="1"/>
    </row>
    <row r="1110" spans="1:2" ht="25.5" customHeight="1">
      <c r="A1110" s="1"/>
      <c r="B1110" s="1"/>
    </row>
    <row r="1111" spans="1:2" ht="25.5" customHeight="1">
      <c r="A1111" s="1"/>
      <c r="B1111" s="1"/>
    </row>
    <row r="1112" spans="1:2" ht="25.5" customHeight="1">
      <c r="A1112" s="1"/>
      <c r="B1112" s="1"/>
    </row>
    <row r="1113" spans="1:2" ht="25.5" customHeight="1">
      <c r="A1113" s="1"/>
      <c r="B1113" s="1"/>
    </row>
    <row r="1114" spans="1:2" ht="25.5" customHeight="1">
      <c r="A1114" s="1"/>
      <c r="B1114" s="1"/>
    </row>
    <row r="1115" spans="1:2" ht="25.5" customHeight="1">
      <c r="A1115" s="1"/>
      <c r="B1115" s="1"/>
    </row>
    <row r="1116" spans="1:2" ht="25.5" customHeight="1">
      <c r="A1116" s="1"/>
      <c r="B1116" s="1"/>
    </row>
    <row r="1117" spans="1:2" ht="25.5" customHeight="1">
      <c r="A1117" s="1"/>
      <c r="B1117" s="1"/>
    </row>
    <row r="1118" spans="1:2" ht="18" customHeight="1">
      <c r="A1118" s="1"/>
      <c r="B1118" s="1"/>
    </row>
    <row r="1119" spans="1:2" ht="18" customHeight="1"/>
  </sheetData>
  <mergeCells count="107">
    <mergeCell ref="W133:W136"/>
    <mergeCell ref="X133:X136"/>
    <mergeCell ref="G137:G150"/>
    <mergeCell ref="H137:H150"/>
    <mergeCell ref="W137:W150"/>
    <mergeCell ref="X137:X150"/>
    <mergeCell ref="W157:W162"/>
    <mergeCell ref="X157:X162"/>
    <mergeCell ref="J157:J162"/>
    <mergeCell ref="I157:I162"/>
    <mergeCell ref="H157:H162"/>
    <mergeCell ref="G157:G162"/>
    <mergeCell ref="I14:J14"/>
    <mergeCell ref="Q14:S14"/>
    <mergeCell ref="T14:V14"/>
    <mergeCell ref="C17:V17"/>
    <mergeCell ref="C204:V204"/>
    <mergeCell ref="I15:J15"/>
    <mergeCell ref="Q15:S15"/>
    <mergeCell ref="T15:V15"/>
    <mergeCell ref="I16:J16"/>
    <mergeCell ref="Q16:S16"/>
    <mergeCell ref="T16:V16"/>
    <mergeCell ref="I137:I150"/>
    <mergeCell ref="J137:J150"/>
    <mergeCell ref="G133:G136"/>
    <mergeCell ref="H133:H136"/>
    <mergeCell ref="I133:I136"/>
    <mergeCell ref="J133:J136"/>
    <mergeCell ref="F133:F136"/>
    <mergeCell ref="E133:E136"/>
    <mergeCell ref="F157:F162"/>
    <mergeCell ref="E157:E162"/>
    <mergeCell ref="D157:D162"/>
    <mergeCell ref="C157:C162"/>
    <mergeCell ref="I11:J11"/>
    <mergeCell ref="Q11:S11"/>
    <mergeCell ref="T11:V11"/>
    <mergeCell ref="I12:J12"/>
    <mergeCell ref="Q12:S12"/>
    <mergeCell ref="T12:V12"/>
    <mergeCell ref="I13:J13"/>
    <mergeCell ref="Q13:S13"/>
    <mergeCell ref="T13:V13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D133:D136"/>
    <mergeCell ref="C133:C136"/>
    <mergeCell ref="F137:F150"/>
    <mergeCell ref="E137:E150"/>
    <mergeCell ref="D137:D150"/>
    <mergeCell ref="C137:C150"/>
    <mergeCell ref="C5:V5"/>
    <mergeCell ref="C1:E4"/>
    <mergeCell ref="F1:S4"/>
    <mergeCell ref="T1:V1"/>
    <mergeCell ref="T2:U2"/>
    <mergeCell ref="T3:V4"/>
    <mergeCell ref="C6:V6"/>
    <mergeCell ref="F7:G7"/>
    <mergeCell ref="H7:I7"/>
    <mergeCell ref="J7:K7"/>
    <mergeCell ref="N7:O7"/>
    <mergeCell ref="P7:Q7"/>
    <mergeCell ref="R7:S7"/>
    <mergeCell ref="U7:V7"/>
    <mergeCell ref="I10:J10"/>
    <mergeCell ref="Q10:S10"/>
    <mergeCell ref="T10:V10"/>
    <mergeCell ref="F8:G8"/>
    <mergeCell ref="G151:G156"/>
    <mergeCell ref="F151:F156"/>
    <mergeCell ref="E151:E156"/>
    <mergeCell ref="D151:D156"/>
    <mergeCell ref="C151:C156"/>
    <mergeCell ref="W151:W156"/>
    <mergeCell ref="X151:X156"/>
    <mergeCell ref="J151:J156"/>
    <mergeCell ref="I151:I156"/>
    <mergeCell ref="H151:H156"/>
    <mergeCell ref="G163:G164"/>
    <mergeCell ref="F163:F164"/>
    <mergeCell ref="E163:E164"/>
    <mergeCell ref="D163:D164"/>
    <mergeCell ref="C163:C164"/>
    <mergeCell ref="W163:W164"/>
    <mergeCell ref="X163:X164"/>
    <mergeCell ref="J163:J164"/>
    <mergeCell ref="I163:I164"/>
    <mergeCell ref="H163:H164"/>
    <mergeCell ref="G165:G183"/>
    <mergeCell ref="F165:F183"/>
    <mergeCell ref="E165:E183"/>
    <mergeCell ref="D165:D183"/>
    <mergeCell ref="C165:C183"/>
    <mergeCell ref="W165:W183"/>
    <mergeCell ref="X165:X183"/>
    <mergeCell ref="J165:J183"/>
    <mergeCell ref="I165:I183"/>
    <mergeCell ref="H165:H183"/>
  </mergeCells>
  <dataValidations count="1">
    <dataValidation allowBlank="1" showInputMessage="1" showErrorMessage="1" sqref="L133:L203" xr:uid="{F79544C6-346C-45B4-B465-53A39FDD212B}"/>
  </dataValidations>
  <hyperlinks>
    <hyperlink ref="X137:X150" r:id="rId1" display="SOPORTE" xr:uid="{164769B0-FA61-4DDE-B13E-11735DFEE713}"/>
    <hyperlink ref="X133:X136" r:id="rId2" display="SOPORTE" xr:uid="{117AB235-15B6-4281-8D18-DF4B3D2B4E59}"/>
    <hyperlink ref="X157:X162" r:id="rId3" display="SOPORTE" xr:uid="{DBA6B30A-A27B-4D63-938A-CE326F36D47A}"/>
    <hyperlink ref="X163:X164" r:id="rId4" display="SOPORTE" xr:uid="{E41E07B3-BCA0-47DB-9949-D8F40715C88C}"/>
    <hyperlink ref="X165:X183" r:id="rId5" display="SOPORTE" xr:uid="{649FE298-475D-4A00-BA00-CAC57A2FCF0B}"/>
  </hyperlinks>
  <pageMargins left="0.7" right="0.7" top="0.75" bottom="0.75" header="0.3" footer="0.3"/>
  <pageSetup orientation="portrait" horizontalDpi="4294967294" verticalDpi="4294967294"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Hoja1!$B$2:$B$401</xm:f>
          </x14:formula1>
          <xm:sqref>L205:L438 L117:L203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7"/>
  <sheetViews>
    <sheetView workbookViewId="0">
      <pane xSplit="1" ySplit="1" topLeftCell="B400" activePane="bottomRight" state="frozen"/>
      <selection pane="bottomRight" activeCell="B418" sqref="B418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0" t="s">
        <v>21</v>
      </c>
      <c r="B1" s="10" t="s">
        <v>50</v>
      </c>
      <c r="C1" s="10" t="s">
        <v>49</v>
      </c>
    </row>
    <row r="2" spans="1:3">
      <c r="A2" t="s">
        <v>110</v>
      </c>
      <c r="B2" s="72" t="s">
        <v>227</v>
      </c>
      <c r="C2" s="70" t="s">
        <v>78</v>
      </c>
    </row>
    <row r="3" spans="1:3">
      <c r="A3" t="s">
        <v>228</v>
      </c>
      <c r="B3" s="72" t="s">
        <v>229</v>
      </c>
      <c r="C3" s="70" t="s">
        <v>64</v>
      </c>
    </row>
    <row r="4" spans="1:3">
      <c r="A4" t="s">
        <v>110</v>
      </c>
      <c r="B4" s="72" t="s">
        <v>230</v>
      </c>
      <c r="C4" s="70" t="s">
        <v>64</v>
      </c>
    </row>
    <row r="5" spans="1:3">
      <c r="A5" t="s">
        <v>228</v>
      </c>
      <c r="B5" s="72" t="s">
        <v>231</v>
      </c>
      <c r="C5" s="70" t="s">
        <v>64</v>
      </c>
    </row>
    <row r="6" spans="1:3">
      <c r="A6" t="s">
        <v>228</v>
      </c>
      <c r="B6" s="72" t="s">
        <v>232</v>
      </c>
      <c r="C6" s="70" t="s">
        <v>64</v>
      </c>
    </row>
    <row r="7" spans="1:3">
      <c r="A7" t="s">
        <v>110</v>
      </c>
      <c r="B7" s="72" t="s">
        <v>112</v>
      </c>
      <c r="C7" s="70" t="s">
        <v>64</v>
      </c>
    </row>
    <row r="8" spans="1:3">
      <c r="A8" t="s">
        <v>110</v>
      </c>
      <c r="B8" s="72" t="s">
        <v>76</v>
      </c>
      <c r="C8" s="70" t="s">
        <v>64</v>
      </c>
    </row>
    <row r="9" spans="1:3">
      <c r="A9" t="s">
        <v>110</v>
      </c>
      <c r="B9" s="72" t="s">
        <v>233</v>
      </c>
      <c r="C9" s="70" t="s">
        <v>64</v>
      </c>
    </row>
    <row r="10" spans="1:3">
      <c r="A10" t="s">
        <v>110</v>
      </c>
      <c r="B10" s="72" t="s">
        <v>234</v>
      </c>
      <c r="C10" s="70" t="s">
        <v>64</v>
      </c>
    </row>
    <row r="11" spans="1:3">
      <c r="A11" t="s">
        <v>110</v>
      </c>
      <c r="B11" s="72" t="s">
        <v>107</v>
      </c>
      <c r="C11" s="70" t="s">
        <v>114</v>
      </c>
    </row>
    <row r="12" spans="1:3">
      <c r="A12" t="s">
        <v>228</v>
      </c>
      <c r="B12" s="72" t="s">
        <v>235</v>
      </c>
      <c r="C12" s="70" t="s">
        <v>114</v>
      </c>
    </row>
    <row r="13" spans="1:3">
      <c r="A13" t="s">
        <v>228</v>
      </c>
      <c r="B13" s="74" t="s">
        <v>236</v>
      </c>
      <c r="C13" s="70" t="s">
        <v>114</v>
      </c>
    </row>
    <row r="14" spans="1:3">
      <c r="A14" t="s">
        <v>228</v>
      </c>
      <c r="B14" s="72" t="s">
        <v>237</v>
      </c>
      <c r="C14" s="70" t="s">
        <v>64</v>
      </c>
    </row>
    <row r="15" spans="1:3">
      <c r="A15" t="s">
        <v>110</v>
      </c>
      <c r="B15" s="72" t="s">
        <v>238</v>
      </c>
      <c r="C15" s="70" t="s">
        <v>78</v>
      </c>
    </row>
    <row r="16" spans="1:3">
      <c r="A16" t="s">
        <v>228</v>
      </c>
      <c r="B16" s="72" t="s">
        <v>239</v>
      </c>
      <c r="C16" s="70" t="s">
        <v>64</v>
      </c>
    </row>
    <row r="17" spans="1:3">
      <c r="A17" t="s">
        <v>110</v>
      </c>
      <c r="B17" s="72" t="s">
        <v>240</v>
      </c>
      <c r="C17" s="70" t="s">
        <v>78</v>
      </c>
    </row>
    <row r="18" spans="1:3">
      <c r="A18" t="s">
        <v>110</v>
      </c>
      <c r="B18" s="72" t="s">
        <v>241</v>
      </c>
      <c r="C18" s="70" t="s">
        <v>64</v>
      </c>
    </row>
    <row r="19" spans="1:3">
      <c r="A19" t="s">
        <v>110</v>
      </c>
      <c r="B19" s="72" t="s">
        <v>137</v>
      </c>
      <c r="C19" s="70" t="s">
        <v>78</v>
      </c>
    </row>
    <row r="20" spans="1:3">
      <c r="A20" t="s">
        <v>228</v>
      </c>
      <c r="B20" s="72" t="s">
        <v>242</v>
      </c>
      <c r="C20" s="70" t="s">
        <v>64</v>
      </c>
    </row>
    <row r="21" spans="1:3">
      <c r="A21" t="s">
        <v>110</v>
      </c>
      <c r="B21" s="72" t="s">
        <v>243</v>
      </c>
      <c r="C21" s="70" t="s">
        <v>64</v>
      </c>
    </row>
    <row r="22" spans="1:3">
      <c r="A22" t="s">
        <v>110</v>
      </c>
      <c r="B22" s="72" t="s">
        <v>244</v>
      </c>
      <c r="C22" s="70" t="s">
        <v>64</v>
      </c>
    </row>
    <row r="23" spans="1:3">
      <c r="A23" t="s">
        <v>110</v>
      </c>
      <c r="B23" s="72" t="s">
        <v>245</v>
      </c>
      <c r="C23" s="70" t="s">
        <v>64</v>
      </c>
    </row>
    <row r="24" spans="1:3">
      <c r="A24" t="s">
        <v>110</v>
      </c>
      <c r="B24" s="72" t="s">
        <v>246</v>
      </c>
      <c r="C24" s="70" t="s">
        <v>64</v>
      </c>
    </row>
    <row r="25" spans="1:3">
      <c r="A25" t="s">
        <v>110</v>
      </c>
      <c r="B25" s="72" t="s">
        <v>153</v>
      </c>
      <c r="C25" s="70" t="s">
        <v>64</v>
      </c>
    </row>
    <row r="26" spans="1:3">
      <c r="A26" t="s">
        <v>228</v>
      </c>
      <c r="B26" s="72" t="s">
        <v>247</v>
      </c>
      <c r="C26" s="70" t="s">
        <v>78</v>
      </c>
    </row>
    <row r="27" spans="1:3">
      <c r="A27" t="s">
        <v>110</v>
      </c>
      <c r="B27" s="72" t="s">
        <v>138</v>
      </c>
      <c r="C27" s="70" t="s">
        <v>78</v>
      </c>
    </row>
    <row r="28" spans="1:3">
      <c r="A28" t="s">
        <v>228</v>
      </c>
      <c r="B28" s="72" t="s">
        <v>248</v>
      </c>
      <c r="C28" s="70" t="s">
        <v>78</v>
      </c>
    </row>
    <row r="29" spans="1:3">
      <c r="A29" t="s">
        <v>110</v>
      </c>
      <c r="B29" s="72" t="s">
        <v>140</v>
      </c>
      <c r="C29" s="70" t="s">
        <v>78</v>
      </c>
    </row>
    <row r="30" spans="1:3">
      <c r="A30" t="s">
        <v>110</v>
      </c>
      <c r="B30" s="72" t="s">
        <v>249</v>
      </c>
      <c r="C30" s="70" t="s">
        <v>78</v>
      </c>
    </row>
    <row r="31" spans="1:3">
      <c r="A31" t="s">
        <v>228</v>
      </c>
      <c r="B31" s="72" t="s">
        <v>250</v>
      </c>
      <c r="C31" s="70" t="s">
        <v>64</v>
      </c>
    </row>
    <row r="32" spans="1:3">
      <c r="A32" t="s">
        <v>228</v>
      </c>
      <c r="B32" s="72" t="s">
        <v>251</v>
      </c>
      <c r="C32" s="70" t="s">
        <v>64</v>
      </c>
    </row>
    <row r="33" spans="1:3">
      <c r="A33" t="s">
        <v>110</v>
      </c>
      <c r="B33" s="72" t="s">
        <v>252</v>
      </c>
      <c r="C33" s="70" t="s">
        <v>78</v>
      </c>
    </row>
    <row r="34" spans="1:3">
      <c r="A34" t="s">
        <v>110</v>
      </c>
      <c r="B34" s="72" t="s">
        <v>253</v>
      </c>
      <c r="C34" s="70" t="s">
        <v>78</v>
      </c>
    </row>
    <row r="35" spans="1:3">
      <c r="A35" t="s">
        <v>110</v>
      </c>
      <c r="B35" s="72" t="s">
        <v>254</v>
      </c>
      <c r="C35" s="70" t="s">
        <v>78</v>
      </c>
    </row>
    <row r="36" spans="1:3">
      <c r="A36" t="s">
        <v>110</v>
      </c>
      <c r="B36" s="72" t="s">
        <v>255</v>
      </c>
      <c r="C36" s="70" t="s">
        <v>64</v>
      </c>
    </row>
    <row r="37" spans="1:3">
      <c r="A37" t="s">
        <v>110</v>
      </c>
      <c r="B37" s="72" t="s">
        <v>159</v>
      </c>
      <c r="C37" s="70" t="s">
        <v>64</v>
      </c>
    </row>
    <row r="38" spans="1:3">
      <c r="A38" t="s">
        <v>228</v>
      </c>
      <c r="B38" s="72" t="s">
        <v>256</v>
      </c>
      <c r="C38" s="70" t="s">
        <v>64</v>
      </c>
    </row>
    <row r="39" spans="1:3">
      <c r="A39" t="s">
        <v>228</v>
      </c>
      <c r="B39" s="72" t="s">
        <v>257</v>
      </c>
      <c r="C39" s="70" t="s">
        <v>78</v>
      </c>
    </row>
    <row r="40" spans="1:3">
      <c r="A40" t="s">
        <v>110</v>
      </c>
      <c r="B40" s="72" t="s">
        <v>258</v>
      </c>
      <c r="C40" s="70" t="s">
        <v>78</v>
      </c>
    </row>
    <row r="41" spans="1:3">
      <c r="A41" t="s">
        <v>110</v>
      </c>
      <c r="B41" s="72" t="s">
        <v>139</v>
      </c>
      <c r="C41" s="70" t="s">
        <v>64</v>
      </c>
    </row>
    <row r="42" spans="1:3">
      <c r="A42" t="s">
        <v>110</v>
      </c>
      <c r="B42" s="72" t="s">
        <v>259</v>
      </c>
      <c r="C42" s="70" t="s">
        <v>78</v>
      </c>
    </row>
    <row r="43" spans="1:3">
      <c r="A43" t="s">
        <v>110</v>
      </c>
      <c r="B43" s="72" t="s">
        <v>157</v>
      </c>
      <c r="C43" s="70" t="s">
        <v>78</v>
      </c>
    </row>
    <row r="44" spans="1:3">
      <c r="A44" t="s">
        <v>228</v>
      </c>
      <c r="B44" s="72" t="s">
        <v>260</v>
      </c>
      <c r="C44" s="70" t="s">
        <v>78</v>
      </c>
    </row>
    <row r="45" spans="1:3">
      <c r="A45" t="s">
        <v>228</v>
      </c>
      <c r="B45" s="72" t="s">
        <v>261</v>
      </c>
      <c r="C45" s="70" t="s">
        <v>78</v>
      </c>
    </row>
    <row r="46" spans="1:3">
      <c r="A46" t="s">
        <v>228</v>
      </c>
      <c r="B46" s="72" t="s">
        <v>262</v>
      </c>
      <c r="C46" s="70" t="s">
        <v>78</v>
      </c>
    </row>
    <row r="47" spans="1:3">
      <c r="A47" t="s">
        <v>228</v>
      </c>
      <c r="B47" s="72" t="s">
        <v>263</v>
      </c>
      <c r="C47" s="70" t="s">
        <v>78</v>
      </c>
    </row>
    <row r="48" spans="1:3">
      <c r="A48" t="s">
        <v>110</v>
      </c>
      <c r="B48" s="72" t="s">
        <v>264</v>
      </c>
      <c r="C48" s="70" t="s">
        <v>78</v>
      </c>
    </row>
    <row r="49" spans="1:3">
      <c r="A49" t="s">
        <v>110</v>
      </c>
      <c r="B49" s="72" t="s">
        <v>120</v>
      </c>
      <c r="C49" s="70" t="s">
        <v>78</v>
      </c>
    </row>
    <row r="50" spans="1:3">
      <c r="A50" t="s">
        <v>228</v>
      </c>
      <c r="B50" s="72" t="s">
        <v>265</v>
      </c>
      <c r="C50" s="70" t="s">
        <v>78</v>
      </c>
    </row>
    <row r="51" spans="1:3">
      <c r="A51" t="s">
        <v>228</v>
      </c>
      <c r="B51" s="72" t="s">
        <v>266</v>
      </c>
      <c r="C51" s="70" t="s">
        <v>78</v>
      </c>
    </row>
    <row r="52" spans="1:3">
      <c r="A52" t="s">
        <v>228</v>
      </c>
      <c r="B52" s="72" t="s">
        <v>169</v>
      </c>
      <c r="C52" s="70" t="s">
        <v>78</v>
      </c>
    </row>
    <row r="53" spans="1:3">
      <c r="A53" t="s">
        <v>110</v>
      </c>
      <c r="B53" s="72" t="s">
        <v>267</v>
      </c>
      <c r="C53" s="70" t="s">
        <v>78</v>
      </c>
    </row>
    <row r="54" spans="1:3">
      <c r="A54" t="s">
        <v>110</v>
      </c>
      <c r="B54" s="72" t="s">
        <v>268</v>
      </c>
      <c r="C54" s="70" t="s">
        <v>78</v>
      </c>
    </row>
    <row r="55" spans="1:3">
      <c r="A55" t="s">
        <v>110</v>
      </c>
      <c r="B55" s="72" t="s">
        <v>269</v>
      </c>
      <c r="C55" s="70" t="s">
        <v>78</v>
      </c>
    </row>
    <row r="56" spans="1:3">
      <c r="A56" t="s">
        <v>110</v>
      </c>
      <c r="B56" s="72" t="s">
        <v>270</v>
      </c>
      <c r="C56" s="70" t="s">
        <v>78</v>
      </c>
    </row>
    <row r="57" spans="1:3">
      <c r="A57" t="s">
        <v>110</v>
      </c>
      <c r="B57" s="72" t="s">
        <v>142</v>
      </c>
      <c r="C57" s="70" t="s">
        <v>78</v>
      </c>
    </row>
    <row r="58" spans="1:3">
      <c r="A58" t="s">
        <v>228</v>
      </c>
      <c r="B58" s="72" t="s">
        <v>271</v>
      </c>
      <c r="C58" s="70" t="s">
        <v>78</v>
      </c>
    </row>
    <row r="59" spans="1:3">
      <c r="A59" t="s">
        <v>110</v>
      </c>
      <c r="B59" s="72" t="s">
        <v>272</v>
      </c>
      <c r="C59" s="70" t="s">
        <v>78</v>
      </c>
    </row>
    <row r="60" spans="1:3">
      <c r="A60" t="s">
        <v>110</v>
      </c>
      <c r="B60" s="72" t="s">
        <v>273</v>
      </c>
      <c r="C60" s="70" t="s">
        <v>78</v>
      </c>
    </row>
    <row r="61" spans="1:3">
      <c r="A61" t="s">
        <v>110</v>
      </c>
      <c r="B61" s="72" t="s">
        <v>274</v>
      </c>
      <c r="C61" s="70" t="s">
        <v>78</v>
      </c>
    </row>
    <row r="62" spans="1:3">
      <c r="A62" t="s">
        <v>110</v>
      </c>
      <c r="B62" s="72" t="s">
        <v>275</v>
      </c>
      <c r="C62" s="70" t="s">
        <v>78</v>
      </c>
    </row>
    <row r="63" spans="1:3">
      <c r="A63" t="s">
        <v>110</v>
      </c>
      <c r="B63" s="72" t="s">
        <v>109</v>
      </c>
      <c r="C63" s="70" t="s">
        <v>78</v>
      </c>
    </row>
    <row r="64" spans="1:3">
      <c r="A64" t="s">
        <v>110</v>
      </c>
      <c r="B64" s="72" t="s">
        <v>109</v>
      </c>
      <c r="C64" s="70" t="s">
        <v>64</v>
      </c>
    </row>
    <row r="65" spans="1:3">
      <c r="A65" t="s">
        <v>110</v>
      </c>
      <c r="B65" s="72" t="s">
        <v>132</v>
      </c>
      <c r="C65" s="70" t="s">
        <v>78</v>
      </c>
    </row>
    <row r="66" spans="1:3">
      <c r="A66" t="s">
        <v>228</v>
      </c>
      <c r="B66" s="72" t="s">
        <v>276</v>
      </c>
      <c r="C66" s="70" t="s">
        <v>64</v>
      </c>
    </row>
    <row r="67" spans="1:3">
      <c r="A67" t="s">
        <v>110</v>
      </c>
      <c r="B67" s="72" t="s">
        <v>277</v>
      </c>
      <c r="C67" s="70" t="s">
        <v>78</v>
      </c>
    </row>
    <row r="68" spans="1:3">
      <c r="A68" t="s">
        <v>110</v>
      </c>
      <c r="B68" s="72" t="s">
        <v>278</v>
      </c>
      <c r="C68" s="70" t="s">
        <v>78</v>
      </c>
    </row>
    <row r="69" spans="1:3">
      <c r="A69" t="s">
        <v>228</v>
      </c>
      <c r="B69" s="72" t="s">
        <v>279</v>
      </c>
      <c r="C69" s="70" t="s">
        <v>78</v>
      </c>
    </row>
    <row r="70" spans="1:3">
      <c r="A70" t="s">
        <v>110</v>
      </c>
      <c r="B70" s="72" t="s">
        <v>156</v>
      </c>
      <c r="C70" s="70" t="s">
        <v>78</v>
      </c>
    </row>
    <row r="71" spans="1:3">
      <c r="A71" t="s">
        <v>228</v>
      </c>
      <c r="B71" s="72" t="s">
        <v>280</v>
      </c>
      <c r="C71" s="70" t="s">
        <v>64</v>
      </c>
    </row>
    <row r="72" spans="1:3">
      <c r="A72" t="s">
        <v>228</v>
      </c>
      <c r="B72" s="72" t="s">
        <v>281</v>
      </c>
      <c r="C72" s="70" t="s">
        <v>78</v>
      </c>
    </row>
    <row r="73" spans="1:3">
      <c r="A73" t="s">
        <v>110</v>
      </c>
      <c r="B73" s="72" t="s">
        <v>282</v>
      </c>
      <c r="C73" s="70" t="s">
        <v>78</v>
      </c>
    </row>
    <row r="74" spans="1:3">
      <c r="A74" t="s">
        <v>228</v>
      </c>
      <c r="B74" s="72" t="s">
        <v>283</v>
      </c>
      <c r="C74" s="70" t="s">
        <v>78</v>
      </c>
    </row>
    <row r="75" spans="1:3">
      <c r="A75" t="s">
        <v>110</v>
      </c>
      <c r="B75" s="72" t="s">
        <v>284</v>
      </c>
      <c r="C75" s="70" t="s">
        <v>78</v>
      </c>
    </row>
    <row r="76" spans="1:3">
      <c r="A76" t="s">
        <v>228</v>
      </c>
      <c r="B76" s="72" t="s">
        <v>285</v>
      </c>
      <c r="C76" s="70" t="s">
        <v>64</v>
      </c>
    </row>
    <row r="77" spans="1:3">
      <c r="A77" t="s">
        <v>110</v>
      </c>
      <c r="B77" s="72" t="s">
        <v>286</v>
      </c>
      <c r="C77" s="70" t="s">
        <v>78</v>
      </c>
    </row>
    <row r="78" spans="1:3">
      <c r="A78" t="s">
        <v>110</v>
      </c>
      <c r="B78" s="72" t="s">
        <v>287</v>
      </c>
      <c r="C78" s="70" t="s">
        <v>78</v>
      </c>
    </row>
    <row r="79" spans="1:3">
      <c r="A79" t="s">
        <v>110</v>
      </c>
      <c r="B79" s="72" t="s">
        <v>288</v>
      </c>
      <c r="C79" s="70" t="s">
        <v>78</v>
      </c>
    </row>
    <row r="80" spans="1:3">
      <c r="A80" t="s">
        <v>110</v>
      </c>
      <c r="B80" s="72" t="s">
        <v>289</v>
      </c>
      <c r="C80" s="70" t="s">
        <v>78</v>
      </c>
    </row>
    <row r="81" spans="1:3">
      <c r="A81" t="s">
        <v>110</v>
      </c>
      <c r="B81" s="72" t="s">
        <v>290</v>
      </c>
      <c r="C81" s="70" t="s">
        <v>64</v>
      </c>
    </row>
    <row r="82" spans="1:3">
      <c r="A82" t="s">
        <v>228</v>
      </c>
      <c r="B82" s="72" t="s">
        <v>291</v>
      </c>
      <c r="C82" s="70" t="s">
        <v>78</v>
      </c>
    </row>
    <row r="83" spans="1:3">
      <c r="A83" t="s">
        <v>110</v>
      </c>
      <c r="B83" s="72" t="s">
        <v>292</v>
      </c>
      <c r="C83" s="70" t="s">
        <v>78</v>
      </c>
    </row>
    <row r="84" spans="1:3">
      <c r="A84" t="s">
        <v>110</v>
      </c>
      <c r="B84" s="72" t="s">
        <v>293</v>
      </c>
      <c r="C84" s="70" t="s">
        <v>64</v>
      </c>
    </row>
    <row r="85" spans="1:3">
      <c r="A85" t="s">
        <v>228</v>
      </c>
      <c r="B85" s="72" t="s">
        <v>294</v>
      </c>
      <c r="C85" s="70" t="s">
        <v>78</v>
      </c>
    </row>
    <row r="86" spans="1:3">
      <c r="A86" t="s">
        <v>110</v>
      </c>
      <c r="B86" s="72" t="s">
        <v>223</v>
      </c>
      <c r="C86" s="70" t="s">
        <v>64</v>
      </c>
    </row>
    <row r="87" spans="1:3">
      <c r="A87" t="s">
        <v>228</v>
      </c>
      <c r="B87" s="72" t="s">
        <v>295</v>
      </c>
      <c r="C87" s="70" t="s">
        <v>78</v>
      </c>
    </row>
    <row r="88" spans="1:3">
      <c r="A88" t="s">
        <v>228</v>
      </c>
      <c r="B88" s="72" t="s">
        <v>296</v>
      </c>
      <c r="C88" s="70" t="s">
        <v>78</v>
      </c>
    </row>
    <row r="89" spans="1:3">
      <c r="A89" t="s">
        <v>110</v>
      </c>
      <c r="B89" s="72" t="s">
        <v>297</v>
      </c>
      <c r="C89" s="70" t="s">
        <v>64</v>
      </c>
    </row>
    <row r="90" spans="1:3">
      <c r="A90" t="s">
        <v>228</v>
      </c>
      <c r="B90" s="72" t="s">
        <v>298</v>
      </c>
      <c r="C90" s="70" t="s">
        <v>64</v>
      </c>
    </row>
    <row r="91" spans="1:3" ht="26.25">
      <c r="A91" t="s">
        <v>228</v>
      </c>
      <c r="B91" s="72" t="s">
        <v>299</v>
      </c>
      <c r="C91" s="70" t="s">
        <v>64</v>
      </c>
    </row>
    <row r="92" spans="1:3">
      <c r="A92" t="s">
        <v>110</v>
      </c>
      <c r="B92" s="72" t="s">
        <v>300</v>
      </c>
      <c r="C92" s="70" t="s">
        <v>78</v>
      </c>
    </row>
    <row r="93" spans="1:3">
      <c r="A93" t="s">
        <v>228</v>
      </c>
      <c r="B93" s="72" t="s">
        <v>301</v>
      </c>
      <c r="C93" s="70" t="s">
        <v>78</v>
      </c>
    </row>
    <row r="94" spans="1:3">
      <c r="A94" t="s">
        <v>228</v>
      </c>
      <c r="B94" s="72" t="s">
        <v>302</v>
      </c>
      <c r="C94" s="70" t="s">
        <v>78</v>
      </c>
    </row>
    <row r="95" spans="1:3">
      <c r="A95" t="s">
        <v>110</v>
      </c>
      <c r="B95" s="72" t="s">
        <v>303</v>
      </c>
      <c r="C95" s="70" t="s">
        <v>64</v>
      </c>
    </row>
    <row r="96" spans="1:3">
      <c r="A96" t="s">
        <v>228</v>
      </c>
      <c r="B96" s="72" t="s">
        <v>304</v>
      </c>
      <c r="C96" s="70" t="s">
        <v>78</v>
      </c>
    </row>
    <row r="97" spans="1:3">
      <c r="A97" t="s">
        <v>228</v>
      </c>
      <c r="B97" s="72" t="s">
        <v>305</v>
      </c>
      <c r="C97" s="70" t="s">
        <v>64</v>
      </c>
    </row>
    <row r="98" spans="1:3">
      <c r="A98" t="s">
        <v>110</v>
      </c>
      <c r="B98" s="72" t="s">
        <v>306</v>
      </c>
      <c r="C98" s="70" t="s">
        <v>64</v>
      </c>
    </row>
    <row r="99" spans="1:3">
      <c r="A99" t="s">
        <v>110</v>
      </c>
      <c r="B99" s="72" t="s">
        <v>307</v>
      </c>
      <c r="C99" s="70" t="s">
        <v>78</v>
      </c>
    </row>
    <row r="100" spans="1:3">
      <c r="A100" t="s">
        <v>228</v>
      </c>
      <c r="B100" s="72" t="s">
        <v>308</v>
      </c>
      <c r="C100" s="70" t="s">
        <v>78</v>
      </c>
    </row>
    <row r="101" spans="1:3">
      <c r="A101" t="s">
        <v>110</v>
      </c>
      <c r="B101" s="72" t="s">
        <v>309</v>
      </c>
      <c r="C101" s="70" t="s">
        <v>64</v>
      </c>
    </row>
    <row r="102" spans="1:3" ht="26.25">
      <c r="A102" t="s">
        <v>110</v>
      </c>
      <c r="B102" s="72" t="s">
        <v>310</v>
      </c>
      <c r="C102" s="70" t="s">
        <v>64</v>
      </c>
    </row>
    <row r="103" spans="1:3">
      <c r="A103" t="s">
        <v>110</v>
      </c>
      <c r="B103" s="72" t="s">
        <v>311</v>
      </c>
      <c r="C103" s="70" t="s">
        <v>64</v>
      </c>
    </row>
    <row r="104" spans="1:3">
      <c r="A104" t="s">
        <v>110</v>
      </c>
      <c r="B104" s="72" t="s">
        <v>312</v>
      </c>
      <c r="C104" s="70" t="s">
        <v>64</v>
      </c>
    </row>
    <row r="105" spans="1:3">
      <c r="A105" t="s">
        <v>110</v>
      </c>
      <c r="B105" s="72" t="s">
        <v>85</v>
      </c>
      <c r="C105" s="70" t="s">
        <v>64</v>
      </c>
    </row>
    <row r="106" spans="1:3">
      <c r="A106" t="s">
        <v>228</v>
      </c>
      <c r="B106" s="72" t="s">
        <v>313</v>
      </c>
      <c r="C106" s="70" t="s">
        <v>64</v>
      </c>
    </row>
    <row r="107" spans="1:3">
      <c r="A107" t="s">
        <v>110</v>
      </c>
      <c r="B107" s="72" t="s">
        <v>314</v>
      </c>
      <c r="C107" s="70" t="s">
        <v>64</v>
      </c>
    </row>
    <row r="108" spans="1:3">
      <c r="A108" t="s">
        <v>110</v>
      </c>
      <c r="B108" s="72" t="s">
        <v>84</v>
      </c>
      <c r="C108" s="70" t="s">
        <v>64</v>
      </c>
    </row>
    <row r="109" spans="1:3">
      <c r="A109" t="s">
        <v>110</v>
      </c>
      <c r="B109" s="72" t="s">
        <v>315</v>
      </c>
      <c r="C109" s="70" t="s">
        <v>64</v>
      </c>
    </row>
    <row r="110" spans="1:3">
      <c r="A110" t="s">
        <v>228</v>
      </c>
      <c r="B110" s="72" t="s">
        <v>316</v>
      </c>
      <c r="C110" s="70" t="s">
        <v>64</v>
      </c>
    </row>
    <row r="111" spans="1:3">
      <c r="A111" t="s">
        <v>110</v>
      </c>
      <c r="B111" s="72" t="s">
        <v>317</v>
      </c>
      <c r="C111" s="70" t="s">
        <v>78</v>
      </c>
    </row>
    <row r="112" spans="1:3">
      <c r="A112" t="s">
        <v>228</v>
      </c>
      <c r="B112" s="72" t="s">
        <v>318</v>
      </c>
      <c r="C112" s="70" t="s">
        <v>78</v>
      </c>
    </row>
    <row r="113" spans="1:3">
      <c r="A113" t="s">
        <v>110</v>
      </c>
      <c r="B113" s="72" t="s">
        <v>319</v>
      </c>
      <c r="C113" s="70" t="s">
        <v>64</v>
      </c>
    </row>
    <row r="114" spans="1:3" ht="26.25">
      <c r="A114" t="s">
        <v>228</v>
      </c>
      <c r="B114" s="72" t="s">
        <v>320</v>
      </c>
      <c r="C114" s="70" t="s">
        <v>78</v>
      </c>
    </row>
    <row r="115" spans="1:3">
      <c r="A115" t="s">
        <v>110</v>
      </c>
      <c r="B115" s="72" t="s">
        <v>321</v>
      </c>
      <c r="C115" s="70" t="s">
        <v>78</v>
      </c>
    </row>
    <row r="116" spans="1:3">
      <c r="A116" t="s">
        <v>110</v>
      </c>
      <c r="B116" s="72" t="s">
        <v>89</v>
      </c>
      <c r="C116" s="70" t="s">
        <v>64</v>
      </c>
    </row>
    <row r="117" spans="1:3">
      <c r="A117" t="s">
        <v>228</v>
      </c>
      <c r="B117" s="72" t="s">
        <v>322</v>
      </c>
      <c r="C117" s="70" t="s">
        <v>78</v>
      </c>
    </row>
    <row r="118" spans="1:3">
      <c r="A118" t="s">
        <v>228</v>
      </c>
      <c r="B118" s="72" t="s">
        <v>323</v>
      </c>
      <c r="C118" s="70" t="s">
        <v>64</v>
      </c>
    </row>
    <row r="119" spans="1:3">
      <c r="A119" t="s">
        <v>110</v>
      </c>
      <c r="B119" s="72" t="s">
        <v>324</v>
      </c>
      <c r="C119" s="70" t="s">
        <v>64</v>
      </c>
    </row>
    <row r="120" spans="1:3">
      <c r="A120" t="s">
        <v>110</v>
      </c>
      <c r="B120" s="72" t="s">
        <v>325</v>
      </c>
      <c r="C120" s="70" t="s">
        <v>78</v>
      </c>
    </row>
    <row r="121" spans="1:3">
      <c r="A121" t="s">
        <v>110</v>
      </c>
      <c r="B121" s="72" t="s">
        <v>145</v>
      </c>
      <c r="C121" s="70" t="s">
        <v>64</v>
      </c>
    </row>
    <row r="122" spans="1:3">
      <c r="A122" t="s">
        <v>110</v>
      </c>
      <c r="B122" s="72" t="s">
        <v>326</v>
      </c>
      <c r="C122" s="70" t="s">
        <v>78</v>
      </c>
    </row>
    <row r="123" spans="1:3">
      <c r="A123" t="s">
        <v>228</v>
      </c>
      <c r="B123" s="72" t="s">
        <v>327</v>
      </c>
      <c r="C123" s="70" t="s">
        <v>64</v>
      </c>
    </row>
    <row r="124" spans="1:3">
      <c r="A124" t="s">
        <v>110</v>
      </c>
      <c r="B124" s="72" t="s">
        <v>328</v>
      </c>
      <c r="C124" s="70" t="s">
        <v>64</v>
      </c>
    </row>
    <row r="125" spans="1:3">
      <c r="A125" t="s">
        <v>110</v>
      </c>
      <c r="B125" s="72" t="s">
        <v>167</v>
      </c>
      <c r="C125" s="70" t="s">
        <v>78</v>
      </c>
    </row>
    <row r="126" spans="1:3">
      <c r="A126" t="s">
        <v>228</v>
      </c>
      <c r="B126" s="72" t="s">
        <v>329</v>
      </c>
      <c r="C126" s="70" t="s">
        <v>78</v>
      </c>
    </row>
    <row r="127" spans="1:3">
      <c r="A127" t="s">
        <v>228</v>
      </c>
      <c r="B127" s="72" t="s">
        <v>330</v>
      </c>
      <c r="C127" s="70" t="s">
        <v>78</v>
      </c>
    </row>
    <row r="128" spans="1:3">
      <c r="A128" t="s">
        <v>228</v>
      </c>
      <c r="B128" s="72" t="s">
        <v>331</v>
      </c>
      <c r="C128" s="70" t="s">
        <v>78</v>
      </c>
    </row>
    <row r="129" spans="1:3">
      <c r="A129" t="s">
        <v>228</v>
      </c>
      <c r="B129" s="72" t="s">
        <v>332</v>
      </c>
      <c r="C129" s="70" t="s">
        <v>78</v>
      </c>
    </row>
    <row r="130" spans="1:3">
      <c r="A130" t="s">
        <v>228</v>
      </c>
      <c r="B130" s="72" t="s">
        <v>333</v>
      </c>
      <c r="C130" s="70" t="s">
        <v>78</v>
      </c>
    </row>
    <row r="131" spans="1:3">
      <c r="A131" t="s">
        <v>110</v>
      </c>
      <c r="B131" s="72" t="s">
        <v>334</v>
      </c>
      <c r="C131" s="70" t="s">
        <v>78</v>
      </c>
    </row>
    <row r="132" spans="1:3">
      <c r="A132" t="s">
        <v>110</v>
      </c>
      <c r="B132" s="72" t="s">
        <v>136</v>
      </c>
      <c r="C132" s="70" t="s">
        <v>64</v>
      </c>
    </row>
    <row r="133" spans="1:3">
      <c r="A133" t="s">
        <v>110</v>
      </c>
      <c r="B133" s="72" t="s">
        <v>335</v>
      </c>
      <c r="C133" s="70" t="s">
        <v>64</v>
      </c>
    </row>
    <row r="134" spans="1:3">
      <c r="A134" t="s">
        <v>110</v>
      </c>
      <c r="B134" s="72" t="s">
        <v>336</v>
      </c>
      <c r="C134" s="70" t="s">
        <v>64</v>
      </c>
    </row>
    <row r="135" spans="1:3">
      <c r="A135" t="s">
        <v>110</v>
      </c>
      <c r="B135" s="72" t="s">
        <v>337</v>
      </c>
      <c r="C135" s="70" t="s">
        <v>64</v>
      </c>
    </row>
    <row r="136" spans="1:3" ht="26.25">
      <c r="A136" t="s">
        <v>110</v>
      </c>
      <c r="B136" s="72" t="s">
        <v>338</v>
      </c>
      <c r="C136" s="70" t="s">
        <v>64</v>
      </c>
    </row>
    <row r="137" spans="1:3">
      <c r="A137" t="s">
        <v>110</v>
      </c>
      <c r="B137" s="72" t="s">
        <v>339</v>
      </c>
      <c r="C137" s="70" t="s">
        <v>78</v>
      </c>
    </row>
    <row r="138" spans="1:3">
      <c r="A138" t="s">
        <v>110</v>
      </c>
      <c r="B138" s="72" t="s">
        <v>86</v>
      </c>
      <c r="C138" s="70" t="s">
        <v>64</v>
      </c>
    </row>
    <row r="139" spans="1:3">
      <c r="A139" t="s">
        <v>110</v>
      </c>
      <c r="B139" s="72" t="s">
        <v>135</v>
      </c>
      <c r="C139" s="70" t="s">
        <v>64</v>
      </c>
    </row>
    <row r="140" spans="1:3">
      <c r="A140" t="s">
        <v>110</v>
      </c>
      <c r="B140" s="72" t="s">
        <v>340</v>
      </c>
      <c r="C140" s="70" t="s">
        <v>64</v>
      </c>
    </row>
    <row r="141" spans="1:3">
      <c r="A141" t="s">
        <v>228</v>
      </c>
      <c r="B141" s="72" t="s">
        <v>341</v>
      </c>
      <c r="C141" s="70" t="s">
        <v>78</v>
      </c>
    </row>
    <row r="142" spans="1:3">
      <c r="A142" t="s">
        <v>110</v>
      </c>
      <c r="B142" s="72" t="s">
        <v>342</v>
      </c>
      <c r="C142" s="70" t="s">
        <v>78</v>
      </c>
    </row>
    <row r="143" spans="1:3">
      <c r="A143" t="s">
        <v>110</v>
      </c>
      <c r="B143" s="72" t="s">
        <v>343</v>
      </c>
      <c r="C143" s="70" t="s">
        <v>78</v>
      </c>
    </row>
    <row r="144" spans="1:3">
      <c r="A144" t="s">
        <v>228</v>
      </c>
      <c r="B144" s="72" t="s">
        <v>344</v>
      </c>
      <c r="C144" s="70" t="s">
        <v>78</v>
      </c>
    </row>
    <row r="145" spans="1:3">
      <c r="A145" t="s">
        <v>110</v>
      </c>
      <c r="B145" s="72" t="s">
        <v>345</v>
      </c>
      <c r="C145" s="70" t="s">
        <v>78</v>
      </c>
    </row>
    <row r="146" spans="1:3">
      <c r="A146" t="s">
        <v>110</v>
      </c>
      <c r="B146" s="72" t="s">
        <v>130</v>
      </c>
      <c r="C146" s="70" t="s">
        <v>78</v>
      </c>
    </row>
    <row r="147" spans="1:3">
      <c r="A147" t="s">
        <v>110</v>
      </c>
      <c r="B147" s="72" t="s">
        <v>346</v>
      </c>
      <c r="C147" s="70" t="s">
        <v>78</v>
      </c>
    </row>
    <row r="148" spans="1:3">
      <c r="A148" t="s">
        <v>110</v>
      </c>
      <c r="B148" s="72" t="s">
        <v>347</v>
      </c>
      <c r="C148" s="70" t="s">
        <v>78</v>
      </c>
    </row>
    <row r="149" spans="1:3">
      <c r="A149" t="s">
        <v>110</v>
      </c>
      <c r="B149" s="72" t="s">
        <v>348</v>
      </c>
      <c r="C149" s="70" t="s">
        <v>78</v>
      </c>
    </row>
    <row r="150" spans="1:3">
      <c r="A150" t="s">
        <v>110</v>
      </c>
      <c r="B150" s="72" t="s">
        <v>125</v>
      </c>
      <c r="C150" s="70" t="s">
        <v>78</v>
      </c>
    </row>
    <row r="151" spans="1:3">
      <c r="A151" t="s">
        <v>228</v>
      </c>
      <c r="B151" s="72" t="s">
        <v>349</v>
      </c>
      <c r="C151" s="70" t="s">
        <v>78</v>
      </c>
    </row>
    <row r="152" spans="1:3">
      <c r="A152" t="s">
        <v>228</v>
      </c>
      <c r="B152" s="72" t="s">
        <v>350</v>
      </c>
      <c r="C152" s="70" t="s">
        <v>64</v>
      </c>
    </row>
    <row r="153" spans="1:3">
      <c r="A153" t="s">
        <v>228</v>
      </c>
      <c r="B153" s="72" t="s">
        <v>351</v>
      </c>
      <c r="C153" s="70" t="s">
        <v>78</v>
      </c>
    </row>
    <row r="154" spans="1:3">
      <c r="A154" t="s">
        <v>228</v>
      </c>
      <c r="B154" s="72" t="s">
        <v>352</v>
      </c>
      <c r="C154" s="70" t="s">
        <v>78</v>
      </c>
    </row>
    <row r="155" spans="1:3">
      <c r="A155" t="s">
        <v>228</v>
      </c>
      <c r="B155" s="72" t="s">
        <v>353</v>
      </c>
      <c r="C155" s="70" t="s">
        <v>64</v>
      </c>
    </row>
    <row r="156" spans="1:3">
      <c r="A156" t="s">
        <v>110</v>
      </c>
      <c r="B156" s="72" t="s">
        <v>354</v>
      </c>
      <c r="C156" s="70" t="s">
        <v>64</v>
      </c>
    </row>
    <row r="157" spans="1:3">
      <c r="A157" t="s">
        <v>110</v>
      </c>
      <c r="B157" s="72" t="s">
        <v>355</v>
      </c>
      <c r="C157" s="70" t="s">
        <v>64</v>
      </c>
    </row>
    <row r="158" spans="1:3">
      <c r="A158" t="s">
        <v>110</v>
      </c>
      <c r="B158" s="72" t="s">
        <v>356</v>
      </c>
      <c r="C158" s="70" t="s">
        <v>64</v>
      </c>
    </row>
    <row r="159" spans="1:3">
      <c r="A159" t="s">
        <v>228</v>
      </c>
      <c r="B159" s="72" t="s">
        <v>357</v>
      </c>
      <c r="C159" s="70" t="s">
        <v>64</v>
      </c>
    </row>
    <row r="160" spans="1:3">
      <c r="A160" t="s">
        <v>110</v>
      </c>
      <c r="B160" s="72" t="s">
        <v>358</v>
      </c>
      <c r="C160" s="70" t="s">
        <v>78</v>
      </c>
    </row>
    <row r="161" spans="1:3">
      <c r="A161" t="s">
        <v>110</v>
      </c>
      <c r="B161" s="72" t="s">
        <v>359</v>
      </c>
      <c r="C161" s="70" t="s">
        <v>78</v>
      </c>
    </row>
    <row r="162" spans="1:3">
      <c r="A162" t="s">
        <v>110</v>
      </c>
      <c r="B162" s="72" t="s">
        <v>144</v>
      </c>
      <c r="C162" s="70" t="s">
        <v>78</v>
      </c>
    </row>
    <row r="163" spans="1:3">
      <c r="A163" t="s">
        <v>110</v>
      </c>
      <c r="B163" s="72" t="s">
        <v>133</v>
      </c>
      <c r="C163" s="70" t="s">
        <v>78</v>
      </c>
    </row>
    <row r="164" spans="1:3">
      <c r="A164" t="s">
        <v>110</v>
      </c>
      <c r="B164" s="72" t="s">
        <v>360</v>
      </c>
      <c r="C164" s="70" t="s">
        <v>78</v>
      </c>
    </row>
    <row r="165" spans="1:3">
      <c r="A165" t="s">
        <v>110</v>
      </c>
      <c r="B165" s="72" t="s">
        <v>361</v>
      </c>
      <c r="C165" s="70" t="s">
        <v>78</v>
      </c>
    </row>
    <row r="166" spans="1:3" ht="26.25">
      <c r="A166" t="s">
        <v>110</v>
      </c>
      <c r="B166" s="72" t="s">
        <v>362</v>
      </c>
      <c r="C166" s="70" t="s">
        <v>78</v>
      </c>
    </row>
    <row r="167" spans="1:3">
      <c r="A167" t="s">
        <v>110</v>
      </c>
      <c r="B167" s="72" t="s">
        <v>363</v>
      </c>
      <c r="C167" s="70" t="s">
        <v>78</v>
      </c>
    </row>
    <row r="168" spans="1:3">
      <c r="A168" t="s">
        <v>110</v>
      </c>
      <c r="B168" s="72" t="s">
        <v>364</v>
      </c>
      <c r="C168" s="70" t="s">
        <v>78</v>
      </c>
    </row>
    <row r="169" spans="1:3">
      <c r="A169" t="s">
        <v>110</v>
      </c>
      <c r="B169" s="72" t="s">
        <v>365</v>
      </c>
      <c r="C169" s="70" t="s">
        <v>78</v>
      </c>
    </row>
    <row r="170" spans="1:3" ht="26.25">
      <c r="A170" t="s">
        <v>110</v>
      </c>
      <c r="B170" s="72" t="s">
        <v>366</v>
      </c>
      <c r="C170" s="70" t="s">
        <v>78</v>
      </c>
    </row>
    <row r="171" spans="1:3">
      <c r="A171" t="s">
        <v>228</v>
      </c>
      <c r="B171" s="74" t="s">
        <v>367</v>
      </c>
      <c r="C171" s="70" t="s">
        <v>78</v>
      </c>
    </row>
    <row r="172" spans="1:3">
      <c r="A172" t="s">
        <v>110</v>
      </c>
      <c r="B172" s="72" t="s">
        <v>134</v>
      </c>
      <c r="C172" s="70" t="s">
        <v>78</v>
      </c>
    </row>
    <row r="173" spans="1:3">
      <c r="A173" t="s">
        <v>228</v>
      </c>
      <c r="B173" s="74" t="s">
        <v>368</v>
      </c>
      <c r="C173" s="70" t="s">
        <v>78</v>
      </c>
    </row>
    <row r="174" spans="1:3">
      <c r="A174" t="s">
        <v>228</v>
      </c>
      <c r="B174" s="72" t="s">
        <v>369</v>
      </c>
      <c r="C174" s="70" t="s">
        <v>78</v>
      </c>
    </row>
    <row r="175" spans="1:3">
      <c r="A175" t="s">
        <v>228</v>
      </c>
      <c r="B175" s="72" t="s">
        <v>370</v>
      </c>
      <c r="C175" s="70" t="s">
        <v>78</v>
      </c>
    </row>
    <row r="176" spans="1:3">
      <c r="A176" t="s">
        <v>110</v>
      </c>
      <c r="B176" s="72" t="s">
        <v>143</v>
      </c>
      <c r="C176" s="70" t="s">
        <v>78</v>
      </c>
    </row>
    <row r="177" spans="1:3" ht="26.25">
      <c r="A177" t="s">
        <v>228</v>
      </c>
      <c r="B177" s="72" t="s">
        <v>371</v>
      </c>
      <c r="C177" s="70" t="s">
        <v>64</v>
      </c>
    </row>
    <row r="178" spans="1:3">
      <c r="A178" t="s">
        <v>228</v>
      </c>
      <c r="B178" s="72" t="s">
        <v>372</v>
      </c>
      <c r="C178" s="70" t="s">
        <v>78</v>
      </c>
    </row>
    <row r="179" spans="1:3">
      <c r="A179" t="s">
        <v>228</v>
      </c>
      <c r="B179" s="72" t="s">
        <v>373</v>
      </c>
      <c r="C179" s="70" t="s">
        <v>78</v>
      </c>
    </row>
    <row r="180" spans="1:3">
      <c r="A180" t="s">
        <v>110</v>
      </c>
      <c r="B180" s="72" t="s">
        <v>374</v>
      </c>
      <c r="C180" s="70" t="s">
        <v>78</v>
      </c>
    </row>
    <row r="181" spans="1:3">
      <c r="A181" t="s">
        <v>110</v>
      </c>
      <c r="B181" s="72" t="s">
        <v>375</v>
      </c>
      <c r="C181" s="70" t="s">
        <v>78</v>
      </c>
    </row>
    <row r="182" spans="1:3">
      <c r="A182" t="s">
        <v>228</v>
      </c>
      <c r="B182" s="72" t="s">
        <v>376</v>
      </c>
      <c r="C182" s="70" t="s">
        <v>78</v>
      </c>
    </row>
    <row r="183" spans="1:3">
      <c r="A183" t="s">
        <v>110</v>
      </c>
      <c r="B183" s="72" t="s">
        <v>377</v>
      </c>
      <c r="C183" s="70" t="s">
        <v>78</v>
      </c>
    </row>
    <row r="184" spans="1:3">
      <c r="A184" t="s">
        <v>228</v>
      </c>
      <c r="B184" s="72" t="s">
        <v>117</v>
      </c>
      <c r="C184" s="70" t="s">
        <v>78</v>
      </c>
    </row>
    <row r="185" spans="1:3">
      <c r="A185" t="s">
        <v>110</v>
      </c>
      <c r="B185" s="72" t="s">
        <v>378</v>
      </c>
      <c r="C185" s="70" t="s">
        <v>78</v>
      </c>
    </row>
    <row r="186" spans="1:3">
      <c r="A186" t="s">
        <v>110</v>
      </c>
      <c r="B186" s="72" t="s">
        <v>99</v>
      </c>
      <c r="C186" s="70" t="s">
        <v>64</v>
      </c>
    </row>
    <row r="187" spans="1:3">
      <c r="A187" t="s">
        <v>110</v>
      </c>
      <c r="B187" s="72" t="s">
        <v>122</v>
      </c>
      <c r="C187" s="70" t="s">
        <v>78</v>
      </c>
    </row>
    <row r="188" spans="1:3">
      <c r="A188" t="s">
        <v>228</v>
      </c>
      <c r="B188" s="72" t="s">
        <v>379</v>
      </c>
      <c r="C188" s="70" t="s">
        <v>78</v>
      </c>
    </row>
    <row r="189" spans="1:3">
      <c r="A189" t="s">
        <v>110</v>
      </c>
      <c r="B189" s="72" t="s">
        <v>380</v>
      </c>
      <c r="C189" s="70" t="s">
        <v>64</v>
      </c>
    </row>
    <row r="190" spans="1:3">
      <c r="A190" t="s">
        <v>110</v>
      </c>
      <c r="B190" s="72" t="s">
        <v>381</v>
      </c>
      <c r="C190" s="70" t="s">
        <v>78</v>
      </c>
    </row>
    <row r="191" spans="1:3">
      <c r="A191" t="s">
        <v>228</v>
      </c>
      <c r="B191" s="72" t="s">
        <v>175</v>
      </c>
      <c r="C191" s="70" t="s">
        <v>78</v>
      </c>
    </row>
    <row r="192" spans="1:3">
      <c r="A192" t="s">
        <v>110</v>
      </c>
      <c r="B192" s="72" t="s">
        <v>382</v>
      </c>
      <c r="C192" s="70" t="s">
        <v>78</v>
      </c>
    </row>
    <row r="193" spans="1:3">
      <c r="A193" t="s">
        <v>110</v>
      </c>
      <c r="B193" s="72" t="s">
        <v>383</v>
      </c>
      <c r="C193" s="70" t="s">
        <v>78</v>
      </c>
    </row>
    <row r="194" spans="1:3">
      <c r="A194" t="s">
        <v>110</v>
      </c>
      <c r="B194" s="72" t="s">
        <v>384</v>
      </c>
      <c r="C194" s="70" t="s">
        <v>64</v>
      </c>
    </row>
    <row r="195" spans="1:3">
      <c r="A195" t="s">
        <v>110</v>
      </c>
      <c r="B195" s="72" t="s">
        <v>385</v>
      </c>
      <c r="C195" s="70" t="s">
        <v>78</v>
      </c>
    </row>
    <row r="196" spans="1:3">
      <c r="A196" t="s">
        <v>110</v>
      </c>
      <c r="B196" s="72" t="s">
        <v>115</v>
      </c>
      <c r="C196" s="70" t="s">
        <v>114</v>
      </c>
    </row>
    <row r="197" spans="1:3">
      <c r="A197" t="s">
        <v>110</v>
      </c>
      <c r="B197" s="72" t="s">
        <v>73</v>
      </c>
      <c r="C197" s="70" t="s">
        <v>64</v>
      </c>
    </row>
    <row r="198" spans="1:3">
      <c r="A198" t="s">
        <v>110</v>
      </c>
      <c r="B198" s="72" t="s">
        <v>106</v>
      </c>
      <c r="C198" s="70" t="s">
        <v>64</v>
      </c>
    </row>
    <row r="199" spans="1:3">
      <c r="A199" t="s">
        <v>110</v>
      </c>
      <c r="B199" s="72" t="s">
        <v>74</v>
      </c>
      <c r="C199" s="70" t="s">
        <v>64</v>
      </c>
    </row>
    <row r="200" spans="1:3">
      <c r="A200" t="s">
        <v>110</v>
      </c>
      <c r="B200" s="72" t="s">
        <v>386</v>
      </c>
      <c r="C200" s="70" t="s">
        <v>64</v>
      </c>
    </row>
    <row r="201" spans="1:3">
      <c r="A201" t="s">
        <v>228</v>
      </c>
      <c r="B201" s="72" t="s">
        <v>387</v>
      </c>
      <c r="C201" s="70" t="s">
        <v>78</v>
      </c>
    </row>
    <row r="202" spans="1:3">
      <c r="A202" t="s">
        <v>110</v>
      </c>
      <c r="B202" s="72" t="s">
        <v>388</v>
      </c>
      <c r="C202" s="70" t="s">
        <v>64</v>
      </c>
    </row>
    <row r="203" spans="1:3">
      <c r="A203" t="s">
        <v>110</v>
      </c>
      <c r="B203" s="72" t="s">
        <v>389</v>
      </c>
      <c r="C203" s="70" t="s">
        <v>64</v>
      </c>
    </row>
    <row r="204" spans="1:3">
      <c r="A204" t="s">
        <v>228</v>
      </c>
      <c r="B204" s="72" t="s">
        <v>390</v>
      </c>
      <c r="C204" s="70" t="s">
        <v>64</v>
      </c>
    </row>
    <row r="205" spans="1:3">
      <c r="A205" t="s">
        <v>228</v>
      </c>
      <c r="B205" s="72" t="s">
        <v>391</v>
      </c>
      <c r="C205" s="70" t="s">
        <v>64</v>
      </c>
    </row>
    <row r="206" spans="1:3">
      <c r="A206" t="s">
        <v>110</v>
      </c>
      <c r="B206" s="72" t="s">
        <v>116</v>
      </c>
      <c r="C206" s="70" t="s">
        <v>78</v>
      </c>
    </row>
    <row r="207" spans="1:3">
      <c r="A207" t="s">
        <v>110</v>
      </c>
      <c r="B207" s="72" t="s">
        <v>113</v>
      </c>
      <c r="C207" s="70" t="s">
        <v>78</v>
      </c>
    </row>
    <row r="208" spans="1:3">
      <c r="A208" t="s">
        <v>228</v>
      </c>
      <c r="B208" s="72" t="s">
        <v>392</v>
      </c>
      <c r="C208" s="70" t="s">
        <v>64</v>
      </c>
    </row>
    <row r="209" spans="1:3">
      <c r="A209" t="s">
        <v>110</v>
      </c>
      <c r="B209" s="72" t="s">
        <v>393</v>
      </c>
      <c r="C209" s="70" t="s">
        <v>78</v>
      </c>
    </row>
    <row r="210" spans="1:3">
      <c r="A210" t="s">
        <v>110</v>
      </c>
      <c r="B210" s="72" t="s">
        <v>394</v>
      </c>
      <c r="C210" s="70" t="s">
        <v>78</v>
      </c>
    </row>
    <row r="211" spans="1:3">
      <c r="A211" t="s">
        <v>228</v>
      </c>
      <c r="B211" s="72" t="s">
        <v>395</v>
      </c>
      <c r="C211" s="70" t="s">
        <v>78</v>
      </c>
    </row>
    <row r="212" spans="1:3">
      <c r="A212" t="s">
        <v>228</v>
      </c>
      <c r="B212" s="72" t="s">
        <v>396</v>
      </c>
      <c r="C212" s="70" t="s">
        <v>78</v>
      </c>
    </row>
    <row r="213" spans="1:3">
      <c r="A213" t="s">
        <v>110</v>
      </c>
      <c r="B213" s="72" t="s">
        <v>397</v>
      </c>
      <c r="C213" s="70" t="s">
        <v>78</v>
      </c>
    </row>
    <row r="214" spans="1:3">
      <c r="A214" t="s">
        <v>110</v>
      </c>
      <c r="B214" s="72" t="s">
        <v>398</v>
      </c>
      <c r="C214" s="70" t="s">
        <v>78</v>
      </c>
    </row>
    <row r="215" spans="1:3">
      <c r="A215" t="s">
        <v>110</v>
      </c>
      <c r="B215" s="72" t="s">
        <v>399</v>
      </c>
      <c r="C215" s="70" t="s">
        <v>78</v>
      </c>
    </row>
    <row r="216" spans="1:3">
      <c r="A216" t="s">
        <v>110</v>
      </c>
      <c r="B216" s="72" t="s">
        <v>400</v>
      </c>
      <c r="C216" s="70" t="s">
        <v>64</v>
      </c>
    </row>
    <row r="217" spans="1:3">
      <c r="A217" t="s">
        <v>228</v>
      </c>
      <c r="B217" s="72" t="s">
        <v>401</v>
      </c>
      <c r="C217" s="70" t="s">
        <v>78</v>
      </c>
    </row>
    <row r="218" spans="1:3">
      <c r="A218" t="s">
        <v>110</v>
      </c>
      <c r="B218" s="72" t="s">
        <v>88</v>
      </c>
      <c r="C218" s="70" t="s">
        <v>64</v>
      </c>
    </row>
    <row r="219" spans="1:3">
      <c r="A219" t="s">
        <v>228</v>
      </c>
      <c r="B219" s="72" t="s">
        <v>402</v>
      </c>
      <c r="C219" s="70" t="s">
        <v>78</v>
      </c>
    </row>
    <row r="220" spans="1:3">
      <c r="A220" t="s">
        <v>110</v>
      </c>
      <c r="B220" s="72" t="s">
        <v>403</v>
      </c>
      <c r="C220" s="70" t="s">
        <v>78</v>
      </c>
    </row>
    <row r="221" spans="1:3">
      <c r="A221" t="s">
        <v>228</v>
      </c>
      <c r="B221" s="72" t="s">
        <v>404</v>
      </c>
      <c r="C221" s="70" t="s">
        <v>78</v>
      </c>
    </row>
    <row r="222" spans="1:3">
      <c r="A222" t="s">
        <v>110</v>
      </c>
      <c r="B222" s="72" t="s">
        <v>405</v>
      </c>
      <c r="C222" s="70" t="s">
        <v>78</v>
      </c>
    </row>
    <row r="223" spans="1:3">
      <c r="A223" t="s">
        <v>110</v>
      </c>
      <c r="B223" s="72" t="s">
        <v>127</v>
      </c>
      <c r="C223" s="70" t="s">
        <v>78</v>
      </c>
    </row>
    <row r="224" spans="1:3" ht="15" customHeight="1">
      <c r="A224" t="s">
        <v>110</v>
      </c>
      <c r="B224" s="72" t="s">
        <v>406</v>
      </c>
      <c r="C224" s="70" t="s">
        <v>78</v>
      </c>
    </row>
    <row r="225" spans="1:3" ht="15" customHeight="1">
      <c r="A225" t="s">
        <v>110</v>
      </c>
      <c r="B225" s="72" t="s">
        <v>407</v>
      </c>
      <c r="C225" s="70" t="s">
        <v>78</v>
      </c>
    </row>
    <row r="226" spans="1:3" ht="15" customHeight="1">
      <c r="A226" t="s">
        <v>110</v>
      </c>
      <c r="B226" s="72" t="s">
        <v>149</v>
      </c>
      <c r="C226" s="70" t="s">
        <v>64</v>
      </c>
    </row>
    <row r="227" spans="1:3" ht="15" customHeight="1">
      <c r="A227" t="s">
        <v>110</v>
      </c>
      <c r="B227" s="72" t="s">
        <v>79</v>
      </c>
      <c r="C227" s="70" t="s">
        <v>78</v>
      </c>
    </row>
    <row r="228" spans="1:3" ht="15" customHeight="1">
      <c r="A228" t="s">
        <v>110</v>
      </c>
      <c r="B228" s="72" t="s">
        <v>408</v>
      </c>
      <c r="C228" s="70" t="s">
        <v>64</v>
      </c>
    </row>
    <row r="229" spans="1:3" ht="15" customHeight="1">
      <c r="A229" t="s">
        <v>228</v>
      </c>
      <c r="B229" s="72" t="s">
        <v>409</v>
      </c>
      <c r="C229" s="70" t="s">
        <v>64</v>
      </c>
    </row>
    <row r="230" spans="1:3" ht="15" customHeight="1">
      <c r="A230" t="s">
        <v>110</v>
      </c>
      <c r="B230" s="72" t="s">
        <v>410</v>
      </c>
      <c r="C230" s="70" t="s">
        <v>64</v>
      </c>
    </row>
    <row r="231" spans="1:3" ht="15" customHeight="1">
      <c r="A231" t="s">
        <v>110</v>
      </c>
      <c r="B231" s="72" t="s">
        <v>411</v>
      </c>
      <c r="C231" s="70" t="s">
        <v>78</v>
      </c>
    </row>
    <row r="232" spans="1:3" ht="15" customHeight="1">
      <c r="A232" t="s">
        <v>228</v>
      </c>
      <c r="B232" s="72" t="s">
        <v>412</v>
      </c>
      <c r="C232" s="70" t="s">
        <v>78</v>
      </c>
    </row>
    <row r="233" spans="1:3" ht="15" customHeight="1">
      <c r="A233" t="s">
        <v>228</v>
      </c>
      <c r="B233" s="72" t="s">
        <v>413</v>
      </c>
      <c r="C233" s="70" t="s">
        <v>78</v>
      </c>
    </row>
    <row r="234" spans="1:3" ht="26.25">
      <c r="A234" t="s">
        <v>228</v>
      </c>
      <c r="B234" s="72" t="s">
        <v>414</v>
      </c>
      <c r="C234" s="70" t="s">
        <v>78</v>
      </c>
    </row>
    <row r="235" spans="1:3">
      <c r="A235" t="s">
        <v>110</v>
      </c>
      <c r="B235" s="72" t="s">
        <v>415</v>
      </c>
      <c r="C235" s="70" t="s">
        <v>78</v>
      </c>
    </row>
    <row r="236" spans="1:3">
      <c r="A236" t="s">
        <v>110</v>
      </c>
      <c r="B236" s="72" t="s">
        <v>416</v>
      </c>
      <c r="C236" s="70" t="s">
        <v>78</v>
      </c>
    </row>
    <row r="237" spans="1:3">
      <c r="A237" t="s">
        <v>228</v>
      </c>
      <c r="B237" s="72" t="s">
        <v>417</v>
      </c>
      <c r="C237" s="70" t="s">
        <v>64</v>
      </c>
    </row>
    <row r="238" spans="1:3">
      <c r="A238" t="s">
        <v>110</v>
      </c>
      <c r="B238" s="72" t="s">
        <v>418</v>
      </c>
      <c r="C238" s="70" t="s">
        <v>78</v>
      </c>
    </row>
    <row r="239" spans="1:3">
      <c r="A239" t="s">
        <v>110</v>
      </c>
      <c r="B239" s="72" t="s">
        <v>151</v>
      </c>
      <c r="C239" s="70" t="s">
        <v>64</v>
      </c>
    </row>
    <row r="240" spans="1:3">
      <c r="A240" t="s">
        <v>110</v>
      </c>
      <c r="B240" s="72" t="s">
        <v>69</v>
      </c>
      <c r="C240" s="70" t="s">
        <v>64</v>
      </c>
    </row>
    <row r="241" spans="1:3">
      <c r="A241" t="s">
        <v>110</v>
      </c>
      <c r="B241" s="72" t="s">
        <v>65</v>
      </c>
      <c r="C241" s="70" t="s">
        <v>64</v>
      </c>
    </row>
    <row r="242" spans="1:3">
      <c r="A242" t="s">
        <v>228</v>
      </c>
      <c r="B242" s="72" t="s">
        <v>419</v>
      </c>
      <c r="C242" s="70" t="s">
        <v>78</v>
      </c>
    </row>
    <row r="243" spans="1:3">
      <c r="A243" t="s">
        <v>110</v>
      </c>
      <c r="B243" s="72" t="s">
        <v>92</v>
      </c>
      <c r="C243" s="70" t="s">
        <v>64</v>
      </c>
    </row>
    <row r="244" spans="1:3">
      <c r="A244" t="s">
        <v>110</v>
      </c>
      <c r="B244" s="72" t="s">
        <v>95</v>
      </c>
      <c r="C244" s="70" t="s">
        <v>64</v>
      </c>
    </row>
    <row r="245" spans="1:3">
      <c r="A245" t="s">
        <v>110</v>
      </c>
      <c r="B245" s="72" t="s">
        <v>420</v>
      </c>
      <c r="C245" s="70" t="s">
        <v>64</v>
      </c>
    </row>
    <row r="246" spans="1:3">
      <c r="A246" t="s">
        <v>110</v>
      </c>
      <c r="B246" s="72" t="s">
        <v>421</v>
      </c>
      <c r="C246" s="70" t="s">
        <v>64</v>
      </c>
    </row>
    <row r="247" spans="1:3">
      <c r="A247" t="s">
        <v>110</v>
      </c>
      <c r="B247" s="72" t="s">
        <v>422</v>
      </c>
      <c r="C247" s="70" t="s">
        <v>64</v>
      </c>
    </row>
    <row r="248" spans="1:3">
      <c r="A248" t="s">
        <v>228</v>
      </c>
      <c r="B248" s="72" t="s">
        <v>423</v>
      </c>
      <c r="C248" s="70" t="s">
        <v>78</v>
      </c>
    </row>
    <row r="249" spans="1:3">
      <c r="A249" t="s">
        <v>110</v>
      </c>
      <c r="B249" s="72" t="s">
        <v>90</v>
      </c>
      <c r="C249" s="70" t="s">
        <v>78</v>
      </c>
    </row>
    <row r="250" spans="1:3">
      <c r="A250" t="s">
        <v>110</v>
      </c>
      <c r="B250" s="72" t="s">
        <v>424</v>
      </c>
      <c r="C250" s="70" t="s">
        <v>64</v>
      </c>
    </row>
    <row r="251" spans="1:3">
      <c r="A251" t="s">
        <v>110</v>
      </c>
      <c r="B251" s="72" t="s">
        <v>425</v>
      </c>
      <c r="C251" s="70" t="s">
        <v>64</v>
      </c>
    </row>
    <row r="252" spans="1:3">
      <c r="A252" t="s">
        <v>110</v>
      </c>
      <c r="B252" s="72" t="s">
        <v>217</v>
      </c>
      <c r="C252" s="70" t="s">
        <v>64</v>
      </c>
    </row>
    <row r="253" spans="1:3">
      <c r="A253" t="s">
        <v>110</v>
      </c>
      <c r="B253" s="72" t="s">
        <v>426</v>
      </c>
      <c r="C253" s="70" t="s">
        <v>64</v>
      </c>
    </row>
    <row r="254" spans="1:3">
      <c r="A254" t="s">
        <v>228</v>
      </c>
      <c r="B254" s="74" t="s">
        <v>427</v>
      </c>
      <c r="C254" s="70" t="s">
        <v>78</v>
      </c>
    </row>
    <row r="255" spans="1:3">
      <c r="A255" t="s">
        <v>110</v>
      </c>
      <c r="B255" s="72" t="s">
        <v>150</v>
      </c>
      <c r="C255" s="70" t="s">
        <v>64</v>
      </c>
    </row>
    <row r="256" spans="1:3">
      <c r="A256" t="s">
        <v>110</v>
      </c>
      <c r="B256" s="72" t="s">
        <v>77</v>
      </c>
      <c r="C256" s="70" t="s">
        <v>64</v>
      </c>
    </row>
    <row r="257" spans="1:3">
      <c r="A257" t="s">
        <v>228</v>
      </c>
      <c r="B257" s="72" t="s">
        <v>428</v>
      </c>
      <c r="C257" s="70" t="s">
        <v>64</v>
      </c>
    </row>
    <row r="258" spans="1:3">
      <c r="A258" t="s">
        <v>228</v>
      </c>
      <c r="B258" s="72" t="s">
        <v>162</v>
      </c>
      <c r="C258" s="70" t="s">
        <v>64</v>
      </c>
    </row>
    <row r="259" spans="1:3">
      <c r="A259" t="s">
        <v>110</v>
      </c>
      <c r="B259" s="72" t="s">
        <v>429</v>
      </c>
      <c r="C259" s="70" t="s">
        <v>78</v>
      </c>
    </row>
    <row r="260" spans="1:3">
      <c r="A260" t="s">
        <v>228</v>
      </c>
      <c r="B260" s="72" t="s">
        <v>430</v>
      </c>
      <c r="C260" s="70" t="s">
        <v>64</v>
      </c>
    </row>
    <row r="261" spans="1:3">
      <c r="A261" t="s">
        <v>228</v>
      </c>
      <c r="B261" s="72" t="s">
        <v>431</v>
      </c>
      <c r="C261" s="70" t="s">
        <v>78</v>
      </c>
    </row>
    <row r="262" spans="1:3">
      <c r="A262" t="s">
        <v>228</v>
      </c>
      <c r="B262" s="72" t="s">
        <v>432</v>
      </c>
      <c r="C262" s="70" t="s">
        <v>78</v>
      </c>
    </row>
    <row r="263" spans="1:3" ht="15" customHeight="1">
      <c r="A263" t="s">
        <v>228</v>
      </c>
      <c r="B263" s="72" t="s">
        <v>433</v>
      </c>
      <c r="C263" s="70" t="s">
        <v>78</v>
      </c>
    </row>
    <row r="264" spans="1:3" ht="15" customHeight="1">
      <c r="A264" t="s">
        <v>228</v>
      </c>
      <c r="B264" s="72" t="s">
        <v>434</v>
      </c>
      <c r="C264" s="70" t="s">
        <v>78</v>
      </c>
    </row>
    <row r="265" spans="1:3" ht="15" customHeight="1">
      <c r="A265" t="s">
        <v>110</v>
      </c>
      <c r="B265" s="72" t="s">
        <v>435</v>
      </c>
      <c r="C265" s="70" t="s">
        <v>64</v>
      </c>
    </row>
    <row r="266" spans="1:3">
      <c r="A266" t="s">
        <v>228</v>
      </c>
      <c r="B266" s="74" t="s">
        <v>436</v>
      </c>
      <c r="C266" s="70" t="s">
        <v>64</v>
      </c>
    </row>
    <row r="267" spans="1:3">
      <c r="A267" t="s">
        <v>228</v>
      </c>
      <c r="B267" s="72" t="s">
        <v>437</v>
      </c>
      <c r="C267" s="70" t="s">
        <v>64</v>
      </c>
    </row>
    <row r="268" spans="1:3">
      <c r="A268" t="s">
        <v>228</v>
      </c>
      <c r="B268" s="74" t="s">
        <v>438</v>
      </c>
      <c r="C268" s="70" t="s">
        <v>64</v>
      </c>
    </row>
    <row r="269" spans="1:3">
      <c r="A269" t="s">
        <v>110</v>
      </c>
      <c r="B269" s="72" t="s">
        <v>439</v>
      </c>
      <c r="C269" s="70" t="s">
        <v>64</v>
      </c>
    </row>
    <row r="270" spans="1:3">
      <c r="A270" t="s">
        <v>110</v>
      </c>
      <c r="B270" s="72" t="s">
        <v>440</v>
      </c>
      <c r="C270" s="70" t="s">
        <v>64</v>
      </c>
    </row>
    <row r="271" spans="1:3">
      <c r="A271" t="s">
        <v>110</v>
      </c>
      <c r="B271" s="72" t="s">
        <v>441</v>
      </c>
      <c r="C271" s="70" t="s">
        <v>78</v>
      </c>
    </row>
    <row r="272" spans="1:3">
      <c r="A272" t="s">
        <v>110</v>
      </c>
      <c r="B272" s="72" t="s">
        <v>442</v>
      </c>
      <c r="C272" s="70" t="s">
        <v>78</v>
      </c>
    </row>
    <row r="273" spans="1:3">
      <c r="A273" t="s">
        <v>228</v>
      </c>
      <c r="B273" s="72" t="s">
        <v>165</v>
      </c>
      <c r="C273" s="70" t="s">
        <v>64</v>
      </c>
    </row>
    <row r="274" spans="1:3">
      <c r="A274" t="s">
        <v>228</v>
      </c>
      <c r="B274" s="72" t="s">
        <v>443</v>
      </c>
      <c r="C274" s="70" t="s">
        <v>78</v>
      </c>
    </row>
    <row r="275" spans="1:3">
      <c r="A275" t="s">
        <v>228</v>
      </c>
      <c r="B275" s="72" t="s">
        <v>444</v>
      </c>
      <c r="C275" s="70" t="s">
        <v>64</v>
      </c>
    </row>
    <row r="276" spans="1:3">
      <c r="A276" t="s">
        <v>228</v>
      </c>
      <c r="B276" s="72" t="s">
        <v>445</v>
      </c>
      <c r="C276" s="70" t="s">
        <v>64</v>
      </c>
    </row>
    <row r="277" spans="1:3">
      <c r="A277" t="s">
        <v>110</v>
      </c>
      <c r="B277" s="72" t="s">
        <v>446</v>
      </c>
      <c r="C277" s="70" t="s">
        <v>64</v>
      </c>
    </row>
    <row r="278" spans="1:3">
      <c r="A278" t="s">
        <v>110</v>
      </c>
      <c r="B278" s="72" t="s">
        <v>447</v>
      </c>
      <c r="C278" s="70" t="s">
        <v>78</v>
      </c>
    </row>
    <row r="279" spans="1:3">
      <c r="A279" t="s">
        <v>110</v>
      </c>
      <c r="B279" s="72" t="s">
        <v>448</v>
      </c>
      <c r="C279" s="70" t="s">
        <v>64</v>
      </c>
    </row>
    <row r="280" spans="1:3">
      <c r="A280" t="s">
        <v>110</v>
      </c>
      <c r="B280" s="72" t="s">
        <v>449</v>
      </c>
      <c r="C280" s="70" t="s">
        <v>78</v>
      </c>
    </row>
    <row r="281" spans="1:3">
      <c r="A281" t="s">
        <v>110</v>
      </c>
      <c r="B281" s="72" t="s">
        <v>450</v>
      </c>
      <c r="C281" s="70" t="s">
        <v>78</v>
      </c>
    </row>
    <row r="282" spans="1:3">
      <c r="A282" t="s">
        <v>228</v>
      </c>
      <c r="B282" s="72" t="s">
        <v>451</v>
      </c>
      <c r="C282" s="70" t="s">
        <v>78</v>
      </c>
    </row>
    <row r="283" spans="1:3">
      <c r="A283" t="s">
        <v>228</v>
      </c>
      <c r="B283" s="72" t="s">
        <v>452</v>
      </c>
      <c r="C283" s="70" t="s">
        <v>64</v>
      </c>
    </row>
    <row r="284" spans="1:3">
      <c r="A284" t="s">
        <v>228</v>
      </c>
      <c r="B284" s="72" t="s">
        <v>453</v>
      </c>
      <c r="C284" s="70" t="s">
        <v>64</v>
      </c>
    </row>
    <row r="285" spans="1:3">
      <c r="A285" t="s">
        <v>228</v>
      </c>
      <c r="B285" s="72" t="s">
        <v>454</v>
      </c>
      <c r="C285" s="70" t="s">
        <v>78</v>
      </c>
    </row>
    <row r="286" spans="1:3">
      <c r="A286" t="s">
        <v>110</v>
      </c>
      <c r="B286" s="72" t="s">
        <v>163</v>
      </c>
      <c r="C286" s="70" t="s">
        <v>78</v>
      </c>
    </row>
    <row r="287" spans="1:3">
      <c r="A287" t="s">
        <v>228</v>
      </c>
      <c r="B287" s="72" t="s">
        <v>455</v>
      </c>
      <c r="C287" s="70" t="s">
        <v>78</v>
      </c>
    </row>
    <row r="288" spans="1:3">
      <c r="A288" t="s">
        <v>110</v>
      </c>
      <c r="B288" s="72" t="s">
        <v>456</v>
      </c>
      <c r="C288" s="70" t="s">
        <v>78</v>
      </c>
    </row>
    <row r="289" spans="1:3">
      <c r="A289" t="s">
        <v>228</v>
      </c>
      <c r="B289" s="72" t="s">
        <v>457</v>
      </c>
      <c r="C289" s="70" t="s">
        <v>64</v>
      </c>
    </row>
    <row r="290" spans="1:3">
      <c r="A290" t="s">
        <v>110</v>
      </c>
      <c r="B290" s="72" t="s">
        <v>458</v>
      </c>
      <c r="C290" s="70" t="s">
        <v>64</v>
      </c>
    </row>
    <row r="291" spans="1:3">
      <c r="A291" t="s">
        <v>110</v>
      </c>
      <c r="B291" s="72" t="s">
        <v>67</v>
      </c>
      <c r="C291" s="70" t="s">
        <v>64</v>
      </c>
    </row>
    <row r="292" spans="1:3">
      <c r="A292" t="s">
        <v>110</v>
      </c>
      <c r="B292" s="72" t="s">
        <v>68</v>
      </c>
      <c r="C292" s="70" t="s">
        <v>64</v>
      </c>
    </row>
    <row r="293" spans="1:3">
      <c r="A293" t="s">
        <v>110</v>
      </c>
      <c r="B293" s="72" t="s">
        <v>459</v>
      </c>
      <c r="C293" s="70" t="s">
        <v>64</v>
      </c>
    </row>
    <row r="294" spans="1:3">
      <c r="A294" t="s">
        <v>228</v>
      </c>
      <c r="B294" s="72" t="s">
        <v>460</v>
      </c>
      <c r="C294" s="70" t="s">
        <v>78</v>
      </c>
    </row>
    <row r="295" spans="1:3">
      <c r="A295" t="s">
        <v>110</v>
      </c>
      <c r="B295" s="72" t="s">
        <v>461</v>
      </c>
      <c r="C295" s="70" t="s">
        <v>78</v>
      </c>
    </row>
    <row r="296" spans="1:3">
      <c r="A296" t="s">
        <v>110</v>
      </c>
      <c r="B296" s="72" t="s">
        <v>462</v>
      </c>
      <c r="C296" s="70" t="s">
        <v>78</v>
      </c>
    </row>
    <row r="297" spans="1:3">
      <c r="A297" t="s">
        <v>228</v>
      </c>
      <c r="B297" s="72" t="s">
        <v>463</v>
      </c>
      <c r="C297" s="70" t="s">
        <v>78</v>
      </c>
    </row>
    <row r="298" spans="1:3">
      <c r="A298" t="s">
        <v>228</v>
      </c>
      <c r="B298" s="72" t="s">
        <v>464</v>
      </c>
      <c r="C298" s="70" t="s">
        <v>78</v>
      </c>
    </row>
    <row r="299" spans="1:3">
      <c r="A299" t="s">
        <v>110</v>
      </c>
      <c r="B299" s="72" t="s">
        <v>465</v>
      </c>
      <c r="C299" s="70" t="s">
        <v>78</v>
      </c>
    </row>
    <row r="300" spans="1:3" ht="15" customHeight="1">
      <c r="A300" t="s">
        <v>228</v>
      </c>
      <c r="B300" s="72" t="s">
        <v>466</v>
      </c>
      <c r="C300" s="70" t="s">
        <v>78</v>
      </c>
    </row>
    <row r="301" spans="1:3" ht="15" customHeight="1">
      <c r="A301" t="s">
        <v>110</v>
      </c>
      <c r="B301" s="72" t="s">
        <v>467</v>
      </c>
      <c r="C301" s="70" t="s">
        <v>78</v>
      </c>
    </row>
    <row r="302" spans="1:3">
      <c r="A302" t="s">
        <v>228</v>
      </c>
      <c r="B302" s="72" t="s">
        <v>468</v>
      </c>
      <c r="C302" s="70" t="s">
        <v>64</v>
      </c>
    </row>
    <row r="303" spans="1:3">
      <c r="A303" t="s">
        <v>228</v>
      </c>
      <c r="B303" s="72" t="s">
        <v>469</v>
      </c>
      <c r="C303" s="70" t="s">
        <v>64</v>
      </c>
    </row>
    <row r="304" spans="1:3">
      <c r="A304" t="s">
        <v>228</v>
      </c>
      <c r="B304" s="72" t="s">
        <v>470</v>
      </c>
      <c r="C304" s="70" t="s">
        <v>78</v>
      </c>
    </row>
    <row r="305" spans="1:3">
      <c r="A305" t="s">
        <v>110</v>
      </c>
      <c r="B305" s="72" t="s">
        <v>160</v>
      </c>
      <c r="C305" s="70" t="s">
        <v>78</v>
      </c>
    </row>
    <row r="306" spans="1:3">
      <c r="A306" t="s">
        <v>110</v>
      </c>
      <c r="B306" s="72" t="s">
        <v>471</v>
      </c>
      <c r="C306" s="70" t="s">
        <v>78</v>
      </c>
    </row>
    <row r="307" spans="1:3">
      <c r="A307" t="s">
        <v>110</v>
      </c>
      <c r="B307" s="72" t="s">
        <v>166</v>
      </c>
      <c r="C307" s="70" t="s">
        <v>78</v>
      </c>
    </row>
    <row r="308" spans="1:3">
      <c r="A308" t="s">
        <v>110</v>
      </c>
      <c r="B308" s="72" t="s">
        <v>472</v>
      </c>
      <c r="C308" s="70" t="s">
        <v>78</v>
      </c>
    </row>
    <row r="309" spans="1:3">
      <c r="A309" t="s">
        <v>110</v>
      </c>
      <c r="B309" s="72" t="s">
        <v>473</v>
      </c>
      <c r="C309" s="70" t="s">
        <v>78</v>
      </c>
    </row>
    <row r="310" spans="1:3">
      <c r="A310" t="s">
        <v>110</v>
      </c>
      <c r="B310" s="72" t="s">
        <v>474</v>
      </c>
      <c r="C310" s="70" t="s">
        <v>78</v>
      </c>
    </row>
    <row r="311" spans="1:3">
      <c r="A311" t="s">
        <v>110</v>
      </c>
      <c r="B311" s="72" t="s">
        <v>81</v>
      </c>
      <c r="C311" s="70" t="s">
        <v>78</v>
      </c>
    </row>
    <row r="312" spans="1:3" ht="26.25">
      <c r="A312" t="s">
        <v>110</v>
      </c>
      <c r="B312" s="72" t="s">
        <v>475</v>
      </c>
      <c r="C312" s="70" t="s">
        <v>64</v>
      </c>
    </row>
    <row r="313" spans="1:3">
      <c r="A313" t="s">
        <v>228</v>
      </c>
      <c r="B313" s="72" t="s">
        <v>476</v>
      </c>
      <c r="C313" s="70" t="s">
        <v>78</v>
      </c>
    </row>
    <row r="314" spans="1:3">
      <c r="A314" t="s">
        <v>228</v>
      </c>
      <c r="B314" s="72" t="s">
        <v>477</v>
      </c>
      <c r="C314" s="70" t="s">
        <v>78</v>
      </c>
    </row>
    <row r="315" spans="1:3">
      <c r="A315" t="s">
        <v>110</v>
      </c>
      <c r="B315" s="72" t="s">
        <v>102</v>
      </c>
      <c r="C315" s="70" t="s">
        <v>64</v>
      </c>
    </row>
    <row r="316" spans="1:3">
      <c r="A316" t="s">
        <v>110</v>
      </c>
      <c r="B316" s="72" t="s">
        <v>158</v>
      </c>
      <c r="C316" s="70" t="s">
        <v>78</v>
      </c>
    </row>
    <row r="317" spans="1:3" ht="26.25">
      <c r="A317" t="s">
        <v>228</v>
      </c>
      <c r="B317" s="72" t="s">
        <v>478</v>
      </c>
      <c r="C317" s="70" t="s">
        <v>78</v>
      </c>
    </row>
    <row r="318" spans="1:3" ht="15" customHeight="1">
      <c r="A318" t="s">
        <v>228</v>
      </c>
      <c r="B318" s="72" t="s">
        <v>479</v>
      </c>
      <c r="C318" s="70" t="s">
        <v>78</v>
      </c>
    </row>
    <row r="319" spans="1:3" ht="15" customHeight="1">
      <c r="A319" t="s">
        <v>110</v>
      </c>
      <c r="B319" s="72" t="s">
        <v>480</v>
      </c>
      <c r="C319" s="70" t="s">
        <v>78</v>
      </c>
    </row>
    <row r="320" spans="1:3" ht="15" customHeight="1">
      <c r="A320" t="s">
        <v>110</v>
      </c>
      <c r="B320" s="72" t="s">
        <v>129</v>
      </c>
      <c r="C320" s="70" t="s">
        <v>78</v>
      </c>
    </row>
    <row r="321" spans="1:3" ht="15" customHeight="1">
      <c r="A321" t="s">
        <v>228</v>
      </c>
      <c r="B321" s="72" t="s">
        <v>481</v>
      </c>
      <c r="C321" s="70" t="s">
        <v>64</v>
      </c>
    </row>
    <row r="322" spans="1:3" ht="15" customHeight="1">
      <c r="A322" t="s">
        <v>110</v>
      </c>
      <c r="B322" s="72" t="s">
        <v>482</v>
      </c>
      <c r="C322" s="70" t="s">
        <v>78</v>
      </c>
    </row>
    <row r="323" spans="1:3" ht="15" customHeight="1">
      <c r="A323" t="s">
        <v>110</v>
      </c>
      <c r="B323" s="72" t="s">
        <v>483</v>
      </c>
      <c r="C323" s="70" t="s">
        <v>78</v>
      </c>
    </row>
    <row r="324" spans="1:3" ht="15" customHeight="1">
      <c r="A324" t="s">
        <v>110</v>
      </c>
      <c r="B324" s="72" t="s">
        <v>484</v>
      </c>
      <c r="C324" s="70" t="s">
        <v>78</v>
      </c>
    </row>
    <row r="325" spans="1:3" ht="15" customHeight="1">
      <c r="A325" t="s">
        <v>228</v>
      </c>
      <c r="B325" s="72" t="s">
        <v>485</v>
      </c>
      <c r="C325" s="70" t="s">
        <v>78</v>
      </c>
    </row>
    <row r="326" spans="1:3" ht="15" customHeight="1">
      <c r="A326" t="s">
        <v>110</v>
      </c>
      <c r="B326" s="72" t="s">
        <v>486</v>
      </c>
      <c r="C326" s="70" t="s">
        <v>78</v>
      </c>
    </row>
    <row r="327" spans="1:3">
      <c r="A327" t="s">
        <v>228</v>
      </c>
      <c r="B327" s="72" t="s">
        <v>487</v>
      </c>
      <c r="C327" s="70" t="s">
        <v>78</v>
      </c>
    </row>
    <row r="328" spans="1:3">
      <c r="A328" t="s">
        <v>110</v>
      </c>
      <c r="B328" s="72" t="s">
        <v>488</v>
      </c>
      <c r="C328" s="70" t="s">
        <v>64</v>
      </c>
    </row>
    <row r="329" spans="1:3" ht="26.25">
      <c r="A329" t="s">
        <v>110</v>
      </c>
      <c r="B329" s="72" t="s">
        <v>489</v>
      </c>
      <c r="C329" s="70" t="s">
        <v>64</v>
      </c>
    </row>
    <row r="330" spans="1:3">
      <c r="A330" t="s">
        <v>110</v>
      </c>
      <c r="B330" s="72" t="s">
        <v>103</v>
      </c>
      <c r="C330" s="70" t="s">
        <v>78</v>
      </c>
    </row>
    <row r="331" spans="1:3">
      <c r="A331" t="s">
        <v>110</v>
      </c>
      <c r="B331" s="72" t="s">
        <v>490</v>
      </c>
      <c r="C331" s="70" t="s">
        <v>64</v>
      </c>
    </row>
    <row r="332" spans="1:3">
      <c r="A332" t="s">
        <v>228</v>
      </c>
      <c r="B332" s="72" t="s">
        <v>491</v>
      </c>
      <c r="C332" s="70" t="s">
        <v>64</v>
      </c>
    </row>
    <row r="333" spans="1:3">
      <c r="A333" t="s">
        <v>110</v>
      </c>
      <c r="B333" s="72" t="s">
        <v>492</v>
      </c>
      <c r="C333" s="70" t="s">
        <v>64</v>
      </c>
    </row>
    <row r="334" spans="1:3">
      <c r="A334" t="s">
        <v>110</v>
      </c>
      <c r="B334" s="72" t="s">
        <v>493</v>
      </c>
      <c r="C334" s="70" t="s">
        <v>64</v>
      </c>
    </row>
    <row r="335" spans="1:3">
      <c r="A335" t="s">
        <v>110</v>
      </c>
      <c r="B335" s="72" t="s">
        <v>494</v>
      </c>
      <c r="C335" s="70" t="s">
        <v>64</v>
      </c>
    </row>
    <row r="336" spans="1:3" ht="26.25">
      <c r="A336" t="s">
        <v>110</v>
      </c>
      <c r="B336" s="72" t="s">
        <v>495</v>
      </c>
      <c r="C336" s="70" t="s">
        <v>64</v>
      </c>
    </row>
    <row r="337" spans="1:3">
      <c r="A337" t="s">
        <v>110</v>
      </c>
      <c r="B337" s="72" t="s">
        <v>496</v>
      </c>
      <c r="C337" s="70" t="s">
        <v>64</v>
      </c>
    </row>
    <row r="338" spans="1:3">
      <c r="A338" t="s">
        <v>110</v>
      </c>
      <c r="B338" s="72" t="s">
        <v>497</v>
      </c>
      <c r="C338" s="70" t="s">
        <v>64</v>
      </c>
    </row>
    <row r="339" spans="1:3">
      <c r="A339" t="s">
        <v>228</v>
      </c>
      <c r="B339" s="72" t="s">
        <v>498</v>
      </c>
      <c r="C339" s="70" t="s">
        <v>64</v>
      </c>
    </row>
    <row r="340" spans="1:3">
      <c r="A340" t="s">
        <v>110</v>
      </c>
      <c r="B340" s="72" t="s">
        <v>152</v>
      </c>
      <c r="C340" s="70" t="s">
        <v>64</v>
      </c>
    </row>
    <row r="341" spans="1:3" ht="26.25">
      <c r="A341" t="s">
        <v>110</v>
      </c>
      <c r="B341" s="72" t="s">
        <v>499</v>
      </c>
      <c r="C341" s="70" t="s">
        <v>64</v>
      </c>
    </row>
    <row r="342" spans="1:3" ht="26.25">
      <c r="A342" t="s">
        <v>228</v>
      </c>
      <c r="B342" s="72" t="s">
        <v>500</v>
      </c>
      <c r="C342" s="70" t="s">
        <v>78</v>
      </c>
    </row>
    <row r="343" spans="1:3">
      <c r="A343" t="s">
        <v>110</v>
      </c>
      <c r="B343" s="72" t="s">
        <v>501</v>
      </c>
      <c r="C343" s="70" t="s">
        <v>64</v>
      </c>
    </row>
    <row r="344" spans="1:3" ht="25.5">
      <c r="A344" t="s">
        <v>228</v>
      </c>
      <c r="B344" s="74" t="s">
        <v>502</v>
      </c>
      <c r="C344" s="70" t="s">
        <v>64</v>
      </c>
    </row>
    <row r="345" spans="1:3">
      <c r="A345" t="s">
        <v>110</v>
      </c>
      <c r="B345" s="72" t="s">
        <v>154</v>
      </c>
      <c r="C345" s="70" t="s">
        <v>78</v>
      </c>
    </row>
    <row r="346" spans="1:3">
      <c r="A346" t="s">
        <v>110</v>
      </c>
      <c r="B346" s="72" t="s">
        <v>503</v>
      </c>
      <c r="C346" s="70" t="s">
        <v>78</v>
      </c>
    </row>
    <row r="347" spans="1:3" ht="15" customHeight="1">
      <c r="A347" t="s">
        <v>228</v>
      </c>
      <c r="B347" s="72" t="s">
        <v>504</v>
      </c>
      <c r="C347" s="70" t="s">
        <v>78</v>
      </c>
    </row>
    <row r="348" spans="1:3">
      <c r="A348" t="s">
        <v>228</v>
      </c>
      <c r="B348" s="72" t="s">
        <v>505</v>
      </c>
      <c r="C348" s="70" t="s">
        <v>78</v>
      </c>
    </row>
    <row r="349" spans="1:3">
      <c r="A349" t="s">
        <v>228</v>
      </c>
      <c r="B349" s="72" t="s">
        <v>506</v>
      </c>
      <c r="C349" s="70" t="s">
        <v>78</v>
      </c>
    </row>
    <row r="350" spans="1:3">
      <c r="A350" t="s">
        <v>228</v>
      </c>
      <c r="B350" s="72" t="s">
        <v>507</v>
      </c>
      <c r="C350" s="70" t="s">
        <v>78</v>
      </c>
    </row>
    <row r="351" spans="1:3">
      <c r="A351" t="s">
        <v>110</v>
      </c>
      <c r="B351" s="72" t="s">
        <v>508</v>
      </c>
      <c r="C351" s="70" t="s">
        <v>78</v>
      </c>
    </row>
    <row r="352" spans="1:3">
      <c r="A352" t="s">
        <v>228</v>
      </c>
      <c r="B352" s="72" t="s">
        <v>509</v>
      </c>
      <c r="C352" s="70" t="s">
        <v>78</v>
      </c>
    </row>
    <row r="353" spans="1:3">
      <c r="A353" t="s">
        <v>110</v>
      </c>
      <c r="B353" s="72" t="s">
        <v>510</v>
      </c>
      <c r="C353" s="70" t="s">
        <v>78</v>
      </c>
    </row>
    <row r="354" spans="1:3">
      <c r="A354" t="s">
        <v>110</v>
      </c>
      <c r="B354" s="72" t="s">
        <v>101</v>
      </c>
      <c r="C354" s="70" t="s">
        <v>78</v>
      </c>
    </row>
    <row r="355" spans="1:3">
      <c r="A355" t="s">
        <v>228</v>
      </c>
      <c r="B355" s="77" t="s">
        <v>511</v>
      </c>
      <c r="C355" s="70" t="s">
        <v>78</v>
      </c>
    </row>
    <row r="356" spans="1:3">
      <c r="A356" t="s">
        <v>110</v>
      </c>
      <c r="B356" s="72" t="s">
        <v>512</v>
      </c>
      <c r="C356" s="70" t="s">
        <v>78</v>
      </c>
    </row>
    <row r="357" spans="1:3">
      <c r="A357" t="s">
        <v>110</v>
      </c>
      <c r="B357" s="72" t="s">
        <v>123</v>
      </c>
      <c r="C357" s="70" t="s">
        <v>78</v>
      </c>
    </row>
    <row r="358" spans="1:3">
      <c r="A358" t="s">
        <v>110</v>
      </c>
      <c r="B358" s="72" t="s">
        <v>128</v>
      </c>
      <c r="C358" s="70" t="s">
        <v>78</v>
      </c>
    </row>
    <row r="359" spans="1:3">
      <c r="A359" t="s">
        <v>228</v>
      </c>
      <c r="B359" s="72" t="s">
        <v>513</v>
      </c>
      <c r="C359" s="70" t="s">
        <v>64</v>
      </c>
    </row>
    <row r="360" spans="1:3">
      <c r="A360" t="s">
        <v>228</v>
      </c>
      <c r="B360" s="72" t="s">
        <v>514</v>
      </c>
      <c r="C360" s="70" t="s">
        <v>64</v>
      </c>
    </row>
    <row r="361" spans="1:3">
      <c r="A361" t="s">
        <v>228</v>
      </c>
      <c r="B361" s="72" t="s">
        <v>515</v>
      </c>
      <c r="C361" s="70" t="s">
        <v>78</v>
      </c>
    </row>
    <row r="362" spans="1:3">
      <c r="A362" t="s">
        <v>228</v>
      </c>
      <c r="B362" s="72" t="s">
        <v>516</v>
      </c>
      <c r="C362" s="70" t="s">
        <v>78</v>
      </c>
    </row>
    <row r="363" spans="1:3">
      <c r="A363" t="s">
        <v>228</v>
      </c>
      <c r="B363" s="72" t="s">
        <v>517</v>
      </c>
      <c r="C363" s="70" t="s">
        <v>78</v>
      </c>
    </row>
    <row r="364" spans="1:3">
      <c r="A364" t="s">
        <v>228</v>
      </c>
      <c r="B364" s="72" t="s">
        <v>518</v>
      </c>
      <c r="C364" s="70" t="s">
        <v>78</v>
      </c>
    </row>
    <row r="365" spans="1:3">
      <c r="A365" t="s">
        <v>110</v>
      </c>
      <c r="B365" s="72" t="s">
        <v>519</v>
      </c>
      <c r="C365" s="70" t="s">
        <v>64</v>
      </c>
    </row>
    <row r="366" spans="1:3">
      <c r="A366" t="s">
        <v>110</v>
      </c>
      <c r="B366" s="72" t="s">
        <v>87</v>
      </c>
      <c r="C366" s="70" t="s">
        <v>64</v>
      </c>
    </row>
    <row r="367" spans="1:3">
      <c r="A367" t="s">
        <v>228</v>
      </c>
      <c r="B367" s="72" t="s">
        <v>520</v>
      </c>
      <c r="C367" s="70" t="s">
        <v>64</v>
      </c>
    </row>
    <row r="368" spans="1:3">
      <c r="A368" t="s">
        <v>228</v>
      </c>
      <c r="B368" s="72" t="s">
        <v>521</v>
      </c>
      <c r="C368" s="70" t="s">
        <v>64</v>
      </c>
    </row>
    <row r="369" spans="1:3">
      <c r="A369" t="s">
        <v>228</v>
      </c>
      <c r="B369" s="72" t="s">
        <v>522</v>
      </c>
      <c r="C369" s="70" t="s">
        <v>64</v>
      </c>
    </row>
    <row r="370" spans="1:3">
      <c r="A370" t="s">
        <v>110</v>
      </c>
      <c r="B370" s="72" t="s">
        <v>523</v>
      </c>
      <c r="C370" s="70" t="s">
        <v>78</v>
      </c>
    </row>
    <row r="371" spans="1:3">
      <c r="A371" t="s">
        <v>110</v>
      </c>
      <c r="B371" s="72" t="s">
        <v>524</v>
      </c>
      <c r="C371" s="70" t="s">
        <v>78</v>
      </c>
    </row>
    <row r="372" spans="1:3">
      <c r="A372" t="s">
        <v>228</v>
      </c>
      <c r="B372" s="72" t="s">
        <v>525</v>
      </c>
      <c r="C372" s="70" t="s">
        <v>64</v>
      </c>
    </row>
    <row r="373" spans="1:3">
      <c r="A373" t="s">
        <v>110</v>
      </c>
      <c r="B373" s="72" t="s">
        <v>131</v>
      </c>
      <c r="C373" s="70" t="s">
        <v>78</v>
      </c>
    </row>
    <row r="374" spans="1:3">
      <c r="A374" t="s">
        <v>110</v>
      </c>
      <c r="B374" s="72" t="s">
        <v>526</v>
      </c>
      <c r="C374" s="70" t="s">
        <v>78</v>
      </c>
    </row>
    <row r="375" spans="1:3">
      <c r="A375" t="s">
        <v>110</v>
      </c>
      <c r="B375" s="72" t="s">
        <v>527</v>
      </c>
      <c r="C375" s="70" t="s">
        <v>78</v>
      </c>
    </row>
    <row r="376" spans="1:3">
      <c r="A376" t="s">
        <v>110</v>
      </c>
      <c r="B376" s="72" t="s">
        <v>528</v>
      </c>
      <c r="C376" s="70" t="s">
        <v>78</v>
      </c>
    </row>
    <row r="377" spans="1:3">
      <c r="A377" t="s">
        <v>228</v>
      </c>
      <c r="B377" s="72" t="s">
        <v>529</v>
      </c>
      <c r="C377" s="70" t="s">
        <v>78</v>
      </c>
    </row>
    <row r="378" spans="1:3">
      <c r="A378" t="s">
        <v>110</v>
      </c>
      <c r="B378" s="72" t="s">
        <v>530</v>
      </c>
      <c r="C378" s="70" t="s">
        <v>64</v>
      </c>
    </row>
    <row r="379" spans="1:3">
      <c r="A379" t="s">
        <v>110</v>
      </c>
      <c r="B379" s="72" t="s">
        <v>531</v>
      </c>
      <c r="C379" s="70" t="s">
        <v>78</v>
      </c>
    </row>
    <row r="380" spans="1:3">
      <c r="A380" t="s">
        <v>110</v>
      </c>
      <c r="B380" s="72" t="s">
        <v>532</v>
      </c>
      <c r="C380" s="70" t="s">
        <v>78</v>
      </c>
    </row>
    <row r="381" spans="1:3">
      <c r="A381" t="s">
        <v>110</v>
      </c>
      <c r="B381" s="72" t="s">
        <v>533</v>
      </c>
      <c r="C381" s="70" t="s">
        <v>78</v>
      </c>
    </row>
    <row r="382" spans="1:3">
      <c r="A382" t="s">
        <v>110</v>
      </c>
      <c r="B382" s="72" t="s">
        <v>534</v>
      </c>
      <c r="C382" s="70" t="s">
        <v>78</v>
      </c>
    </row>
    <row r="383" spans="1:3">
      <c r="A383" t="s">
        <v>228</v>
      </c>
      <c r="B383" s="72" t="s">
        <v>535</v>
      </c>
      <c r="C383" s="70" t="s">
        <v>78</v>
      </c>
    </row>
    <row r="384" spans="1:3">
      <c r="A384" t="s">
        <v>110</v>
      </c>
      <c r="B384" s="72" t="s">
        <v>98</v>
      </c>
      <c r="C384" s="70" t="s">
        <v>78</v>
      </c>
    </row>
    <row r="385" spans="1:3">
      <c r="A385" t="s">
        <v>110</v>
      </c>
      <c r="B385" s="72" t="s">
        <v>80</v>
      </c>
      <c r="C385" s="70" t="s">
        <v>78</v>
      </c>
    </row>
    <row r="386" spans="1:3">
      <c r="A386" t="s">
        <v>228</v>
      </c>
      <c r="B386" s="72" t="s">
        <v>536</v>
      </c>
      <c r="C386" s="70" t="s">
        <v>78</v>
      </c>
    </row>
    <row r="387" spans="1:3">
      <c r="A387" t="s">
        <v>228</v>
      </c>
      <c r="B387" s="72" t="s">
        <v>537</v>
      </c>
      <c r="C387" s="70" t="s">
        <v>78</v>
      </c>
    </row>
    <row r="388" spans="1:3">
      <c r="A388" t="s">
        <v>110</v>
      </c>
      <c r="B388" s="72" t="s">
        <v>538</v>
      </c>
      <c r="C388" s="70" t="s">
        <v>78</v>
      </c>
    </row>
    <row r="389" spans="1:3">
      <c r="A389" t="s">
        <v>110</v>
      </c>
      <c r="B389" s="72" t="s">
        <v>124</v>
      </c>
      <c r="C389" s="70" t="s">
        <v>78</v>
      </c>
    </row>
    <row r="390" spans="1:3">
      <c r="A390" t="s">
        <v>110</v>
      </c>
      <c r="B390" s="72" t="s">
        <v>539</v>
      </c>
      <c r="C390" s="70" t="s">
        <v>78</v>
      </c>
    </row>
    <row r="391" spans="1:3">
      <c r="A391" t="s">
        <v>110</v>
      </c>
      <c r="B391" s="72" t="s">
        <v>540</v>
      </c>
      <c r="C391" s="70" t="s">
        <v>78</v>
      </c>
    </row>
    <row r="392" spans="1:3">
      <c r="A392" t="s">
        <v>110</v>
      </c>
      <c r="B392" s="72" t="s">
        <v>541</v>
      </c>
      <c r="C392" s="70" t="s">
        <v>78</v>
      </c>
    </row>
    <row r="393" spans="1:3">
      <c r="A393" t="s">
        <v>228</v>
      </c>
      <c r="B393" s="72" t="s">
        <v>542</v>
      </c>
      <c r="C393" s="70" t="s">
        <v>78</v>
      </c>
    </row>
    <row r="394" spans="1:3">
      <c r="A394" t="s">
        <v>110</v>
      </c>
      <c r="B394" s="72" t="s">
        <v>82</v>
      </c>
      <c r="C394" s="70" t="s">
        <v>78</v>
      </c>
    </row>
    <row r="395" spans="1:3">
      <c r="A395" t="s">
        <v>110</v>
      </c>
      <c r="B395" s="72" t="s">
        <v>543</v>
      </c>
      <c r="C395" s="70" t="s">
        <v>78</v>
      </c>
    </row>
    <row r="396" spans="1:3">
      <c r="A396" t="s">
        <v>110</v>
      </c>
      <c r="B396" s="72" t="s">
        <v>544</v>
      </c>
      <c r="C396" s="70" t="s">
        <v>78</v>
      </c>
    </row>
    <row r="397" spans="1:3">
      <c r="A397" t="s">
        <v>110</v>
      </c>
      <c r="B397" s="72" t="s">
        <v>545</v>
      </c>
      <c r="C397" s="70" t="s">
        <v>78</v>
      </c>
    </row>
    <row r="398" spans="1:3">
      <c r="A398" t="s">
        <v>110</v>
      </c>
      <c r="B398" s="72" t="s">
        <v>546</v>
      </c>
      <c r="C398" s="70" t="s">
        <v>78</v>
      </c>
    </row>
    <row r="399" spans="1:3">
      <c r="A399" t="s">
        <v>228</v>
      </c>
      <c r="B399" s="72" t="s">
        <v>547</v>
      </c>
      <c r="C399" s="70" t="s">
        <v>78</v>
      </c>
    </row>
    <row r="400" spans="1:3">
      <c r="A400" t="s">
        <v>110</v>
      </c>
      <c r="B400" s="72" t="s">
        <v>164</v>
      </c>
      <c r="C400" s="70" t="s">
        <v>78</v>
      </c>
    </row>
    <row r="401" spans="1:3">
      <c r="A401" t="s">
        <v>110</v>
      </c>
      <c r="B401" s="72" t="s">
        <v>548</v>
      </c>
      <c r="C401" s="70" t="s">
        <v>78</v>
      </c>
    </row>
    <row r="402" spans="1:3">
      <c r="A402" t="s">
        <v>110</v>
      </c>
      <c r="B402" s="72" t="s">
        <v>549</v>
      </c>
      <c r="C402" s="70" t="s">
        <v>78</v>
      </c>
    </row>
    <row r="403" spans="1:3">
      <c r="A403" t="s">
        <v>228</v>
      </c>
      <c r="B403" s="72" t="s">
        <v>550</v>
      </c>
      <c r="C403" s="70" t="s">
        <v>78</v>
      </c>
    </row>
    <row r="404" spans="1:3">
      <c r="A404" t="s">
        <v>110</v>
      </c>
      <c r="B404" s="72" t="s">
        <v>551</v>
      </c>
      <c r="C404" s="70" t="s">
        <v>64</v>
      </c>
    </row>
    <row r="405" spans="1:3">
      <c r="A405" t="s">
        <v>228</v>
      </c>
      <c r="B405" s="72" t="s">
        <v>552</v>
      </c>
      <c r="C405" s="70" t="s">
        <v>78</v>
      </c>
    </row>
    <row r="406" spans="1:3">
      <c r="A406" t="s">
        <v>228</v>
      </c>
      <c r="B406" s="72" t="s">
        <v>553</v>
      </c>
      <c r="C406" s="70" t="s">
        <v>78</v>
      </c>
    </row>
    <row r="407" spans="1:3">
      <c r="A407" t="s">
        <v>228</v>
      </c>
      <c r="B407" s="72" t="s">
        <v>554</v>
      </c>
      <c r="C407" s="70" t="s">
        <v>64</v>
      </c>
    </row>
    <row r="408" spans="1:3">
      <c r="A408" t="s">
        <v>228</v>
      </c>
      <c r="B408" s="72" t="s">
        <v>555</v>
      </c>
      <c r="C408" s="70" t="s">
        <v>78</v>
      </c>
    </row>
    <row r="409" spans="1:3">
      <c r="A409" t="s">
        <v>228</v>
      </c>
      <c r="B409" s="72" t="s">
        <v>556</v>
      </c>
      <c r="C409" s="70" t="s">
        <v>78</v>
      </c>
    </row>
    <row r="410" spans="1:3">
      <c r="A410" t="s">
        <v>228</v>
      </c>
      <c r="B410" s="72" t="s">
        <v>557</v>
      </c>
      <c r="C410" s="70" t="s">
        <v>78</v>
      </c>
    </row>
    <row r="411" spans="1:3">
      <c r="A411" t="s">
        <v>228</v>
      </c>
      <c r="B411" s="72" t="s">
        <v>558</v>
      </c>
      <c r="C411" s="70" t="s">
        <v>78</v>
      </c>
    </row>
    <row r="412" spans="1:3">
      <c r="A412" t="s">
        <v>228</v>
      </c>
      <c r="B412" s="72" t="s">
        <v>559</v>
      </c>
      <c r="C412" s="70" t="s">
        <v>78</v>
      </c>
    </row>
    <row r="413" spans="1:3">
      <c r="A413" t="s">
        <v>228</v>
      </c>
      <c r="B413" s="72" t="s">
        <v>560</v>
      </c>
      <c r="C413" s="70" t="s">
        <v>78</v>
      </c>
    </row>
    <row r="414" spans="1:3">
      <c r="A414" t="s">
        <v>228</v>
      </c>
      <c r="B414" s="72" t="s">
        <v>561</v>
      </c>
      <c r="C414" s="70" t="s">
        <v>78</v>
      </c>
    </row>
    <row r="415" spans="1:3">
      <c r="A415" t="s">
        <v>228</v>
      </c>
      <c r="B415" s="72" t="s">
        <v>562</v>
      </c>
      <c r="C415" s="70" t="s">
        <v>78</v>
      </c>
    </row>
    <row r="416" spans="1:3">
      <c r="A416" t="s">
        <v>228</v>
      </c>
      <c r="B416" s="72" t="s">
        <v>563</v>
      </c>
      <c r="C416" s="70" t="s">
        <v>64</v>
      </c>
    </row>
    <row r="417" spans="1:3">
      <c r="A417" t="s">
        <v>228</v>
      </c>
      <c r="B417" s="72" t="s">
        <v>564</v>
      </c>
      <c r="C417" s="70" t="s">
        <v>64</v>
      </c>
    </row>
  </sheetData>
  <sortState xmlns:xlrd2="http://schemas.microsoft.com/office/spreadsheetml/2017/richdata2" ref="B2:C321">
    <sortCondition ref="B2:B32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Luis Giovanny Avila Ariza</cp:lastModifiedBy>
  <cp:revision/>
  <dcterms:created xsi:type="dcterms:W3CDTF">2019-10-24T19:32:28Z</dcterms:created>
  <dcterms:modified xsi:type="dcterms:W3CDTF">2024-09-16T14:23:50Z</dcterms:modified>
  <cp:category/>
  <cp:contentStatus/>
</cp:coreProperties>
</file>