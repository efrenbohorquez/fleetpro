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antos\Desktop\DAVIDS MEMORIA\HOJA DE VIDA DEL VEHÍCULO\"/>
    </mc:Choice>
  </mc:AlternateContent>
  <xr:revisionPtr revIDLastSave="551" documentId="13_ncr:1_{AF981CC4-8EEC-48C0-9790-FDE5FF3688B0}" xr6:coauthVersionLast="47" xr6:coauthVersionMax="47" xr10:uidLastSave="{186824A6-C695-4348-8956-FFF1EEBFB643}"/>
  <bookViews>
    <workbookView xWindow="-120" yWindow="-120" windowWidth="29040" windowHeight="15840" xr2:uid="{00000000-000D-0000-FFFF-FFFF00000000}"/>
  </bookViews>
  <sheets>
    <sheet name="OBG281" sheetId="2" r:id="rId1"/>
    <sheet name="Hoja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0" i="2" l="1"/>
  <c r="Q50" i="2"/>
  <c r="R50" i="2"/>
  <c r="T50" i="2"/>
  <c r="U50" i="2"/>
  <c r="V50" i="2"/>
  <c r="W50" i="2"/>
  <c r="P51" i="2"/>
  <c r="Q51" i="2"/>
  <c r="R51" i="2"/>
  <c r="T51" i="2"/>
  <c r="U51" i="2"/>
  <c r="V51" i="2"/>
  <c r="W51" i="2"/>
  <c r="P52" i="2"/>
  <c r="Q52" i="2"/>
  <c r="R52" i="2"/>
  <c r="T52" i="2"/>
  <c r="U52" i="2"/>
  <c r="V52" i="2"/>
  <c r="W52" i="2"/>
  <c r="P53" i="2"/>
  <c r="Q53" i="2"/>
  <c r="R53" i="2"/>
  <c r="T53" i="2"/>
  <c r="U53" i="2"/>
  <c r="V53" i="2"/>
  <c r="W53" i="2"/>
  <c r="P54" i="2"/>
  <c r="Q54" i="2"/>
  <c r="R54" i="2"/>
  <c r="T54" i="2"/>
  <c r="U54" i="2"/>
  <c r="V54" i="2"/>
  <c r="W54" i="2"/>
  <c r="P55" i="2"/>
  <c r="Q55" i="2"/>
  <c r="R55" i="2"/>
  <c r="T55" i="2"/>
  <c r="U55" i="2"/>
  <c r="V55" i="2"/>
  <c r="W55" i="2"/>
  <c r="P56" i="2"/>
  <c r="Q56" i="2"/>
  <c r="R56" i="2"/>
  <c r="T56" i="2"/>
  <c r="U56" i="2"/>
  <c r="V56" i="2"/>
  <c r="W56" i="2"/>
  <c r="P57" i="2"/>
  <c r="Q57" i="2"/>
  <c r="R57" i="2"/>
  <c r="T57" i="2"/>
  <c r="U57" i="2"/>
  <c r="V57" i="2"/>
  <c r="W57" i="2"/>
  <c r="P58" i="2"/>
  <c r="Q58" i="2"/>
  <c r="R58" i="2"/>
  <c r="T58" i="2"/>
  <c r="U58" i="2"/>
  <c r="V58" i="2"/>
  <c r="W58" i="2"/>
  <c r="P59" i="2"/>
  <c r="Q59" i="2"/>
  <c r="R59" i="2"/>
  <c r="T59" i="2"/>
  <c r="U59" i="2"/>
  <c r="V59" i="2"/>
  <c r="W59" i="2"/>
  <c r="P60" i="2"/>
  <c r="Q60" i="2"/>
  <c r="R60" i="2"/>
  <c r="T60" i="2"/>
  <c r="U60" i="2"/>
  <c r="V60" i="2"/>
  <c r="W60" i="2"/>
  <c r="P61" i="2"/>
  <c r="Q61" i="2"/>
  <c r="R61" i="2"/>
  <c r="T61" i="2"/>
  <c r="U61" i="2"/>
  <c r="V61" i="2"/>
  <c r="W61" i="2"/>
  <c r="P62" i="2"/>
  <c r="Q62" i="2"/>
  <c r="R62" i="2"/>
  <c r="T62" i="2"/>
  <c r="U62" i="2"/>
  <c r="V62" i="2"/>
  <c r="W62" i="2"/>
  <c r="P63" i="2"/>
  <c r="Q63" i="2"/>
  <c r="R63" i="2"/>
  <c r="T63" i="2"/>
  <c r="U63" i="2"/>
  <c r="V63" i="2"/>
  <c r="W63" i="2"/>
  <c r="P64" i="2"/>
  <c r="Q64" i="2"/>
  <c r="R64" i="2"/>
  <c r="T64" i="2"/>
  <c r="U64" i="2"/>
  <c r="V64" i="2"/>
  <c r="W64" i="2"/>
  <c r="P65" i="2"/>
  <c r="Q65" i="2"/>
  <c r="R65" i="2"/>
  <c r="T65" i="2"/>
  <c r="U65" i="2"/>
  <c r="V65" i="2"/>
  <c r="W65" i="2"/>
  <c r="P66" i="2"/>
  <c r="Q66" i="2"/>
  <c r="R66" i="2"/>
  <c r="T66" i="2"/>
  <c r="U66" i="2"/>
  <c r="V66" i="2"/>
  <c r="W66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Q49" i="2" s="1"/>
  <c r="P27" i="2"/>
  <c r="T27" i="2"/>
  <c r="Q27" i="2"/>
  <c r="R27" i="2" s="1"/>
  <c r="X57" i="2" l="1"/>
  <c r="X56" i="2"/>
  <c r="X55" i="2"/>
  <c r="X54" i="2"/>
  <c r="X53" i="2"/>
  <c r="X52" i="2"/>
  <c r="X51" i="2"/>
  <c r="X50" i="2"/>
  <c r="R49" i="2"/>
  <c r="Q48" i="2"/>
  <c r="R48" i="2" s="1"/>
  <c r="U49" i="2"/>
  <c r="V49" i="2" s="1"/>
  <c r="U48" i="2"/>
  <c r="V48" i="2" s="1"/>
  <c r="U28" i="2"/>
  <c r="V28" i="2" s="1"/>
  <c r="Q47" i="2"/>
  <c r="R47" i="2" s="1"/>
  <c r="U47" i="2"/>
  <c r="V47" i="2" s="1"/>
  <c r="Q46" i="2"/>
  <c r="R46" i="2" s="1"/>
  <c r="U46" i="2"/>
  <c r="V46" i="2" s="1"/>
  <c r="Q45" i="2"/>
  <c r="R45" i="2" s="1"/>
  <c r="U45" i="2"/>
  <c r="V45" i="2" s="1"/>
  <c r="Q44" i="2"/>
  <c r="R44" i="2" s="1"/>
  <c r="U44" i="2"/>
  <c r="V44" i="2" s="1"/>
  <c r="Q43" i="2"/>
  <c r="R43" i="2" s="1"/>
  <c r="U43" i="2"/>
  <c r="V43" i="2" s="1"/>
  <c r="Q42" i="2"/>
  <c r="R42" i="2" s="1"/>
  <c r="U42" i="2"/>
  <c r="V42" i="2" s="1"/>
  <c r="Q41" i="2"/>
  <c r="R41" i="2" s="1"/>
  <c r="U41" i="2"/>
  <c r="V41" i="2" s="1"/>
  <c r="Q40" i="2"/>
  <c r="R40" i="2" s="1"/>
  <c r="U40" i="2"/>
  <c r="V40" i="2" s="1"/>
  <c r="Q39" i="2"/>
  <c r="R39" i="2" s="1"/>
  <c r="U39" i="2"/>
  <c r="V39" i="2" s="1"/>
  <c r="Q38" i="2"/>
  <c r="R38" i="2" s="1"/>
  <c r="U38" i="2"/>
  <c r="V38" i="2" s="1"/>
  <c r="Q37" i="2"/>
  <c r="R37" i="2" s="1"/>
  <c r="U37" i="2"/>
  <c r="V37" i="2" s="1"/>
  <c r="Q36" i="2"/>
  <c r="R36" i="2" s="1"/>
  <c r="U36" i="2"/>
  <c r="V36" i="2" s="1"/>
  <c r="Q35" i="2"/>
  <c r="R35" i="2" s="1"/>
  <c r="U35" i="2"/>
  <c r="V35" i="2" s="1"/>
  <c r="Q34" i="2"/>
  <c r="R34" i="2" s="1"/>
  <c r="U34" i="2"/>
  <c r="V34" i="2" s="1"/>
  <c r="Q33" i="2"/>
  <c r="R33" i="2" s="1"/>
  <c r="U33" i="2"/>
  <c r="V33" i="2" s="1"/>
  <c r="Q32" i="2"/>
  <c r="R32" i="2" s="1"/>
  <c r="U32" i="2"/>
  <c r="V32" i="2" s="1"/>
  <c r="W32" i="2" s="1"/>
  <c r="Q31" i="2"/>
  <c r="R31" i="2" s="1"/>
  <c r="U31" i="2"/>
  <c r="V31" i="2" s="1"/>
  <c r="Q30" i="2"/>
  <c r="R30" i="2" s="1"/>
  <c r="U30" i="2"/>
  <c r="V30" i="2" s="1"/>
  <c r="Q29" i="2"/>
  <c r="R29" i="2" s="1"/>
  <c r="U29" i="2"/>
  <c r="V29" i="2" s="1"/>
  <c r="Q28" i="2"/>
  <c r="R28" i="2" s="1"/>
  <c r="W28" i="2" s="1"/>
  <c r="U27" i="2"/>
  <c r="V27" i="2" s="1"/>
  <c r="W27" i="2" s="1"/>
  <c r="W48" i="2" l="1"/>
  <c r="W49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1" i="2"/>
  <c r="W30" i="2"/>
  <c r="W29" i="2"/>
  <c r="X27" i="2" l="1"/>
  <c r="X45" i="2"/>
</calcChain>
</file>

<file path=xl/sharedStrings.xml><?xml version="1.0" encoding="utf-8"?>
<sst xmlns="http://schemas.openxmlformats.org/spreadsheetml/2006/main" count="1470" uniqueCount="550">
  <si>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</si>
  <si>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</si>
  <si>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</si>
  <si>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</si>
  <si>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</si>
  <si>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</si>
  <si>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</si>
  <si>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</si>
  <si>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</si>
  <si>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</si>
  <si>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</si>
  <si>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</si>
  <si>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</si>
  <si>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</si>
  <si>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</si>
  <si>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</si>
  <si>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</si>
  <si>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</si>
  <si>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</si>
  <si>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</si>
  <si>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</si>
  <si>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OBG281</t>
  </si>
  <si>
    <t>URVAN</t>
  </si>
  <si>
    <t>MICROBUS</t>
  </si>
  <si>
    <t>NISSAN</t>
  </si>
  <si>
    <t>BLANCO</t>
  </si>
  <si>
    <t>ZD30061890K</t>
  </si>
  <si>
    <t>JN1MG4E25Z0725614</t>
  </si>
  <si>
    <t>CERRADO</t>
  </si>
  <si>
    <t>DIESEL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</si>
  <si>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</si>
  <si>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</si>
  <si>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</si>
  <si>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</si>
  <si>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</si>
  <si>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</si>
  <si>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</si>
  <si>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</si>
  <si>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</si>
  <si>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</si>
  <si>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LA CINCUENTA LTDA.</t>
  </si>
  <si>
    <t>CDA DIAGNOSTIYA</t>
  </si>
  <si>
    <t>CODISPETROL S.A.S</t>
  </si>
  <si>
    <t>IVESUR COLOMBIA BOGOTA</t>
  </si>
  <si>
    <t>02/13/2012</t>
  </si>
  <si>
    <t>CDA 7 DE AGOSTO</t>
  </si>
  <si>
    <t>02/13/2013</t>
  </si>
  <si>
    <t>DIAGNOSTICENTRO INTEGRAL AUTOMOTRIZ DIA E.U.</t>
  </si>
  <si>
    <t>02/13/2014</t>
  </si>
  <si>
    <t>02/13/2015</t>
  </si>
  <si>
    <t>02/13/2016</t>
  </si>
  <si>
    <t>02/13/2017</t>
  </si>
  <si>
    <t>CDA RUEDE SEGURO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</si>
  <si>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</si>
  <si>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</si>
  <si>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</si>
  <si>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</si>
  <si>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</si>
  <si>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</si>
  <si>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</si>
  <si>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</si>
  <si>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</si>
  <si>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</si>
  <si>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</si>
  <si>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</si>
  <si>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</si>
  <si>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</si>
  <si>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</si>
  <si>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</si>
  <si>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</si>
  <si>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</si>
  <si>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</si>
  <si>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</si>
  <si>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</si>
  <si>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</si>
  <si>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 SOPORTE</t>
  </si>
  <si>
    <t>TALLERES AUTORIZADOS S.A.</t>
  </si>
  <si>
    <t>T011-466314</t>
  </si>
  <si>
    <t>Correctivo</t>
  </si>
  <si>
    <t>TAPON DRENAJE CARTER R/P</t>
  </si>
  <si>
    <t>SOPORTE</t>
  </si>
  <si>
    <t>Preventivo</t>
  </si>
  <si>
    <t>CAMBIO ACEITE MOTOR</t>
  </si>
  <si>
    <t>CILINDRO MAESTRO EMBRAGU.</t>
  </si>
  <si>
    <t>CAMBIO KIT FILTROS (AIRE-</t>
  </si>
  <si>
    <t>REVISAR FRENOS/PURGAR</t>
  </si>
  <si>
    <t>CILIND. RUEDA (UNLADO)O/H</t>
  </si>
  <si>
    <t>ACEITE 10W30 DIESEL CJ4</t>
  </si>
  <si>
    <t>ACEITE EP 80W-90</t>
  </si>
  <si>
    <t>LIQUIDO DE FRENOS</t>
  </si>
  <si>
    <t>LIMPIADOR FRENO NISSAN</t>
  </si>
  <si>
    <t>FILTRO ACEITE MOTOR</t>
  </si>
  <si>
    <t>FILTRO COMBUSTIBLE</t>
  </si>
  <si>
    <t>FILTRO AIRE SECO MOTOR</t>
  </si>
  <si>
    <t>CILINDRO AUXILIAR EMBRAGUE</t>
  </si>
  <si>
    <t>JGO PASTILLAS FRENO</t>
  </si>
  <si>
    <t>ELEMENTO FS1241CAMB</t>
  </si>
  <si>
    <t>ARANDELA</t>
  </si>
  <si>
    <t>CILINDRO FRENO TRASERO -</t>
  </si>
  <si>
    <t>T011-466593</t>
  </si>
  <si>
    <t>DEPOSITO LIQUIDO DE FRENOS</t>
  </si>
  <si>
    <t>ROTOR FREN. (UN LADO) RECT.</t>
  </si>
  <si>
    <t>LIQUIDO FRENOS "DOT3"</t>
  </si>
  <si>
    <t>DISCO FRENO DELANTERO -</t>
  </si>
  <si>
    <t>BOMBA FRENO - CTNM</t>
  </si>
  <si>
    <t>Nota: Si este documento se encuentra impreso se considera Copia no Controlada. La versión vigente está publicada en la intranet de la Personería de Bogotá, D. C.</t>
  </si>
  <si>
    <t>TALLERES EL NORTE</t>
  </si>
  <si>
    <t>ABRAZADERA 450x720 NEGRA</t>
  </si>
  <si>
    <t>CORRECTIVO</t>
  </si>
  <si>
    <t>INVERSIONES EL NORTE SAS</t>
  </si>
  <si>
    <t>ACEITE CHEVRON PARA HIDRAULICO</t>
  </si>
  <si>
    <t>PREVENTIVO</t>
  </si>
  <si>
    <t>ACEITE HID ACD PLUS ATF TYPE VI</t>
  </si>
  <si>
    <t>ACEITE HIDRAULICO</t>
  </si>
  <si>
    <t>ACEITE HIDRAULICO CAJA</t>
  </si>
  <si>
    <t xml:space="preserve">ACEITE HIDRAULICO DIRECCION </t>
  </si>
  <si>
    <t>ACEITE MOTOR</t>
  </si>
  <si>
    <t>ACEITE MOTOR AC DELCO SELE 20W50</t>
  </si>
  <si>
    <t>ACEITE SINTETICO</t>
  </si>
  <si>
    <t>ACEITE SINTETICO 10W40</t>
  </si>
  <si>
    <t xml:space="preserve">PREVENTIVO </t>
  </si>
  <si>
    <t>ACEITE SINTETICO MOTOR</t>
  </si>
  <si>
    <t>ACEITE TRANS ACD GEAR SAE 80W90 GL-5 MT-1</t>
  </si>
  <si>
    <t>ADITIVO</t>
  </si>
  <si>
    <t>ADITIVO COMBUSTIBLE</t>
  </si>
  <si>
    <t>ADITIVO COMBUSTIBLE  DIESEL</t>
  </si>
  <si>
    <t>ADITIVO SUPERCOTE (COMBUSTIBLE)</t>
  </si>
  <si>
    <t>AJUSTE DE MASAS</t>
  </si>
  <si>
    <t xml:space="preserve">AJUSTE DE SUSPENSIÓN </t>
  </si>
  <si>
    <t>AJUSTE GENERAL DE SUSPENSIÓN</t>
  </si>
  <si>
    <t>AJUSTE Y ENGRASE RODAMIENTOS</t>
  </si>
  <si>
    <t>ALARMA</t>
  </si>
  <si>
    <t>ALARMA VEHICULO 2 CONTROLES</t>
  </si>
  <si>
    <t>ALARMA Y DOS CONTROLES</t>
  </si>
  <si>
    <t xml:space="preserve">ALINEACION </t>
  </si>
  <si>
    <t>ALINEACION DE DIRECCION</t>
  </si>
  <si>
    <t>ALINEACION DEL. TRAS.</t>
  </si>
  <si>
    <t>ALINEACION DELANTERA Y TRASERA</t>
  </si>
  <si>
    <t xml:space="preserve">ALINEACION LUCES </t>
  </si>
  <si>
    <t>ALTERNADOR</t>
  </si>
  <si>
    <t>AMARRE 70x9,0 NEGRO</t>
  </si>
  <si>
    <t>ANILLO SELLADOR TAPA TRASERA</t>
  </si>
  <si>
    <t>ARREGLO CREMALLERA</t>
  </si>
  <si>
    <t>ARREGLO CUNA ROSCAS</t>
  </si>
  <si>
    <t>ARREGLO ESCAPE</t>
  </si>
  <si>
    <t>ARREGLO EXOSTO</t>
  </si>
  <si>
    <t>ARREGLO MODULO PUERTA TRASERA</t>
  </si>
  <si>
    <t>ARREGLO MOTOVENTILADOR</t>
  </si>
  <si>
    <t>ARREGLO TAPIZADO GENERAL</t>
  </si>
  <si>
    <t>ARREGLO Y MANTENIMIENTO ESCAPE</t>
  </si>
  <si>
    <t>AUTOMATICO ARRANQUE</t>
  </si>
  <si>
    <t>BAJAR Y MONTAR RADIADOR MOTOR</t>
  </si>
  <si>
    <t>BALANCEO</t>
  </si>
  <si>
    <t>BANCO DE PRUEBA</t>
  </si>
  <si>
    <t>BANCO DE PRUEBA TRASERA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</si>
  <si>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</si>
  <si>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</si>
  <si>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</si>
  <si>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</si>
  <si>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</si>
  <si>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BIELETA INFERIOR</t>
  </si>
  <si>
    <t>BLOQUEO PUERTAS</t>
  </si>
  <si>
    <t>BOBINA</t>
  </si>
  <si>
    <t>BOBINA ENCENDIDO</t>
  </si>
  <si>
    <t xml:space="preserve">BOMBA DE AGUA </t>
  </si>
  <si>
    <t>BOMBILLO</t>
  </si>
  <si>
    <t>BOMBILLO 12 V 158 K5 3 W</t>
  </si>
  <si>
    <t>BOMBILLO 12 V 159 K5 1.2 W</t>
  </si>
  <si>
    <t>BOMBILLO EXPLORADORA</t>
  </si>
  <si>
    <t>BOMBILLO FAROLA</t>
  </si>
  <si>
    <t xml:space="preserve">BOMBILLO H16 </t>
  </si>
  <si>
    <t>BOMBILLO H16 9600 12V, 51W ALEMAN</t>
  </si>
  <si>
    <t>BOMBILLO H4 P43 55/60 W 12 V</t>
  </si>
  <si>
    <t xml:space="preserve">BOMBILLO HALOGENO H7 12 VOLTIOS </t>
  </si>
  <si>
    <t>BOMBILLO STOP</t>
  </si>
  <si>
    <t>BOMBILLO UNIDAD DELANTERA</t>
  </si>
  <si>
    <t>BORNE BATERIA TIPO PESADO</t>
  </si>
  <si>
    <t>BORNE CARRETERA LIVIANO</t>
  </si>
  <si>
    <t>BRAZO AXIAL</t>
  </si>
  <si>
    <t>BRAZO PALANCA CONTROL CAMBIOS</t>
  </si>
  <si>
    <t>BUJE BANDEJA SUSPENSION</t>
  </si>
  <si>
    <t>BUJE BARRA TRASERA</t>
  </si>
  <si>
    <t>BUJE MUELLE</t>
  </si>
  <si>
    <t>BUJES BARRA ESTABILIZADORA</t>
  </si>
  <si>
    <t>BUJES CUNA</t>
  </si>
  <si>
    <t>BUJES MORDAZA</t>
  </si>
  <si>
    <t>BUJES MOTOR DE ARRANQUE</t>
  </si>
  <si>
    <t>BUJES TIJERA INFERIOR</t>
  </si>
  <si>
    <t>CABLE</t>
  </si>
  <si>
    <t>CABLE 18 NEGRO</t>
  </si>
  <si>
    <t>CABLE CONTROL CAMBIOS</t>
  </si>
  <si>
    <t>CALIBRAR VALVULAS</t>
  </si>
  <si>
    <t>CAMBIO ACEITE HIDRAULICO</t>
  </si>
  <si>
    <t>CAMBIO ACTUADOR DE BLOQUE</t>
  </si>
  <si>
    <t>CAMBIO ALTERNADOR</t>
  </si>
  <si>
    <t>CAMBIO AMORTIGUADOR (TRASERO)</t>
  </si>
  <si>
    <t>CAMBIO AMORTIGUADOR DELANTERO</t>
  </si>
  <si>
    <t>CAMBIO AMORTIGUADORES</t>
  </si>
  <si>
    <t>CAMBIO BASES AMORTIGUADORES</t>
  </si>
  <si>
    <t>CAMBIO BATERIA</t>
  </si>
  <si>
    <t>CAMBIO BOMBA AGUA</t>
  </si>
  <si>
    <t>CAMBIO BOMBILLOS</t>
  </si>
  <si>
    <t>CAMBIO BOMBILLOS (Stop, direccional, halogeno, exploradoras, cocuyos)</t>
  </si>
  <si>
    <t>CAMBIO BRAZOS AXIALES</t>
  </si>
  <si>
    <t>CAMBIO BUJES BARRA ESTABILIZADORA</t>
  </si>
  <si>
    <t xml:space="preserve">CAMBIO BUJES TENSORES </t>
  </si>
  <si>
    <t>CAMBIO BUJES TIJERA INFERIOR Y SUPERIOR</t>
  </si>
  <si>
    <t>CAMBIO CERRADURA</t>
  </si>
  <si>
    <t>CAMBIO CILINDRO DE FRENO</t>
  </si>
  <si>
    <t>CAMBIO CORREAS</t>
  </si>
  <si>
    <t>CAMBIO CREMALLERA</t>
  </si>
  <si>
    <t>CAMBIO DE ACEITE</t>
  </si>
  <si>
    <t>CAMBIO DE ACEITE MOTOR, ENTRE OTROS</t>
  </si>
  <si>
    <t>CAMBIO DE FILTROS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</si>
  <si>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</si>
  <si>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</si>
  <si>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</si>
  <si>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</si>
  <si>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</si>
  <si>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 xml:space="preserve">CAMBIO FILTRO ACEITE, COMBUST, AIRE  </t>
  </si>
  <si>
    <t>CAMBIO FILTRO AIRE ACONDICIONADO</t>
  </si>
  <si>
    <t>CAMBIO FILTRO AIRE ACONDICIONADO (ANTIPOLEN)</t>
  </si>
  <si>
    <t>CAMBIO FILTRO TRAMPA DE AGUA</t>
  </si>
  <si>
    <t>CAMBIO FILTROS ACEITE Y AIRE</t>
  </si>
  <si>
    <t xml:space="preserve">CAMBIO FILTROS AIRE </t>
  </si>
  <si>
    <t>CAMBIO GUAYA EMBRAGUE</t>
  </si>
  <si>
    <t>CAMBIO GUAYA FRENO DE MANO</t>
  </si>
  <si>
    <t>CAMBIO GUAYA VELOCIMETRO</t>
  </si>
  <si>
    <t>CAMBIO KIT CORREA ACCESORIOS</t>
  </si>
  <si>
    <t>CAMBIO KIT EMBRAGUE</t>
  </si>
  <si>
    <t>CAMBIO KIT REPARTICION (CORREA, PATIN, TENSOR)</t>
  </si>
  <si>
    <t>CAMBIO KIT TENSOR CORREA ACCESORIOS</t>
  </si>
  <si>
    <t>CAMBIO LIQUIDO REFRIGERANTE</t>
  </si>
  <si>
    <t>CAMBIO MANGUERAS</t>
  </si>
  <si>
    <t>CAMBIO MUÑECOS</t>
  </si>
  <si>
    <t>CAMBIO MUÑECOS ESTABILIZADORA DELANT</t>
  </si>
  <si>
    <t>CAMBIO O INSTALACION ALARMA</t>
  </si>
  <si>
    <t>CAMBIO PARTES TAPISADO S.CONDUCTOR</t>
  </si>
  <si>
    <t>CAMBIO PASADOR GUIAS</t>
  </si>
  <si>
    <t>CAMBIO PASTILLAS</t>
  </si>
  <si>
    <t>CAMBIO PASTILLAS DELANTERAS</t>
  </si>
  <si>
    <t>CAMBIO PERNO RUEDA</t>
  </si>
  <si>
    <t>CAMBIO PORTAMANGUETA</t>
  </si>
  <si>
    <t>CAMBIO RETENES INTERNO Y EXTERNO</t>
  </si>
  <si>
    <t>CAMBIO RIATA Y M/TO CINTURON</t>
  </si>
  <si>
    <t>CAMBIO RODAMIENTO TRASERO</t>
  </si>
  <si>
    <t>CAMBIO ROTULA INFERIOR</t>
  </si>
  <si>
    <t>CAMBIO SENSOR TPS</t>
  </si>
  <si>
    <t>CAMBIO SOPORTE BASTIDOR</t>
  </si>
  <si>
    <t>CAMBIO SOPORTE CAJA</t>
  </si>
  <si>
    <t>CAMBIO SOPORTE MOTOR</t>
  </si>
  <si>
    <t>CAMBIO SOPORTE TRASERO CARROCERIA</t>
  </si>
  <si>
    <t>CAMBIO STOP TRASERO</t>
  </si>
  <si>
    <t>CAMBIO TAPIZADO ARREGLO RECLINABLE SILLA CONDUCTOR</t>
  </si>
  <si>
    <t>CAMBIO TENSOR</t>
  </si>
  <si>
    <t>CAMBIO TERMOSTATO</t>
  </si>
  <si>
    <t>CAMBIO TIJERA</t>
  </si>
  <si>
    <t>CAMBIO VALVULA IAC</t>
  </si>
  <si>
    <t>CARGA A/A, LIMPIEZA SISTEMA CON</t>
  </si>
  <si>
    <t>CARGADOR PUNA AMARILLA</t>
  </si>
  <si>
    <t>CERRADURA IZQUIERDA</t>
  </si>
  <si>
    <t>CERRADURA TRACERA IZQUIERDA</t>
  </si>
  <si>
    <t>CERRADURA TRASERA IZQ.</t>
  </si>
  <si>
    <t>CHAPA TRINQUETE PUERTA</t>
  </si>
  <si>
    <t>CILINDRO FRENO</t>
  </si>
  <si>
    <t>CINTA AISLANTE</t>
  </si>
  <si>
    <t>CORONA ALTERNADOR</t>
  </si>
  <si>
    <t xml:space="preserve">CORREA A/A </t>
  </si>
  <si>
    <t xml:space="preserve">CORREA AIRE ACONDICIONADO </t>
  </si>
  <si>
    <t>CORREA ALTERNADOR</t>
  </si>
  <si>
    <t>CORREA BOMBA DE AGUA</t>
  </si>
  <si>
    <t>CORREA DE ACCESORIOS</t>
  </si>
  <si>
    <t>CORREA HIDRAULICA</t>
  </si>
  <si>
    <t>CORREGIR FUGA DE ACEITE</t>
  </si>
  <si>
    <t>CORREGIR FUGA MANGUERAS HIDRAULICO</t>
  </si>
  <si>
    <t>CORREGIR INSTALACION ELECTRICA PITOS</t>
  </si>
  <si>
    <t>CREMALLERA PUERTA IZQ</t>
  </si>
  <si>
    <t>CUBIERTA MULTIPLE ESCAPE</t>
  </si>
  <si>
    <t>D/M ALTERNADOR</t>
  </si>
  <si>
    <t>D/M ARRANQUE</t>
  </si>
  <si>
    <t xml:space="preserve">D/M AVISOS </t>
  </si>
  <si>
    <t>D/M BOMBA HIDRAULICA</t>
  </si>
  <si>
    <t>D/M CAJA</t>
  </si>
  <si>
    <t>D/M CAJA VELOCIDADES</t>
  </si>
  <si>
    <t>D/M CAJA VELOCIDADES PARA CAMBIO DE EMBRAGUE</t>
  </si>
  <si>
    <t>D/M CUERPO DE ACELERACION PARA REVISION</t>
  </si>
  <si>
    <t>D/M CUNA</t>
  </si>
  <si>
    <t>D/M CUNA PARA RECTIFICAR ROSCAS</t>
  </si>
  <si>
    <t>D/M MOTOR DE ARRANQUE</t>
  </si>
  <si>
    <t>D/M TABLERO DE INSTRUMENTOS PARA CAMBIO DE BOMBILLOS EN GENERAL</t>
  </si>
  <si>
    <t>D/M TAPIZADO TIMON DIRECCION</t>
  </si>
  <si>
    <t>D/M TIJERA</t>
  </si>
  <si>
    <t>D/M UNIDAD DELANTERA PARA BRILLAR</t>
  </si>
  <si>
    <t>DEPOSITO HIDRAULICO</t>
  </si>
  <si>
    <t>DEPOSITO REFRIGERANTE</t>
  </si>
  <si>
    <t>DESENGRASANTE</t>
  </si>
  <si>
    <t xml:space="preserve">DESMANCHADO EXTERIOR </t>
  </si>
  <si>
    <t>DESMONTE RADIADOR ARREGLO FUGAS Y SONDEO</t>
  </si>
  <si>
    <t>DESMONTE TANQUE COMBUSTIBLE</t>
  </si>
  <si>
    <t>DESMONTE TIJERA INFERIOR</t>
  </si>
  <si>
    <t>DESMONTE TIJERA INFERIOR Y SUPERIOR</t>
  </si>
  <si>
    <t>DIRECCIONAL ESPEJO</t>
  </si>
  <si>
    <t>DUCTO ENTRADA AIRE</t>
  </si>
  <si>
    <t>DUCTO SALIDA FILTRO AIRE</t>
  </si>
  <si>
    <t>EMBUJAR MORDAZAS</t>
  </si>
  <si>
    <t>EMPAQUE</t>
  </si>
  <si>
    <t>EMPAQUE BOMBA COMBUSTIBLE</t>
  </si>
  <si>
    <t>EMPAQUE PUERTA DELANTERA</t>
  </si>
  <si>
    <t xml:space="preserve">EMPAQUE PUERTA DELATERA </t>
  </si>
  <si>
    <t>EMPAQUE RADIADOR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</si>
  <si>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</si>
  <si>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</si>
  <si>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</si>
  <si>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</si>
  <si>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</si>
  <si>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 xml:space="preserve">EQUIPO A/A INSTALADO Y CARGADO </t>
  </si>
  <si>
    <t>ESCOBILLA ALTERNADOR</t>
  </si>
  <si>
    <t>ESCOBILLAS ALTERNADOR</t>
  </si>
  <si>
    <t>ESCOBILLAS ARRANQUE</t>
  </si>
  <si>
    <t>ESPARRAGO</t>
  </si>
  <si>
    <t>ESPIRAL SUSPENCION DELANTERA</t>
  </si>
  <si>
    <t>FILTRO A/A</t>
  </si>
  <si>
    <t>FILTRO ACEITE</t>
  </si>
  <si>
    <t>FILTRO AIRE</t>
  </si>
  <si>
    <t>FILTRO AIRE ACONDICIONADO</t>
  </si>
  <si>
    <t>FILTRO TRAMPA AGUA</t>
  </si>
  <si>
    <t>FUNDA PALANCA CONTROL CAMBIOS</t>
  </si>
  <si>
    <t>FUSIBLE</t>
  </si>
  <si>
    <t>FUSIBLE MINI 10 AMP</t>
  </si>
  <si>
    <t>G/POLVO PALANCA CAMBIOS</t>
  </si>
  <si>
    <t>GAS R 134</t>
  </si>
  <si>
    <t>GRASA</t>
  </si>
  <si>
    <t>GRASA DE LITIO</t>
  </si>
  <si>
    <t>GUARDAPOLVO AMORTIGUADOR</t>
  </si>
  <si>
    <t>GUAYA CLUTCH</t>
  </si>
  <si>
    <t>GUAYA DERECHA FRENO DE MANO</t>
  </si>
  <si>
    <t>GUAYA EMBRAGUE</t>
  </si>
  <si>
    <t>GUAYA IZQUIERDA FRENO DE MANO</t>
  </si>
  <si>
    <t>GUAYA VELOCIMETRO</t>
  </si>
  <si>
    <t>GUIA CARROCERIA DEL</t>
  </si>
  <si>
    <t>HORQUILLA CAJA</t>
  </si>
  <si>
    <t>INDUCTORES</t>
  </si>
  <si>
    <t>INSTALACION BLOQUEO CENTRAL</t>
  </si>
  <si>
    <t xml:space="preserve">INSTALACION DE ALTA </t>
  </si>
  <si>
    <t>INSTALAR SALPICADERAS</t>
  </si>
  <si>
    <t>JUEGO CORREA ACCESORIOS, PATIN, TENSOR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</si>
  <si>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</si>
  <si>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</si>
  <si>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</si>
  <si>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</si>
  <si>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</si>
  <si>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</si>
  <si>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</si>
  <si>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</si>
  <si>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DISCO DE FRENO</t>
  </si>
  <si>
    <t xml:space="preserve">JUEGO PASTILLAS </t>
  </si>
  <si>
    <t xml:space="preserve">JUEGO PASTILLAS FRENOS DELANTEROS </t>
  </si>
  <si>
    <t>JUEGO PLUMILLA LIMPIA PARABRISA 18"</t>
  </si>
  <si>
    <t>JUEGO PLUMILLAS 20 PULGADAS</t>
  </si>
  <si>
    <t>JUEGO PLUMILLAS 20" SILICONADA</t>
  </si>
  <si>
    <t>JUEGO TAPONES EJE DE LEVAS</t>
  </si>
  <si>
    <t>KIT CADENA DE REPARTICION (CADENILLA, GUIAS Y TENSOR)</t>
  </si>
  <si>
    <t xml:space="preserve">KIT CORREA DE REPARTICION </t>
  </si>
  <si>
    <t>KIT DE EMBRAGUE</t>
  </si>
  <si>
    <t>KIT FELPA PARA BATERIA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</si>
  <si>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</si>
  <si>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</si>
  <si>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</si>
  <si>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</si>
  <si>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</si>
  <si>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</si>
  <si>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</si>
  <si>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</si>
  <si>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TAPICERIA SILLA CONDUCTOR Y COPILOTO</t>
  </si>
  <si>
    <t>LAVADO TAPIZADO CAMBIO DE PARTES TAPIZADO</t>
  </si>
  <si>
    <t>LAVADO Y SINCRONIZADO INYECTORES</t>
  </si>
  <si>
    <t>LAVADOR DE INYECTORES</t>
  </si>
  <si>
    <t>LAVAR DEPOSITO AUX. RADIADOR</t>
  </si>
  <si>
    <t>LIMPIADOR DE CONTACTOS</t>
  </si>
  <si>
    <t>LIMPIADOR DE FRENOS 400 M</t>
  </si>
  <si>
    <t>LIMPIADOR DE INYECTORES</t>
  </si>
  <si>
    <t>LIMPIADOR PARA CUERPO DE ACELERACION</t>
  </si>
  <si>
    <t>LIMPIEZA Y BRILLADO UNIDAD DELANTERA</t>
  </si>
  <si>
    <t>LIQUIDO AFLOJATODO</t>
  </si>
  <si>
    <t>LIQUIDO REFRIGERANTE</t>
  </si>
  <si>
    <t>LIQUIDO REFRIGERANTE NALC</t>
  </si>
  <si>
    <t>LLANTA NUEVA POR UNIDAD</t>
  </si>
  <si>
    <t>LUNA ESPEJO</t>
  </si>
  <si>
    <t>M/D EMPAQUE MULTIPLE DE ADMISION</t>
  </si>
  <si>
    <t>MANGUERA CALEFACCION</t>
  </si>
  <si>
    <t>MANGUERA RETORNO RADIADOR</t>
  </si>
  <si>
    <t>MANGUERA SALIDA A/A</t>
  </si>
  <si>
    <t>MANGUERA SALIDA TANQUE</t>
  </si>
  <si>
    <t>MANIJA</t>
  </si>
  <si>
    <t>MANTENIMIENTO ARRANQUE</t>
  </si>
  <si>
    <t>MANTENIMIENTO CINTURONES DE SEGURIDAD</t>
  </si>
  <si>
    <t>MANTENIMIENTO RADIADOR</t>
  </si>
  <si>
    <t>MANTENIMIENTO SWITCH PRINCIPAL Y COPILOTO</t>
  </si>
  <si>
    <t>MODULO BLOQUEO CENTRAL</t>
  </si>
  <si>
    <t>MODULO TANQUE MEDIDOR COMBUSTIBLE</t>
  </si>
  <si>
    <t>MOLDURA EXT TRAS IZQ</t>
  </si>
  <si>
    <t>MOLDURA PUERTA TRASERA DER.</t>
  </si>
  <si>
    <t>MONTAJE DE LLANTAS</t>
  </si>
  <si>
    <t>MOTOR DE BLOQUE DE PUERTA</t>
  </si>
  <si>
    <t>MUÑECO VARILLA ESTABILIZADORA</t>
  </si>
  <si>
    <t>MUÑECO VARILLA ESTABILIZADORA TRASERO</t>
  </si>
  <si>
    <t>MUÑECOS DEL</t>
  </si>
  <si>
    <t>NEUMATICO</t>
  </si>
  <si>
    <t>PALANCA CONTROL CAMBIOS</t>
  </si>
  <si>
    <t>PARCHE RADIAL, DESPINCHE</t>
  </si>
  <si>
    <t>PASADOR CAJA</t>
  </si>
  <si>
    <t>PASADOR GUIAS</t>
  </si>
  <si>
    <t>PASADORES MORDAZA</t>
  </si>
  <si>
    <t>PASTILLAS DE FRENO</t>
  </si>
  <si>
    <t>PASTILLAS DELANTERAS</t>
  </si>
  <si>
    <t>PEGANTE PARA TANQUE</t>
  </si>
  <si>
    <t>PERITAJE Y/O EVALUACION VEHICULOS BAJA</t>
  </si>
  <si>
    <t>BAJA</t>
  </si>
  <si>
    <t>PERNO RUEDA</t>
  </si>
  <si>
    <t>PILAS CR 2016 CONTROL</t>
  </si>
  <si>
    <t>PINES</t>
  </si>
  <si>
    <t>PISTOLA BLOQUEO CENTRAL</t>
  </si>
  <si>
    <t>PITO 12 V.</t>
  </si>
  <si>
    <t>PÍTO TONO ALTO</t>
  </si>
  <si>
    <t>PLUMILLA LIMPIABRISA DELANTERA</t>
  </si>
  <si>
    <t>PLUMILLA LIMPIABRISA TRASERA</t>
  </si>
  <si>
    <t>POLICHADO</t>
  </si>
  <si>
    <t>PORTA ESCOBILLAS ALTERNADOR</t>
  </si>
  <si>
    <t>PORTA ESCOBILLAS ARRANQUE</t>
  </si>
  <si>
    <t>PORTAMANGUERA RUEDA DEL</t>
  </si>
  <si>
    <t>PORTAMANGUERA RUEDA DELANTERA</t>
  </si>
  <si>
    <t>PORTAMANGUETA IZQ</t>
  </si>
  <si>
    <t>PROTECTOR</t>
  </si>
  <si>
    <t>PUENTE BASTIDOR TRASERO</t>
  </si>
  <si>
    <t>PUNTILLAS LUZ PUERTA</t>
  </si>
  <si>
    <t>PURGA SISTEMA DE FRENOS</t>
  </si>
  <si>
    <t>PURGA SISTEMA DE FRENOS Y CAMBIO DE LIQUIDO</t>
  </si>
  <si>
    <t>RADIO PIONER DHE -85</t>
  </si>
  <si>
    <t>RECARGA AIRE ACONDICIONADO</t>
  </si>
  <si>
    <t>RECTIFICAR BARRA</t>
  </si>
  <si>
    <t xml:space="preserve">RECTIFICAR DISCOS </t>
  </si>
  <si>
    <t>RECTIFICAR RINES</t>
  </si>
  <si>
    <t>REGULADOR ALTERNADOR</t>
  </si>
  <si>
    <t>REGULADOR VOLTAJE</t>
  </si>
  <si>
    <t>REJILLA VENTILACION</t>
  </si>
  <si>
    <t>REMACHE POP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</si>
  <si>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</si>
  <si>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</si>
  <si>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</si>
  <si>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</si>
  <si>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LLANTA</t>
  </si>
  <si>
    <t>REPARACION MOTOR DE ARRANQUE (cambio de inducido, bu)</t>
  </si>
  <si>
    <t>REPARACION Y  AJUSTE CAJA DIRECCION, INCLUYE D/M</t>
  </si>
  <si>
    <t>REPARAR CAJA VELOCIDADES</t>
  </si>
  <si>
    <t>RETEN CIGÜEÑAL Y CAMBIO</t>
  </si>
  <si>
    <t>RETEN DELANTERO RUEDA</t>
  </si>
  <si>
    <t>RETEN RUEDA</t>
  </si>
  <si>
    <t>RETEN TRASERO</t>
  </si>
  <si>
    <t>RETEN TRASERO CIGÜEÑAL</t>
  </si>
  <si>
    <t>RETENEDOR DE VOLANTE</t>
  </si>
  <si>
    <t>RETENEDOR EJE SALIDA</t>
  </si>
  <si>
    <t>RETENEDOR RUEDAS DELANTERAS</t>
  </si>
  <si>
    <t>RETORQUEAR SUSPENSION</t>
  </si>
  <si>
    <t>REV CUERPO DE ACELERACION</t>
  </si>
  <si>
    <t>REV ELECTRICA GENERAL Y LIMPIEZA DE CONECTORES</t>
  </si>
  <si>
    <t>REV SISTEMA REFRIGERACION</t>
  </si>
  <si>
    <t>REVISION ALTERNADOR</t>
  </si>
  <si>
    <t>REVISION CINTURONES DE SEGURIDAD</t>
  </si>
  <si>
    <t>REVISION CORREAS</t>
  </si>
  <si>
    <t xml:space="preserve">REVISION DE LUCES </t>
  </si>
  <si>
    <t xml:space="preserve">REVISION ELECTRICA </t>
  </si>
  <si>
    <t>REVISION ELECTRICA - CABLEADO, INSTALACION DE BAJA</t>
  </si>
  <si>
    <t>REVISION ELECTRICA Y CAMBIO DE BLOQUEOS</t>
  </si>
  <si>
    <t>REVISION ELECTRICA Y CAMBIO SWITCH</t>
  </si>
  <si>
    <t>REVISION FRENOS</t>
  </si>
  <si>
    <t>REVISION GENERAL DE FRENOS</t>
  </si>
  <si>
    <t>REVISION GENERAL Y RUTEO CABLEADO ELECTRICO</t>
  </si>
  <si>
    <t>REVISION GENERAL, GRADUACION Y AJUSTE DE FRENOS</t>
  </si>
  <si>
    <t>REVISION SISTEMA DE CARGA , CARGA DE BATERIA</t>
  </si>
  <si>
    <t xml:space="preserve">REVISION SUSPENSIÓN </t>
  </si>
  <si>
    <t>REVISION Y ENGRASE DE RODAMIENTOS TRASEROS</t>
  </si>
  <si>
    <t>REVISION Y RECARGA A/A</t>
  </si>
  <si>
    <t>RODAMIENTO ALTERNADOR</t>
  </si>
  <si>
    <t>RODAMIENTO BASE DE AMORTIGUADOR</t>
  </si>
  <si>
    <t>RODAMIENTO DELANTERO INTERNO</t>
  </si>
  <si>
    <t>RODAMIENTO RUEDA DELANTERA</t>
  </si>
  <si>
    <t>RODAMIENTO RUEDA TRASERA</t>
  </si>
  <si>
    <t>RODAMIENTO SALIDA EJE</t>
  </si>
  <si>
    <t>RODAMIENTO TRASERO</t>
  </si>
  <si>
    <t>RODAMIENTO TRASERO INTERNO</t>
  </si>
  <si>
    <t>RODAMIENTOS A/A</t>
  </si>
  <si>
    <t xml:space="preserve">RODAMIENTOS ALTERNADOR </t>
  </si>
  <si>
    <t>RODAMIENTOS ARRANQUE</t>
  </si>
  <si>
    <t>RODAMIENTOS BOMBA HIDRAULICA</t>
  </si>
  <si>
    <t>RODAMIENTOS DELATEROS</t>
  </si>
  <si>
    <t>ROTACION DE LLANTAS</t>
  </si>
  <si>
    <t>ROTULA INFERIOR</t>
  </si>
  <si>
    <t>SELECTOR DE CAMBIOS</t>
  </si>
  <si>
    <t>SELLADOR GRIS LOCTITE</t>
  </si>
  <si>
    <t>SENSOR AIR BAG DEL</t>
  </si>
  <si>
    <t>SENSOR TPS</t>
  </si>
  <si>
    <t xml:space="preserve">SERVICIO DE PRENSA </t>
  </si>
  <si>
    <t>SERVICIO DE SCANER</t>
  </si>
  <si>
    <t>SINCRONIZAR</t>
  </si>
  <si>
    <t>SINCRONIZAR MOTOR</t>
  </si>
  <si>
    <t>SOLDADURA EXOSTO</t>
  </si>
  <si>
    <t>SOPORTE AMORTIGUADOR</t>
  </si>
  <si>
    <t>SOPORTE BASTIDOR DER</t>
  </si>
  <si>
    <t>SOPORTE BOMPER</t>
  </si>
  <si>
    <t>SOPORTE CABINA</t>
  </si>
  <si>
    <t>SOPORTE CAJA</t>
  </si>
  <si>
    <t>SOPORTE CAJA IZQ</t>
  </si>
  <si>
    <t>SOPORTE CENTRAL</t>
  </si>
  <si>
    <t>SOPORTE MOTOR</t>
  </si>
  <si>
    <t>SOPORTE TRASERO CARROCERIA</t>
  </si>
  <si>
    <t>SUAVISAR PUERTAS</t>
  </si>
  <si>
    <t>SUPER BONDER EXTRA</t>
  </si>
  <si>
    <t>SUPER PROTECTOR</t>
  </si>
  <si>
    <t>SWITCH</t>
  </si>
  <si>
    <t>SWITCH CONTROL LUCES</t>
  </si>
  <si>
    <t>SWITCH PILOTO 1 GOLPE</t>
  </si>
  <si>
    <t>TANQUE RADIADOR</t>
  </si>
  <si>
    <t>TAPA CORREA REPARTICION</t>
  </si>
  <si>
    <t>TAPA RADIADOR</t>
  </si>
  <si>
    <t>TAPETES UNIVERSAL</t>
  </si>
  <si>
    <t>TAPIZADO SILLA CONDUCTOR</t>
  </si>
  <si>
    <t>TAPON CULATA EJE DE LEVAS TRASERO</t>
  </si>
  <si>
    <t>TEMPLETE SUPERIOR CARROCERIA</t>
  </si>
  <si>
    <t>TEMPLETE TRASERO DERECHO</t>
  </si>
  <si>
    <t>TENSOR ALTERNADOR</t>
  </si>
  <si>
    <t>TENSOR CORREA MULTISERVICIOS</t>
  </si>
  <si>
    <t>TERCER STOP</t>
  </si>
  <si>
    <t>TERMINAL DE DIRECCION</t>
  </si>
  <si>
    <t>TERMINAL ENCHUFE HEMBRA CON PIN</t>
  </si>
  <si>
    <t>TERMINALES BARRA ESTABILIZADORA</t>
  </si>
  <si>
    <t>TERMOSTATO</t>
  </si>
  <si>
    <t>TIJERA INFERIOR IZQUIERDA</t>
  </si>
  <si>
    <t xml:space="preserve">TORQUE SUSPENSION </t>
  </si>
  <si>
    <t xml:space="preserve">TORQUEAR SUSPENSION </t>
  </si>
  <si>
    <t>TUBO CONEXION RADIADOR</t>
  </si>
  <si>
    <t>TUERCA</t>
  </si>
  <si>
    <t>TUERCA PERNO RUEDA</t>
  </si>
  <si>
    <t>VALVULA IAC</t>
  </si>
  <si>
    <t>VALVULA RIN</t>
  </si>
  <si>
    <t>VALVULINA</t>
  </si>
  <si>
    <t>VARILLA ACEITE</t>
  </si>
  <si>
    <t>VARSOL</t>
  </si>
  <si>
    <t>VENTILADOR</t>
  </si>
  <si>
    <t>VULCANIZAR LLANTA</t>
  </si>
  <si>
    <t>REVISAR SISTEMA ALIMENTACION 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</si>
</sst>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[$$-240A]\ #,##0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2"/>
      <color theme="0" tint="-0.249977111117893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Bahnschrift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8"/>
      <color theme="1"/>
      <name val="Bahnschrift"/>
    </font>
    <font>
      <sz val="11"/>
      <color theme="1"/>
      <name val="Bahnschrift"/>
    </font>
    <font>
      <sz val="8"/>
      <color rgb="FFFF0000"/>
      <name val="Arial"/>
    </font>
    <font>
      <sz val="8"/>
      <color theme="1"/>
      <name val="Arial"/>
    </font>
    <font>
      <sz val="11"/>
      <color theme="1"/>
      <name val="Arial"/>
    </font>
    <font>
      <sz val="9"/>
      <name val="Arial"/>
    </font>
    <font>
      <b/>
      <sz val="9"/>
      <color theme="1"/>
      <name val="Arial"/>
    </font>
    <font>
      <sz val="9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41">
    <xf numFmtId="0" fontId="0" fillId="0" borderId="0" xfId="0"/>
    <xf numFmtId="0" fontId="5" fillId="0" borderId="0" xfId="0" applyFont="1"/>
    <xf numFmtId="0" fontId="8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vertical="center"/>
    </xf>
    <xf numFmtId="0" fontId="10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0" fillId="0" borderId="0" xfId="0" applyFont="1"/>
    <xf numFmtId="0" fontId="5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14" fontId="1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right" vertical="center"/>
    </xf>
    <xf numFmtId="0" fontId="0" fillId="0" borderId="1" xfId="0" applyBorder="1"/>
    <xf numFmtId="1" fontId="14" fillId="0" borderId="1" xfId="0" applyNumberFormat="1" applyFont="1" applyBorder="1"/>
    <xf numFmtId="14" fontId="16" fillId="0" borderId="1" xfId="0" applyNumberFormat="1" applyFont="1" applyBorder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7" fillId="0" borderId="1" xfId="0" applyFont="1" applyBorder="1" applyAlignment="1" applyProtection="1">
      <alignment horizontal="center" vertical="center"/>
      <protection locked="0"/>
    </xf>
    <xf numFmtId="0" fontId="21" fillId="5" borderId="1" xfId="0" applyFont="1" applyFill="1" applyBorder="1" applyAlignment="1">
      <alignment horizontal="left" wrapText="1"/>
    </xf>
    <xf numFmtId="0" fontId="21" fillId="0" borderId="1" xfId="0" applyFont="1" applyBorder="1" applyAlignment="1">
      <alignment horizontal="left"/>
    </xf>
    <xf numFmtId="0" fontId="21" fillId="5" borderId="1" xfId="0" applyFont="1" applyFill="1" applyBorder="1" applyAlignment="1">
      <alignment vertical="top" wrapText="1"/>
    </xf>
    <xf numFmtId="0" fontId="21" fillId="5" borderId="4" xfId="0" applyFont="1" applyFill="1" applyBorder="1" applyAlignment="1">
      <alignment horizontal="left" wrapText="1"/>
    </xf>
    <xf numFmtId="0" fontId="0" fillId="0" borderId="0" xfId="0" applyAlignment="1">
      <alignment vertical="center"/>
    </xf>
    <xf numFmtId="14" fontId="0" fillId="0" borderId="1" xfId="0" applyNumberFormat="1" applyBorder="1"/>
    <xf numFmtId="0" fontId="25" fillId="2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4" fontId="11" fillId="3" borderId="7" xfId="0" applyNumberFormat="1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0" fillId="0" borderId="12" xfId="0" applyFont="1" applyBorder="1" applyAlignment="1">
      <alignment vertical="center"/>
    </xf>
    <xf numFmtId="0" fontId="20" fillId="0" borderId="12" xfId="0" applyFont="1" applyBorder="1" applyAlignment="1">
      <alignment horizontal="center" vertical="center" wrapText="1"/>
    </xf>
    <xf numFmtId="164" fontId="9" fillId="0" borderId="12" xfId="1" applyFont="1" applyFill="1" applyBorder="1" applyAlignment="1">
      <alignment vertical="center"/>
    </xf>
    <xf numFmtId="164" fontId="10" fillId="0" borderId="12" xfId="1" applyFont="1" applyFill="1" applyBorder="1" applyAlignment="1">
      <alignment vertical="center"/>
    </xf>
    <xf numFmtId="164" fontId="9" fillId="0" borderId="12" xfId="1" applyFont="1" applyFill="1" applyBorder="1" applyAlignment="1">
      <alignment horizontal="center" vertical="center"/>
    </xf>
    <xf numFmtId="164" fontId="10" fillId="0" borderId="12" xfId="1" applyFont="1" applyBorder="1" applyAlignment="1">
      <alignment vertical="center"/>
    </xf>
    <xf numFmtId="164" fontId="10" fillId="0" borderId="12" xfId="0" applyNumberFormat="1" applyFont="1" applyBorder="1" applyAlignment="1">
      <alignment vertical="center"/>
    </xf>
    <xf numFmtId="0" fontId="26" fillId="0" borderId="12" xfId="2" applyFont="1" applyBorder="1" applyAlignment="1">
      <alignment vertical="center"/>
    </xf>
    <xf numFmtId="164" fontId="10" fillId="0" borderId="12" xfId="1" applyFont="1" applyFill="1" applyBorder="1" applyAlignment="1">
      <alignment horizontal="center" vertical="center"/>
    </xf>
    <xf numFmtId="165" fontId="0" fillId="0" borderId="12" xfId="0" applyNumberFormat="1" applyBorder="1" applyAlignment="1">
      <alignment vertical="center"/>
    </xf>
    <xf numFmtId="0" fontId="5" fillId="0" borderId="1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wrapText="1"/>
    </xf>
    <xf numFmtId="165" fontId="0" fillId="0" borderId="13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4" fontId="27" fillId="0" borderId="13" xfId="0" applyNumberFormat="1" applyFont="1" applyBorder="1" applyAlignment="1">
      <alignment horizontal="center" vertical="center"/>
    </xf>
    <xf numFmtId="14" fontId="27" fillId="0" borderId="14" xfId="0" applyNumberFormat="1" applyFont="1" applyBorder="1" applyAlignment="1">
      <alignment horizontal="center" vertical="center"/>
    </xf>
    <xf numFmtId="14" fontId="27" fillId="0" borderId="15" xfId="0" applyNumberFormat="1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30" fillId="0" borderId="8" xfId="0" applyFont="1" applyBorder="1" applyAlignment="1">
      <alignment horizontal="center"/>
    </xf>
    <xf numFmtId="14" fontId="31" fillId="0" borderId="7" xfId="0" applyNumberFormat="1" applyFont="1" applyBorder="1" applyAlignment="1">
      <alignment horizontal="center"/>
    </xf>
    <xf numFmtId="14" fontId="31" fillId="0" borderId="4" xfId="0" applyNumberFormat="1" applyFont="1" applyBorder="1" applyAlignment="1">
      <alignment horizontal="center"/>
    </xf>
    <xf numFmtId="14" fontId="31" fillId="0" borderId="8" xfId="0" applyNumberFormat="1" applyFont="1" applyBorder="1" applyAlignment="1">
      <alignment horizontal="center"/>
    </xf>
    <xf numFmtId="0" fontId="24" fillId="0" borderId="13" xfId="2" applyBorder="1" applyAlignment="1">
      <alignment horizontal="center" vertical="center"/>
    </xf>
    <xf numFmtId="0" fontId="24" fillId="0" borderId="14" xfId="2" applyBorder="1" applyAlignment="1">
      <alignment horizontal="center" vertical="center"/>
    </xf>
    <xf numFmtId="0" fontId="24" fillId="0" borderId="15" xfId="2" applyBorder="1" applyAlignment="1">
      <alignment horizontal="center" vertical="center"/>
    </xf>
    <xf numFmtId="0" fontId="20" fillId="0" borderId="12" xfId="0" applyFont="1" applyBorder="1" applyAlignment="1">
      <alignment horizontal="left" vertical="center"/>
    </xf>
    <xf numFmtId="0" fontId="27" fillId="0" borderId="12" xfId="0" applyFont="1" applyBorder="1" applyAlignment="1">
      <alignment horizontal="left" vertical="center"/>
    </xf>
    <xf numFmtId="0" fontId="30" fillId="0" borderId="12" xfId="0" applyFont="1" applyBorder="1" applyAlignment="1">
      <alignment horizontal="center" vertical="center" wrapText="1"/>
    </xf>
    <xf numFmtId="0" fontId="30" fillId="0" borderId="1" xfId="0" applyFont="1" applyBorder="1"/>
    <xf numFmtId="0" fontId="29" fillId="0" borderId="2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0" fillId="0" borderId="0" xfId="0" applyFont="1"/>
    <xf numFmtId="164" fontId="34" fillId="0" borderId="1" xfId="0" applyNumberFormat="1" applyFont="1" applyBorder="1" applyAlignment="1">
      <alignment vertical="center"/>
    </xf>
    <xf numFmtId="164" fontId="34" fillId="0" borderId="1" xfId="1" applyFont="1" applyBorder="1" applyAlignment="1">
      <alignment vertical="center"/>
    </xf>
    <xf numFmtId="164" fontId="32" fillId="0" borderId="1" xfId="1" applyFont="1" applyBorder="1" applyAlignment="1">
      <alignment horizontal="center" vertical="center"/>
    </xf>
    <xf numFmtId="164" fontId="32" fillId="0" borderId="1" xfId="1" applyFont="1" applyBorder="1" applyAlignment="1">
      <alignment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164" fontId="34" fillId="0" borderId="8" xfId="0" applyNumberFormat="1" applyFont="1" applyBorder="1" applyAlignment="1">
      <alignment vertical="center"/>
    </xf>
    <xf numFmtId="164" fontId="34" fillId="0" borderId="8" xfId="1" applyFont="1" applyBorder="1" applyAlignment="1">
      <alignment vertical="center"/>
    </xf>
    <xf numFmtId="164" fontId="32" fillId="0" borderId="8" xfId="1" applyFont="1" applyBorder="1" applyAlignment="1">
      <alignment horizontal="center" vertical="center"/>
    </xf>
    <xf numFmtId="164" fontId="32" fillId="0" borderId="8" xfId="1" applyFont="1" applyBorder="1" applyAlignment="1">
      <alignment vertical="center"/>
    </xf>
    <xf numFmtId="0" fontId="27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/>
    </xf>
    <xf numFmtId="14" fontId="27" fillId="0" borderId="8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7" fillId="0" borderId="8" xfId="0" applyFont="1" applyBorder="1" applyAlignment="1">
      <alignment vertical="center"/>
    </xf>
    <xf numFmtId="0" fontId="29" fillId="0" borderId="1" xfId="0" applyFont="1" applyBorder="1" applyAlignment="1">
      <alignment horizontal="center"/>
    </xf>
    <xf numFmtId="164" fontId="34" fillId="0" borderId="12" xfId="0" applyNumberFormat="1" applyFont="1" applyBorder="1" applyAlignment="1">
      <alignment vertical="center"/>
    </xf>
    <xf numFmtId="164" fontId="34" fillId="0" borderId="12" xfId="1" applyFont="1" applyBorder="1" applyAlignment="1">
      <alignment vertical="center"/>
    </xf>
    <xf numFmtId="164" fontId="34" fillId="0" borderId="12" xfId="1" applyFont="1" applyBorder="1" applyAlignment="1">
      <alignment horizontal="center" vertical="center"/>
    </xf>
    <xf numFmtId="164" fontId="32" fillId="0" borderId="12" xfId="1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/>
    </xf>
    <xf numFmtId="14" fontId="27" fillId="0" borderId="12" xfId="0" applyNumberFormat="1" applyFont="1" applyBorder="1" applyAlignment="1">
      <alignment vertical="center"/>
    </xf>
    <xf numFmtId="0" fontId="28" fillId="0" borderId="12" xfId="0" applyFont="1" applyBorder="1" applyAlignment="1">
      <alignment vertical="center"/>
    </xf>
    <xf numFmtId="0" fontId="27" fillId="0" borderId="12" xfId="0" applyFont="1" applyBorder="1" applyAlignment="1">
      <alignment vertical="center"/>
    </xf>
    <xf numFmtId="0" fontId="30" fillId="0" borderId="2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ersoneriabogota-my.sharepoint.com/:b:/g/personal/sgdrecfisicos_personeriabogota_gov_co/Ef2d1TxG_htOkj4yNkTdJd8BMwnNcD_jJ-lyZSxY22iP0A?e=YzDHUy" TargetMode="External"/><Relationship Id="rId1" Type="http://schemas.openxmlformats.org/officeDocument/2006/relationships/hyperlink" Target="https://personeriabogota-my.sharepoint.com/:b:/g/personal/sgdrecfisicos_personeriabogota_gov_co/ESJQNwPPVDpIqZpyByYeDOQBN4vz4S10QI5dRBpgB4tPDQ?e=XnS1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7"/>
  <sheetViews>
    <sheetView tabSelected="1" topLeftCell="E24" zoomScale="70" zoomScaleNormal="70" workbookViewId="0">
      <selection activeCell="K27" sqref="K27"/>
    </sheetView>
  </sheetViews>
  <sheetFormatPr defaultColWidth="0" defaultRowHeight="15"/>
  <cols>
    <col min="1" max="2" width="1.85546875" customWidth="1"/>
    <col min="3" max="3" width="22.5703125" bestFit="1" customWidth="1"/>
    <col min="4" max="4" width="16.5703125" customWidth="1"/>
    <col min="5" max="5" width="16" customWidth="1"/>
    <col min="6" max="6" width="21.5703125" customWidth="1"/>
    <col min="7" max="7" width="15.7109375" bestFit="1" customWidth="1"/>
    <col min="8" max="8" width="12.5703125" customWidth="1"/>
    <col min="9" max="9" width="18.7109375" customWidth="1"/>
    <col min="10" max="10" width="13" customWidth="1"/>
    <col min="11" max="11" width="16.7109375" customWidth="1"/>
    <col min="12" max="12" width="22.42578125" customWidth="1"/>
    <col min="13" max="13" width="7.5703125" customWidth="1"/>
    <col min="14" max="14" width="12.85546875" style="30" customWidth="1"/>
    <col min="15" max="15" width="13.85546875" bestFit="1" customWidth="1"/>
    <col min="16" max="16" width="12.85546875" customWidth="1"/>
    <col min="17" max="17" width="15.140625" bestFit="1" customWidth="1"/>
    <col min="18" max="18" width="13.140625" customWidth="1"/>
    <col min="19" max="19" width="14.140625" style="12" customWidth="1"/>
    <col min="20" max="20" width="13.85546875" bestFit="1" customWidth="1"/>
    <col min="21" max="21" width="13.42578125" customWidth="1"/>
    <col min="22" max="22" width="15.7109375" customWidth="1"/>
    <col min="23" max="24" width="14.140625" customWidth="1"/>
    <col min="25" max="25" width="13.7109375" customWidth="1"/>
    <col min="26" max="26" width="11.42578125" customWidth="1"/>
  </cols>
  <sheetData>
    <row r="1" spans="1:23">
      <c r="A1" s="1"/>
      <c r="B1" s="1"/>
      <c r="C1" s="53" t="s">
        <v>0</v>
      </c>
      <c r="D1" s="53"/>
      <c r="E1" s="53"/>
      <c r="F1" s="54" t="s">
        <v>1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5" t="s">
        <v>2</v>
      </c>
      <c r="V1" s="55"/>
      <c r="W1" s="55"/>
    </row>
    <row r="2" spans="1:23">
      <c r="A2" s="1"/>
      <c r="B2" s="1"/>
      <c r="C2" s="53"/>
      <c r="D2" s="53"/>
      <c r="E2" s="53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6" t="s">
        <v>3</v>
      </c>
      <c r="V2" s="56"/>
      <c r="W2" s="15" t="s">
        <v>4</v>
      </c>
    </row>
    <row r="3" spans="1:23">
      <c r="A3" s="1"/>
      <c r="B3" s="1"/>
      <c r="C3" s="53"/>
      <c r="D3" s="53"/>
      <c r="E3" s="53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6" t="s">
        <v>5</v>
      </c>
      <c r="V3" s="56"/>
      <c r="W3" s="56"/>
    </row>
    <row r="4" spans="1:23">
      <c r="A4" s="1"/>
      <c r="B4" s="1"/>
      <c r="C4" s="53"/>
      <c r="D4" s="53"/>
      <c r="E4" s="53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6"/>
      <c r="V4" s="56"/>
      <c r="W4" s="56"/>
    </row>
    <row r="5" spans="1:23" ht="23.25">
      <c r="A5" s="1"/>
      <c r="B5" s="1"/>
      <c r="C5" s="52" t="s">
        <v>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</row>
    <row r="6" spans="1:23" ht="18">
      <c r="A6" s="1"/>
      <c r="B6" s="1"/>
      <c r="C6" s="51" t="s">
        <v>7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spans="1:23" ht="25.5">
      <c r="A7" s="1"/>
      <c r="B7" s="1"/>
      <c r="C7" s="16" t="s">
        <v>8</v>
      </c>
      <c r="D7" s="16" t="s">
        <v>9</v>
      </c>
      <c r="E7" s="2" t="s">
        <v>10</v>
      </c>
      <c r="F7" s="57" t="s">
        <v>11</v>
      </c>
      <c r="G7" s="57"/>
      <c r="H7" s="57" t="s">
        <v>12</v>
      </c>
      <c r="I7" s="57"/>
      <c r="J7" s="57" t="s">
        <v>13</v>
      </c>
      <c r="K7" s="57"/>
      <c r="L7" s="58" t="s">
        <v>14</v>
      </c>
      <c r="M7" s="58"/>
      <c r="N7" s="16" t="s">
        <v>15</v>
      </c>
      <c r="O7" s="57" t="s">
        <v>16</v>
      </c>
      <c r="P7" s="57"/>
      <c r="Q7" s="57" t="s">
        <v>17</v>
      </c>
      <c r="R7" s="57"/>
      <c r="S7" s="57" t="s">
        <v>18</v>
      </c>
      <c r="T7" s="57"/>
      <c r="U7" s="16" t="s">
        <v>19</v>
      </c>
      <c r="V7" s="57" t="s">
        <v>20</v>
      </c>
      <c r="W7" s="57"/>
    </row>
    <row r="8" spans="1:23">
      <c r="A8" s="1"/>
      <c r="B8" s="1"/>
      <c r="C8" s="25" t="s">
        <v>21</v>
      </c>
      <c r="D8" s="18" t="s">
        <v>22</v>
      </c>
      <c r="E8" s="19" t="s">
        <v>23</v>
      </c>
      <c r="F8" s="61" t="s">
        <v>24</v>
      </c>
      <c r="G8" s="61"/>
      <c r="H8" s="61" t="s">
        <v>25</v>
      </c>
      <c r="I8" s="61"/>
      <c r="J8" s="71" t="s">
        <v>26</v>
      </c>
      <c r="K8" s="71"/>
      <c r="L8" s="60" t="s">
        <v>27</v>
      </c>
      <c r="M8" s="60"/>
      <c r="N8" s="18">
        <v>3000</v>
      </c>
      <c r="O8" s="61" t="s">
        <v>27</v>
      </c>
      <c r="P8" s="61"/>
      <c r="Q8" s="62" t="s">
        <v>28</v>
      </c>
      <c r="R8" s="62"/>
      <c r="S8" s="63">
        <v>1266621</v>
      </c>
      <c r="T8" s="63"/>
      <c r="U8" s="12">
        <v>14</v>
      </c>
      <c r="V8" s="64" t="s">
        <v>29</v>
      </c>
      <c r="W8" s="64"/>
    </row>
    <row r="9" spans="1:23" ht="18">
      <c r="A9" s="3"/>
      <c r="B9" s="3"/>
      <c r="C9" s="51" t="s">
        <v>30</v>
      </c>
      <c r="D9" s="51"/>
      <c r="E9" s="51"/>
      <c r="F9" s="51"/>
      <c r="G9" s="51"/>
      <c r="H9" s="51"/>
      <c r="I9" s="51" t="s">
        <v>31</v>
      </c>
      <c r="J9" s="51"/>
      <c r="K9" s="51"/>
      <c r="L9" s="51"/>
      <c r="M9" s="51"/>
      <c r="N9" s="51"/>
      <c r="O9" s="51"/>
      <c r="P9" s="51"/>
      <c r="Q9" s="51" t="s">
        <v>32</v>
      </c>
      <c r="R9" s="51"/>
      <c r="S9" s="51"/>
      <c r="T9" s="51"/>
      <c r="U9" s="51"/>
      <c r="V9" s="51"/>
      <c r="W9" s="51"/>
    </row>
    <row r="10" spans="1:23" ht="24">
      <c r="A10" s="7"/>
      <c r="B10" s="7"/>
      <c r="C10" s="4" t="s">
        <v>33</v>
      </c>
      <c r="D10" s="5" t="s">
        <v>34</v>
      </c>
      <c r="E10" s="5" t="s">
        <v>35</v>
      </c>
      <c r="F10" s="4" t="s">
        <v>33</v>
      </c>
      <c r="G10" s="5" t="s">
        <v>34</v>
      </c>
      <c r="H10" s="5" t="s">
        <v>35</v>
      </c>
      <c r="I10" s="68" t="s">
        <v>36</v>
      </c>
      <c r="J10" s="68"/>
      <c r="K10" s="5" t="s">
        <v>34</v>
      </c>
      <c r="L10" s="5" t="s">
        <v>35</v>
      </c>
      <c r="M10" s="69" t="s">
        <v>36</v>
      </c>
      <c r="N10" s="69"/>
      <c r="O10" s="5" t="s">
        <v>34</v>
      </c>
      <c r="P10" s="5" t="s">
        <v>35</v>
      </c>
      <c r="Q10" s="6" t="s">
        <v>37</v>
      </c>
      <c r="R10" s="68" t="s">
        <v>38</v>
      </c>
      <c r="S10" s="68"/>
      <c r="T10" s="68"/>
      <c r="U10" s="70" t="s">
        <v>39</v>
      </c>
      <c r="V10" s="70"/>
      <c r="W10" s="70"/>
    </row>
    <row r="11" spans="1:23">
      <c r="A11" s="8"/>
      <c r="B11" s="8"/>
      <c r="C11" s="14">
        <v>9617495</v>
      </c>
      <c r="D11" s="13">
        <v>38849</v>
      </c>
      <c r="E11" s="13">
        <v>39214</v>
      </c>
      <c r="F11" s="14">
        <v>9201121000614</v>
      </c>
      <c r="G11" s="31">
        <v>44239</v>
      </c>
      <c r="H11" s="31">
        <v>44603</v>
      </c>
      <c r="I11" s="59" t="s">
        <v>40</v>
      </c>
      <c r="J11" s="59"/>
      <c r="K11" s="23">
        <v>40114</v>
      </c>
      <c r="L11" s="23">
        <v>40844</v>
      </c>
      <c r="M11" s="65"/>
      <c r="N11" s="65"/>
      <c r="O11" s="17"/>
      <c r="P11" s="17"/>
      <c r="Q11" s="17"/>
      <c r="R11" s="66"/>
      <c r="S11" s="66"/>
      <c r="T11" s="66"/>
      <c r="U11" s="67"/>
      <c r="V11" s="67"/>
      <c r="W11" s="67"/>
    </row>
    <row r="12" spans="1:23">
      <c r="A12" s="9"/>
      <c r="B12" s="9"/>
      <c r="C12" s="14">
        <v>21688004</v>
      </c>
      <c r="D12" s="13">
        <v>39784</v>
      </c>
      <c r="E12" s="13">
        <v>40149</v>
      </c>
      <c r="F12" s="21">
        <v>82977870</v>
      </c>
      <c r="G12" s="31">
        <v>44604</v>
      </c>
      <c r="H12" s="31">
        <v>44968</v>
      </c>
      <c r="I12" s="72" t="s">
        <v>41</v>
      </c>
      <c r="J12" s="72"/>
      <c r="K12" s="23">
        <v>40834</v>
      </c>
      <c r="L12" s="23">
        <v>41199</v>
      </c>
      <c r="M12" s="50"/>
      <c r="N12" s="50"/>
      <c r="O12" s="17"/>
      <c r="P12" s="17"/>
      <c r="Q12" s="17"/>
      <c r="R12" s="63"/>
      <c r="S12" s="63"/>
      <c r="T12" s="63"/>
      <c r="U12" s="48"/>
      <c r="V12" s="48"/>
      <c r="W12" s="48"/>
    </row>
    <row r="13" spans="1:23">
      <c r="A13" s="10"/>
      <c r="B13" s="10"/>
      <c r="C13" s="14">
        <v>81391730</v>
      </c>
      <c r="D13" s="13">
        <v>40149</v>
      </c>
      <c r="E13" s="13">
        <v>40514</v>
      </c>
      <c r="F13" s="21">
        <v>9800004461</v>
      </c>
      <c r="G13" s="31">
        <v>44969</v>
      </c>
      <c r="H13" s="31">
        <v>45333</v>
      </c>
      <c r="I13" s="72" t="s">
        <v>42</v>
      </c>
      <c r="J13" s="72"/>
      <c r="K13" s="23">
        <v>41198</v>
      </c>
      <c r="L13" s="23">
        <v>41563</v>
      </c>
      <c r="M13" s="50"/>
      <c r="N13" s="50"/>
      <c r="O13" s="17"/>
      <c r="P13" s="17"/>
      <c r="Q13" s="17"/>
      <c r="R13" s="63"/>
      <c r="S13" s="63"/>
      <c r="T13" s="63"/>
      <c r="U13" s="48"/>
      <c r="V13" s="48"/>
      <c r="W13" s="48"/>
    </row>
    <row r="14" spans="1:23">
      <c r="A14" s="10"/>
      <c r="B14" s="10"/>
      <c r="C14" s="20">
        <v>7008001213546000</v>
      </c>
      <c r="D14" s="13">
        <v>40514</v>
      </c>
      <c r="E14" s="13">
        <v>40879</v>
      </c>
      <c r="F14" s="21"/>
      <c r="G14" s="21"/>
      <c r="H14" s="21"/>
      <c r="I14" s="59" t="s">
        <v>43</v>
      </c>
      <c r="J14" s="59"/>
      <c r="K14" s="23">
        <v>41563</v>
      </c>
      <c r="L14" s="23">
        <v>41928</v>
      </c>
      <c r="M14" s="50"/>
      <c r="N14" s="50"/>
      <c r="O14" s="17"/>
      <c r="P14" s="17"/>
      <c r="Q14" s="17"/>
      <c r="R14" s="63"/>
      <c r="S14" s="63"/>
      <c r="T14" s="63"/>
      <c r="U14" s="48"/>
      <c r="V14" s="48"/>
      <c r="W14" s="48"/>
    </row>
    <row r="15" spans="1:23">
      <c r="A15" s="10"/>
      <c r="B15" s="10"/>
      <c r="C15" s="14">
        <v>77432913</v>
      </c>
      <c r="D15" s="13">
        <v>40879</v>
      </c>
      <c r="E15" s="13">
        <v>41245</v>
      </c>
      <c r="F15" s="21"/>
      <c r="G15" s="21"/>
      <c r="H15" s="21"/>
      <c r="I15" s="72" t="s">
        <v>42</v>
      </c>
      <c r="J15" s="72"/>
      <c r="K15" s="23">
        <v>41928</v>
      </c>
      <c r="L15" s="23">
        <v>42293</v>
      </c>
      <c r="M15" s="50"/>
      <c r="N15" s="50"/>
      <c r="O15" s="17"/>
      <c r="P15" s="17"/>
      <c r="Q15" s="17"/>
      <c r="R15" s="63"/>
      <c r="S15" s="63"/>
      <c r="T15" s="63"/>
      <c r="U15" s="48"/>
      <c r="V15" s="48"/>
      <c r="W15" s="48"/>
    </row>
    <row r="16" spans="1:23" ht="15.75">
      <c r="A16" s="10"/>
      <c r="B16" s="10"/>
      <c r="C16" s="22">
        <v>247145021</v>
      </c>
      <c r="D16" s="13" t="s">
        <v>44</v>
      </c>
      <c r="E16" s="13">
        <v>41610</v>
      </c>
      <c r="F16" s="21"/>
      <c r="G16" s="21"/>
      <c r="H16" s="21"/>
      <c r="I16" s="59" t="s">
        <v>45</v>
      </c>
      <c r="J16" s="59"/>
      <c r="K16" s="23">
        <v>42286</v>
      </c>
      <c r="L16" s="23">
        <v>42652</v>
      </c>
      <c r="M16" s="50"/>
      <c r="N16" s="50"/>
      <c r="O16" s="17"/>
      <c r="P16" s="17"/>
      <c r="Q16" s="17"/>
      <c r="R16" s="63"/>
      <c r="S16" s="63"/>
      <c r="T16" s="63"/>
      <c r="U16" s="48"/>
      <c r="V16" s="48"/>
      <c r="W16" s="48"/>
    </row>
    <row r="17" spans="1:25" ht="15.75">
      <c r="A17" s="10"/>
      <c r="B17" s="10"/>
      <c r="C17" s="14">
        <v>263951586</v>
      </c>
      <c r="D17" s="13" t="s">
        <v>46</v>
      </c>
      <c r="E17" s="13">
        <v>41975</v>
      </c>
      <c r="F17" s="14"/>
      <c r="G17" s="13"/>
      <c r="H17" s="13"/>
      <c r="I17" s="73" t="s">
        <v>47</v>
      </c>
      <c r="J17" s="73"/>
      <c r="K17" s="24">
        <v>42663</v>
      </c>
      <c r="L17" s="23">
        <v>43028</v>
      </c>
      <c r="M17" s="50"/>
      <c r="N17" s="50"/>
      <c r="O17" s="17"/>
      <c r="P17" s="17"/>
      <c r="Q17" s="17"/>
      <c r="R17" s="63"/>
      <c r="S17" s="63"/>
      <c r="T17" s="63"/>
      <c r="U17" s="48"/>
      <c r="V17" s="48"/>
      <c r="W17" s="48"/>
    </row>
    <row r="18" spans="1:25" ht="15.75">
      <c r="A18" s="10"/>
      <c r="B18" s="10"/>
      <c r="C18" s="14">
        <v>122559975</v>
      </c>
      <c r="D18" s="13" t="s">
        <v>48</v>
      </c>
      <c r="E18" s="13">
        <v>42340</v>
      </c>
      <c r="F18" s="14"/>
      <c r="G18" s="13"/>
      <c r="H18" s="13"/>
      <c r="I18" s="73" t="s">
        <v>47</v>
      </c>
      <c r="J18" s="73"/>
      <c r="K18" s="23">
        <v>43027</v>
      </c>
      <c r="L18" s="23">
        <v>43392</v>
      </c>
      <c r="M18" s="50"/>
      <c r="N18" s="50"/>
      <c r="O18" s="17"/>
      <c r="P18" s="17"/>
      <c r="Q18" s="17"/>
      <c r="R18" s="63"/>
      <c r="S18" s="63"/>
      <c r="T18" s="63"/>
      <c r="U18" s="48"/>
      <c r="V18" s="48"/>
      <c r="W18" s="48"/>
    </row>
    <row r="19" spans="1:25" ht="15.75">
      <c r="A19" s="10"/>
      <c r="B19" s="10"/>
      <c r="C19" s="14">
        <v>298510542</v>
      </c>
      <c r="D19" s="13" t="s">
        <v>49</v>
      </c>
      <c r="E19" s="13">
        <v>42706</v>
      </c>
      <c r="F19" s="14"/>
      <c r="G19" s="13"/>
      <c r="H19" s="13"/>
      <c r="I19" s="73" t="s">
        <v>47</v>
      </c>
      <c r="J19" s="73"/>
      <c r="K19" s="23">
        <v>43391</v>
      </c>
      <c r="L19" s="23">
        <v>43756</v>
      </c>
      <c r="M19" s="50"/>
      <c r="N19" s="50"/>
      <c r="O19" s="17"/>
      <c r="P19" s="17"/>
      <c r="Q19" s="17"/>
      <c r="R19" s="63"/>
      <c r="S19" s="63"/>
      <c r="T19" s="63"/>
      <c r="U19" s="48"/>
      <c r="V19" s="48"/>
      <c r="W19" s="48"/>
    </row>
    <row r="20" spans="1:25" ht="15.75">
      <c r="A20" s="10"/>
      <c r="B20" s="10"/>
      <c r="C20" s="14">
        <v>145830775</v>
      </c>
      <c r="D20" s="13" t="s">
        <v>50</v>
      </c>
      <c r="E20" s="13">
        <v>43071</v>
      </c>
      <c r="F20" s="14"/>
      <c r="G20" s="13"/>
      <c r="H20" s="13"/>
      <c r="I20" s="73" t="s">
        <v>47</v>
      </c>
      <c r="J20" s="73"/>
      <c r="K20" s="23">
        <v>43753</v>
      </c>
      <c r="L20" s="23">
        <v>44119</v>
      </c>
      <c r="M20" s="50"/>
      <c r="N20" s="50"/>
      <c r="O20" s="17"/>
      <c r="P20" s="17"/>
      <c r="Q20" s="17"/>
      <c r="R20" s="63"/>
      <c r="S20" s="63"/>
      <c r="T20" s="63"/>
      <c r="U20" s="48"/>
      <c r="V20" s="48"/>
      <c r="W20" s="48"/>
    </row>
    <row r="21" spans="1:25" ht="15.75">
      <c r="A21" s="10"/>
      <c r="B21" s="10"/>
      <c r="C21" s="14">
        <v>7008001450944000</v>
      </c>
      <c r="D21" s="13" t="s">
        <v>51</v>
      </c>
      <c r="E21" s="13">
        <v>43436</v>
      </c>
      <c r="F21" s="14"/>
      <c r="G21" s="13"/>
      <c r="H21" s="13"/>
      <c r="I21" s="73" t="s">
        <v>47</v>
      </c>
      <c r="J21" s="73"/>
      <c r="K21" s="23">
        <v>44119</v>
      </c>
      <c r="L21" s="23">
        <v>44484</v>
      </c>
      <c r="M21" s="50"/>
      <c r="N21" s="50"/>
      <c r="O21" s="17"/>
      <c r="P21" s="17"/>
      <c r="Q21" s="17"/>
      <c r="R21" s="63"/>
      <c r="S21" s="63"/>
      <c r="T21" s="63"/>
      <c r="U21" s="48"/>
      <c r="V21" s="48"/>
      <c r="W21" s="48"/>
    </row>
    <row r="22" spans="1:25">
      <c r="A22" s="10"/>
      <c r="B22" s="10"/>
      <c r="C22" s="14">
        <v>111608965</v>
      </c>
      <c r="D22" s="13">
        <v>43436</v>
      </c>
      <c r="E22" s="13">
        <v>43771</v>
      </c>
      <c r="F22" s="14"/>
      <c r="G22" s="13"/>
      <c r="H22" s="13"/>
      <c r="I22" s="59" t="s">
        <v>52</v>
      </c>
      <c r="J22" s="59"/>
      <c r="K22" s="23">
        <v>44482</v>
      </c>
      <c r="L22" s="23">
        <v>44847</v>
      </c>
      <c r="M22" s="50"/>
      <c r="N22" s="50"/>
      <c r="O22" s="17"/>
      <c r="P22" s="17"/>
      <c r="Q22" s="17"/>
      <c r="R22" s="63"/>
      <c r="S22" s="63"/>
      <c r="T22" s="63"/>
      <c r="U22" s="48"/>
      <c r="V22" s="48"/>
      <c r="W22" s="48"/>
    </row>
    <row r="23" spans="1:25" ht="15.75">
      <c r="A23" s="10"/>
      <c r="B23" s="10"/>
      <c r="C23" s="14">
        <v>8021624700</v>
      </c>
      <c r="D23" s="13">
        <v>43508</v>
      </c>
      <c r="E23" s="13">
        <v>43872</v>
      </c>
      <c r="F23" s="14"/>
      <c r="G23" s="13"/>
      <c r="H23" s="13"/>
      <c r="I23" s="73" t="s">
        <v>47</v>
      </c>
      <c r="J23" s="73"/>
      <c r="K23" s="23">
        <v>44861</v>
      </c>
      <c r="L23" s="23">
        <v>45226</v>
      </c>
      <c r="M23" s="50"/>
      <c r="N23" s="50"/>
      <c r="O23" s="17"/>
      <c r="P23" s="17"/>
      <c r="Q23" s="17"/>
      <c r="R23" s="63"/>
      <c r="S23" s="63"/>
      <c r="T23" s="63"/>
      <c r="U23" s="48"/>
      <c r="V23" s="48"/>
      <c r="W23" s="48"/>
    </row>
    <row r="24" spans="1:25">
      <c r="A24" s="10"/>
      <c r="B24" s="10"/>
      <c r="C24" s="14">
        <v>14730800001990</v>
      </c>
      <c r="D24" s="13">
        <v>43873</v>
      </c>
      <c r="E24" s="13">
        <v>44238</v>
      </c>
      <c r="F24" s="14"/>
      <c r="G24" s="13"/>
      <c r="H24" s="13"/>
      <c r="I24" s="59"/>
      <c r="J24" s="59"/>
      <c r="K24" s="23"/>
      <c r="L24" s="23"/>
      <c r="M24" s="50"/>
      <c r="N24" s="50"/>
      <c r="O24" s="17"/>
      <c r="P24" s="17"/>
      <c r="Q24" s="17"/>
      <c r="R24" s="63"/>
      <c r="S24" s="63"/>
      <c r="T24" s="63"/>
      <c r="U24" s="48"/>
      <c r="V24" s="48"/>
      <c r="W24" s="48"/>
    </row>
    <row r="25" spans="1:25" ht="18">
      <c r="A25" s="10"/>
      <c r="B25" s="10"/>
      <c r="C25" s="51" t="s">
        <v>53</v>
      </c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</row>
    <row r="26" spans="1:25" ht="44.25">
      <c r="A26" s="10"/>
      <c r="B26" s="10"/>
      <c r="C26" s="11" t="s">
        <v>54</v>
      </c>
      <c r="D26" s="11" t="s">
        <v>55</v>
      </c>
      <c r="E26" s="11" t="s">
        <v>56</v>
      </c>
      <c r="F26" s="11" t="s">
        <v>57</v>
      </c>
      <c r="G26" s="33" t="s">
        <v>58</v>
      </c>
      <c r="H26" s="33" t="s">
        <v>59</v>
      </c>
      <c r="I26" s="34" t="s">
        <v>60</v>
      </c>
      <c r="J26" s="33" t="s">
        <v>61</v>
      </c>
      <c r="K26" s="33" t="s">
        <v>62</v>
      </c>
      <c r="L26" s="33" t="s">
        <v>63</v>
      </c>
      <c r="M26" s="49" t="s">
        <v>64</v>
      </c>
      <c r="N26" s="49"/>
      <c r="O26" s="33" t="s">
        <v>65</v>
      </c>
      <c r="P26" s="33" t="s">
        <v>66</v>
      </c>
      <c r="Q26" s="33" t="s">
        <v>67</v>
      </c>
      <c r="R26" s="33" t="s">
        <v>68</v>
      </c>
      <c r="S26" s="33" t="s">
        <v>69</v>
      </c>
      <c r="T26" s="33" t="s">
        <v>70</v>
      </c>
      <c r="U26" s="33" t="s">
        <v>71</v>
      </c>
      <c r="V26" s="33" t="s">
        <v>72</v>
      </c>
      <c r="W26" s="35" t="s">
        <v>73</v>
      </c>
      <c r="X26" s="36" t="s">
        <v>74</v>
      </c>
      <c r="Y26" s="32" t="s">
        <v>75</v>
      </c>
    </row>
    <row r="27" spans="1:25" ht="21" customHeight="1">
      <c r="A27" s="107"/>
      <c r="B27" s="107"/>
      <c r="C27" s="95"/>
      <c r="D27" s="92"/>
      <c r="E27" s="92"/>
      <c r="F27" s="89"/>
      <c r="G27" s="86" t="s">
        <v>76</v>
      </c>
      <c r="H27" s="83">
        <v>236701</v>
      </c>
      <c r="I27" s="80">
        <v>45364</v>
      </c>
      <c r="J27" s="77" t="s">
        <v>77</v>
      </c>
      <c r="K27" s="37" t="s">
        <v>78</v>
      </c>
      <c r="L27" s="38" t="s">
        <v>79</v>
      </c>
      <c r="M27" s="47">
        <v>2</v>
      </c>
      <c r="N27" s="47"/>
      <c r="O27" s="39">
        <v>39600</v>
      </c>
      <c r="P27" s="40">
        <f>O27*M27</f>
        <v>79200</v>
      </c>
      <c r="Q27" s="40">
        <f>P27*0.19</f>
        <v>15048</v>
      </c>
      <c r="R27" s="40">
        <f>P27+Q27</f>
        <v>94248</v>
      </c>
      <c r="S27" s="41">
        <v>0</v>
      </c>
      <c r="T27" s="42">
        <f>+S27*M27</f>
        <v>0</v>
      </c>
      <c r="U27" s="42">
        <f>T27*0.19</f>
        <v>0</v>
      </c>
      <c r="V27" s="42">
        <f>T27+U27</f>
        <v>0</v>
      </c>
      <c r="W27" s="43">
        <f>R27+V27</f>
        <v>94248</v>
      </c>
      <c r="X27" s="74">
        <f>SUM(W27:W44)</f>
        <v>4082654.38</v>
      </c>
      <c r="Y27" s="98" t="s">
        <v>80</v>
      </c>
    </row>
    <row r="28" spans="1:25">
      <c r="A28" s="106"/>
      <c r="B28" s="106"/>
      <c r="C28" s="96"/>
      <c r="D28" s="93"/>
      <c r="E28" s="93"/>
      <c r="F28" s="90"/>
      <c r="G28" s="87"/>
      <c r="H28" s="84"/>
      <c r="I28" s="81"/>
      <c r="J28" s="78"/>
      <c r="K28" s="37" t="s">
        <v>81</v>
      </c>
      <c r="L28" s="38" t="s">
        <v>82</v>
      </c>
      <c r="M28" s="47">
        <v>1</v>
      </c>
      <c r="N28" s="47"/>
      <c r="O28" s="39"/>
      <c r="P28" s="40">
        <f>O28*M28</f>
        <v>0</v>
      </c>
      <c r="Q28" s="40">
        <f>P28*0.19</f>
        <v>0</v>
      </c>
      <c r="R28" s="40">
        <f>P28+Q28</f>
        <v>0</v>
      </c>
      <c r="S28" s="41">
        <v>23760</v>
      </c>
      <c r="T28" s="42">
        <f>+S28*M28</f>
        <v>23760</v>
      </c>
      <c r="U28" s="42">
        <f>T28*0.19</f>
        <v>4514.3999999999996</v>
      </c>
      <c r="V28" s="42">
        <f>T28+U28</f>
        <v>28274.400000000001</v>
      </c>
      <c r="W28" s="43">
        <f>R28+V28</f>
        <v>28274.400000000001</v>
      </c>
      <c r="X28" s="75"/>
      <c r="Y28" s="99"/>
    </row>
    <row r="29" spans="1:25" ht="21">
      <c r="A29" s="107"/>
      <c r="B29" s="107"/>
      <c r="C29" s="96"/>
      <c r="D29" s="93"/>
      <c r="E29" s="93"/>
      <c r="F29" s="90"/>
      <c r="G29" s="87"/>
      <c r="H29" s="84"/>
      <c r="I29" s="81"/>
      <c r="J29" s="78"/>
      <c r="K29" s="37" t="s">
        <v>78</v>
      </c>
      <c r="L29" s="38" t="s">
        <v>83</v>
      </c>
      <c r="M29" s="47">
        <v>1</v>
      </c>
      <c r="N29" s="47"/>
      <c r="O29" s="39">
        <v>132000</v>
      </c>
      <c r="P29" s="40">
        <f>O29*M29</f>
        <v>132000</v>
      </c>
      <c r="Q29" s="40">
        <f>P29*0.19</f>
        <v>25080</v>
      </c>
      <c r="R29" s="40">
        <f>P29+Q29</f>
        <v>157080</v>
      </c>
      <c r="S29" s="41">
        <v>0</v>
      </c>
      <c r="T29" s="42">
        <f>+S29*M29</f>
        <v>0</v>
      </c>
      <c r="U29" s="42">
        <f>T29*0.19</f>
        <v>0</v>
      </c>
      <c r="V29" s="42">
        <f>T29+U29</f>
        <v>0</v>
      </c>
      <c r="W29" s="43">
        <f>R29+V29</f>
        <v>157080</v>
      </c>
      <c r="X29" s="75"/>
      <c r="Y29" s="99"/>
    </row>
    <row r="30" spans="1:25">
      <c r="A30" s="107"/>
      <c r="B30" s="107"/>
      <c r="C30" s="96"/>
      <c r="D30" s="93"/>
      <c r="E30" s="93"/>
      <c r="F30" s="90"/>
      <c r="G30" s="87"/>
      <c r="H30" s="84"/>
      <c r="I30" s="81"/>
      <c r="J30" s="78"/>
      <c r="K30" s="37" t="s">
        <v>78</v>
      </c>
      <c r="L30" s="38" t="s">
        <v>84</v>
      </c>
      <c r="M30" s="47">
        <v>1</v>
      </c>
      <c r="N30" s="47"/>
      <c r="O30" s="39"/>
      <c r="P30" s="40">
        <f>O30*M30</f>
        <v>0</v>
      </c>
      <c r="Q30" s="40">
        <f>P30*0.19</f>
        <v>0</v>
      </c>
      <c r="R30" s="40">
        <f>P30+Q30</f>
        <v>0</v>
      </c>
      <c r="S30" s="41">
        <v>132000</v>
      </c>
      <c r="T30" s="42">
        <f>+S30*M30</f>
        <v>132000</v>
      </c>
      <c r="U30" s="42">
        <f>T30*0.19</f>
        <v>25080</v>
      </c>
      <c r="V30" s="42">
        <f>T30+U30</f>
        <v>157080</v>
      </c>
      <c r="W30" s="43">
        <f>R30+V30</f>
        <v>157080</v>
      </c>
      <c r="X30" s="75"/>
      <c r="Y30" s="99"/>
    </row>
    <row r="31" spans="1:25">
      <c r="A31" s="107"/>
      <c r="B31" s="107"/>
      <c r="C31" s="96"/>
      <c r="D31" s="93"/>
      <c r="E31" s="93"/>
      <c r="F31" s="90"/>
      <c r="G31" s="87"/>
      <c r="H31" s="84"/>
      <c r="I31" s="81"/>
      <c r="J31" s="78"/>
      <c r="K31" s="37" t="s">
        <v>78</v>
      </c>
      <c r="L31" s="38" t="s">
        <v>85</v>
      </c>
      <c r="M31" s="47">
        <v>1</v>
      </c>
      <c r="N31" s="47"/>
      <c r="O31" s="39"/>
      <c r="P31" s="40">
        <f>O31*M31</f>
        <v>0</v>
      </c>
      <c r="Q31" s="40">
        <f>P31*0.19</f>
        <v>0</v>
      </c>
      <c r="R31" s="40">
        <f>P31+Q31</f>
        <v>0</v>
      </c>
      <c r="S31" s="41">
        <v>264000</v>
      </c>
      <c r="T31" s="42">
        <f>+S31*M31</f>
        <v>264000</v>
      </c>
      <c r="U31" s="42">
        <f>T31*0.19</f>
        <v>50160</v>
      </c>
      <c r="V31" s="42">
        <f>T31+U31</f>
        <v>314160</v>
      </c>
      <c r="W31" s="43">
        <f>R31+V31</f>
        <v>314160</v>
      </c>
      <c r="X31" s="75"/>
      <c r="Y31" s="99"/>
    </row>
    <row r="32" spans="1:25">
      <c r="A32" s="107"/>
      <c r="B32" s="107"/>
      <c r="C32" s="96"/>
      <c r="D32" s="93"/>
      <c r="E32" s="93"/>
      <c r="F32" s="90"/>
      <c r="G32" s="87"/>
      <c r="H32" s="84"/>
      <c r="I32" s="81"/>
      <c r="J32" s="78"/>
      <c r="K32" s="37" t="s">
        <v>78</v>
      </c>
      <c r="L32" s="38" t="s">
        <v>86</v>
      </c>
      <c r="M32" s="47">
        <v>2</v>
      </c>
      <c r="N32" s="47"/>
      <c r="O32" s="39">
        <v>92400</v>
      </c>
      <c r="P32" s="40">
        <f>O32*M32</f>
        <v>184800</v>
      </c>
      <c r="Q32" s="40">
        <f>P32*0.19</f>
        <v>35112</v>
      </c>
      <c r="R32" s="40">
        <f>P32+Q32</f>
        <v>219912</v>
      </c>
      <c r="S32" s="41">
        <v>0</v>
      </c>
      <c r="T32" s="42">
        <f>+S32*M32</f>
        <v>0</v>
      </c>
      <c r="U32" s="42">
        <f>T32*0.19</f>
        <v>0</v>
      </c>
      <c r="V32" s="42">
        <f>T32+U32</f>
        <v>0</v>
      </c>
      <c r="W32" s="43">
        <f>R32+V32</f>
        <v>219912</v>
      </c>
      <c r="X32" s="75"/>
      <c r="Y32" s="99"/>
    </row>
    <row r="33" spans="1:25">
      <c r="A33" s="107"/>
      <c r="B33" s="107"/>
      <c r="C33" s="96"/>
      <c r="D33" s="93"/>
      <c r="E33" s="93"/>
      <c r="F33" s="90"/>
      <c r="G33" s="87"/>
      <c r="H33" s="84"/>
      <c r="I33" s="81"/>
      <c r="J33" s="78"/>
      <c r="K33" s="37" t="s">
        <v>81</v>
      </c>
      <c r="L33" s="38" t="s">
        <v>87</v>
      </c>
      <c r="M33" s="47">
        <v>8</v>
      </c>
      <c r="N33" s="47"/>
      <c r="O33" s="39">
        <v>32773</v>
      </c>
      <c r="P33" s="40">
        <f>O33*M33</f>
        <v>262184</v>
      </c>
      <c r="Q33" s="40">
        <f>P33*0.19</f>
        <v>49814.96</v>
      </c>
      <c r="R33" s="40">
        <f>P33+Q33</f>
        <v>311998.96000000002</v>
      </c>
      <c r="S33" s="41">
        <v>0</v>
      </c>
      <c r="T33" s="42">
        <f>+S33*M33</f>
        <v>0</v>
      </c>
      <c r="U33" s="42">
        <f>T33*0.19</f>
        <v>0</v>
      </c>
      <c r="V33" s="42">
        <f>T33+U33</f>
        <v>0</v>
      </c>
      <c r="W33" s="43">
        <f>R33+V33</f>
        <v>311998.96000000002</v>
      </c>
      <c r="X33" s="75"/>
      <c r="Y33" s="99"/>
    </row>
    <row r="34" spans="1:25">
      <c r="A34" s="107"/>
      <c r="B34" s="107"/>
      <c r="C34" s="96"/>
      <c r="D34" s="93"/>
      <c r="E34" s="93"/>
      <c r="F34" s="90"/>
      <c r="G34" s="87"/>
      <c r="H34" s="84"/>
      <c r="I34" s="81"/>
      <c r="J34" s="78"/>
      <c r="K34" s="37" t="s">
        <v>81</v>
      </c>
      <c r="L34" s="38" t="s">
        <v>88</v>
      </c>
      <c r="M34" s="47">
        <v>7</v>
      </c>
      <c r="N34" s="47"/>
      <c r="O34" s="39">
        <v>32773</v>
      </c>
      <c r="P34" s="40">
        <f>O34*M34</f>
        <v>229411</v>
      </c>
      <c r="Q34" s="40">
        <f>P34*0.19</f>
        <v>43588.090000000004</v>
      </c>
      <c r="R34" s="40">
        <f>P34+Q34</f>
        <v>272999.09000000003</v>
      </c>
      <c r="S34" s="41">
        <v>0</v>
      </c>
      <c r="T34" s="42">
        <f>+S34*M34</f>
        <v>0</v>
      </c>
      <c r="U34" s="42">
        <f>T34*0.19</f>
        <v>0</v>
      </c>
      <c r="V34" s="42">
        <f>T34+U34</f>
        <v>0</v>
      </c>
      <c r="W34" s="43">
        <f>R34+V34</f>
        <v>272999.09000000003</v>
      </c>
      <c r="X34" s="75"/>
      <c r="Y34" s="99"/>
    </row>
    <row r="35" spans="1:25">
      <c r="A35" s="107"/>
      <c r="B35" s="107"/>
      <c r="C35" s="96"/>
      <c r="D35" s="93"/>
      <c r="E35" s="93"/>
      <c r="F35" s="90"/>
      <c r="G35" s="87"/>
      <c r="H35" s="84"/>
      <c r="I35" s="81"/>
      <c r="J35" s="78"/>
      <c r="K35" s="37" t="s">
        <v>81</v>
      </c>
      <c r="L35" s="38" t="s">
        <v>89</v>
      </c>
      <c r="M35" s="47">
        <v>1</v>
      </c>
      <c r="N35" s="47"/>
      <c r="O35" s="39">
        <v>10504</v>
      </c>
      <c r="P35" s="40">
        <f>O35*M35</f>
        <v>10504</v>
      </c>
      <c r="Q35" s="40">
        <f>P35*0.19</f>
        <v>1995.76</v>
      </c>
      <c r="R35" s="40">
        <f>P35+Q35</f>
        <v>12499.76</v>
      </c>
      <c r="S35" s="41">
        <v>0</v>
      </c>
      <c r="T35" s="42">
        <f>+S35*M35</f>
        <v>0</v>
      </c>
      <c r="U35" s="42">
        <f>T35*0.19</f>
        <v>0</v>
      </c>
      <c r="V35" s="42">
        <f>T35+U35</f>
        <v>0</v>
      </c>
      <c r="W35" s="43">
        <f>R35+V35</f>
        <v>12499.76</v>
      </c>
      <c r="X35" s="75"/>
      <c r="Y35" s="99"/>
    </row>
    <row r="36" spans="1:25">
      <c r="A36" s="107"/>
      <c r="B36" s="107"/>
      <c r="C36" s="96"/>
      <c r="D36" s="93"/>
      <c r="E36" s="93"/>
      <c r="F36" s="90"/>
      <c r="G36" s="87"/>
      <c r="H36" s="84"/>
      <c r="I36" s="81"/>
      <c r="J36" s="78"/>
      <c r="K36" s="37" t="s">
        <v>81</v>
      </c>
      <c r="L36" s="38" t="s">
        <v>90</v>
      </c>
      <c r="M36" s="47">
        <v>1</v>
      </c>
      <c r="N36" s="47"/>
      <c r="O36" s="39">
        <v>22775</v>
      </c>
      <c r="P36" s="40">
        <f>O36*M36</f>
        <v>22775</v>
      </c>
      <c r="Q36" s="40">
        <f>P36*0.19</f>
        <v>4327.25</v>
      </c>
      <c r="R36" s="40">
        <f>P36+Q36</f>
        <v>27102.25</v>
      </c>
      <c r="S36" s="41">
        <v>0</v>
      </c>
      <c r="T36" s="42">
        <f>+S36*M36</f>
        <v>0</v>
      </c>
      <c r="U36" s="42">
        <f>T36*0.19</f>
        <v>0</v>
      </c>
      <c r="V36" s="42">
        <f>T36+U36</f>
        <v>0</v>
      </c>
      <c r="W36" s="43">
        <f>R36+V36</f>
        <v>27102.25</v>
      </c>
      <c r="X36" s="75"/>
      <c r="Y36" s="99"/>
    </row>
    <row r="37" spans="1:25">
      <c r="A37" s="107"/>
      <c r="B37" s="107"/>
      <c r="C37" s="96"/>
      <c r="D37" s="93"/>
      <c r="E37" s="93"/>
      <c r="F37" s="90"/>
      <c r="G37" s="87"/>
      <c r="H37" s="84"/>
      <c r="I37" s="81"/>
      <c r="J37" s="78"/>
      <c r="K37" s="37" t="s">
        <v>78</v>
      </c>
      <c r="L37" s="38" t="s">
        <v>91</v>
      </c>
      <c r="M37" s="47">
        <v>1</v>
      </c>
      <c r="N37" s="47"/>
      <c r="O37" s="39">
        <v>52017</v>
      </c>
      <c r="P37" s="40">
        <f>O37*M37</f>
        <v>52017</v>
      </c>
      <c r="Q37" s="40">
        <f>P37*0.19</f>
        <v>9883.23</v>
      </c>
      <c r="R37" s="40">
        <f>P37+Q37</f>
        <v>61900.229999999996</v>
      </c>
      <c r="S37" s="41">
        <v>0</v>
      </c>
      <c r="T37" s="42">
        <f>+S37*M37</f>
        <v>0</v>
      </c>
      <c r="U37" s="42">
        <f>T37*0.19</f>
        <v>0</v>
      </c>
      <c r="V37" s="42">
        <f>T37+U37</f>
        <v>0</v>
      </c>
      <c r="W37" s="43">
        <f>R37+V37</f>
        <v>61900.229999999996</v>
      </c>
      <c r="X37" s="75"/>
      <c r="Y37" s="99"/>
    </row>
    <row r="38" spans="1:25">
      <c r="A38" s="107"/>
      <c r="B38" s="107"/>
      <c r="C38" s="96"/>
      <c r="D38" s="93"/>
      <c r="E38" s="93"/>
      <c r="F38" s="90"/>
      <c r="G38" s="87"/>
      <c r="H38" s="84"/>
      <c r="I38" s="81"/>
      <c r="J38" s="78"/>
      <c r="K38" s="37" t="s">
        <v>78</v>
      </c>
      <c r="L38" s="38" t="s">
        <v>92</v>
      </c>
      <c r="M38" s="47">
        <v>1</v>
      </c>
      <c r="N38" s="47"/>
      <c r="O38" s="39">
        <v>223866</v>
      </c>
      <c r="P38" s="40">
        <f>O38*M38</f>
        <v>223866</v>
      </c>
      <c r="Q38" s="40">
        <f>P38*0.19</f>
        <v>42534.54</v>
      </c>
      <c r="R38" s="40">
        <f>P38+Q38</f>
        <v>266400.53999999998</v>
      </c>
      <c r="S38" s="41">
        <v>0</v>
      </c>
      <c r="T38" s="42">
        <f>+S38*M38</f>
        <v>0</v>
      </c>
      <c r="U38" s="42">
        <f>T38*0.19</f>
        <v>0</v>
      </c>
      <c r="V38" s="42">
        <f>T38+U38</f>
        <v>0</v>
      </c>
      <c r="W38" s="43">
        <f>R38+V38</f>
        <v>266400.53999999998</v>
      </c>
      <c r="X38" s="75"/>
      <c r="Y38" s="99"/>
    </row>
    <row r="39" spans="1:25">
      <c r="A39" s="107"/>
      <c r="B39" s="107"/>
      <c r="C39" s="96"/>
      <c r="D39" s="93"/>
      <c r="E39" s="93"/>
      <c r="F39" s="90"/>
      <c r="G39" s="87"/>
      <c r="H39" s="84"/>
      <c r="I39" s="81"/>
      <c r="J39" s="78"/>
      <c r="K39" s="37" t="s">
        <v>78</v>
      </c>
      <c r="L39" s="38" t="s">
        <v>93</v>
      </c>
      <c r="M39" s="47">
        <v>1</v>
      </c>
      <c r="N39" s="47"/>
      <c r="O39" s="39">
        <v>123782</v>
      </c>
      <c r="P39" s="40">
        <f>O39*M39</f>
        <v>123782</v>
      </c>
      <c r="Q39" s="40">
        <f>P39*0.19</f>
        <v>23518.58</v>
      </c>
      <c r="R39" s="40">
        <f>P39+Q39</f>
        <v>147300.58000000002</v>
      </c>
      <c r="S39" s="41">
        <v>0</v>
      </c>
      <c r="T39" s="42">
        <f>+S39*M39</f>
        <v>0</v>
      </c>
      <c r="U39" s="42">
        <f>T39*0.19</f>
        <v>0</v>
      </c>
      <c r="V39" s="42">
        <f>T39+U39</f>
        <v>0</v>
      </c>
      <c r="W39" s="43">
        <f>R39+V39</f>
        <v>147300.58000000002</v>
      </c>
      <c r="X39" s="75"/>
      <c r="Y39" s="99"/>
    </row>
    <row r="40" spans="1:25" ht="21">
      <c r="A40" s="107"/>
      <c r="B40" s="107"/>
      <c r="C40" s="96"/>
      <c r="D40" s="93"/>
      <c r="E40" s="93"/>
      <c r="F40" s="90"/>
      <c r="G40" s="87"/>
      <c r="H40" s="84"/>
      <c r="I40" s="81"/>
      <c r="J40" s="78"/>
      <c r="K40" s="37" t="s">
        <v>78</v>
      </c>
      <c r="L40" s="38" t="s">
        <v>94</v>
      </c>
      <c r="M40" s="47">
        <v>1</v>
      </c>
      <c r="N40" s="47"/>
      <c r="O40" s="39">
        <v>265882</v>
      </c>
      <c r="P40" s="40">
        <f>O40*M40</f>
        <v>265882</v>
      </c>
      <c r="Q40" s="40">
        <f>P40*0.19</f>
        <v>50517.58</v>
      </c>
      <c r="R40" s="40">
        <f>P40+Q40</f>
        <v>316399.58</v>
      </c>
      <c r="S40" s="41">
        <v>0</v>
      </c>
      <c r="T40" s="42">
        <f>+S40*M40</f>
        <v>0</v>
      </c>
      <c r="U40" s="42">
        <f>T40*0.19</f>
        <v>0</v>
      </c>
      <c r="V40" s="42">
        <f>T40+U40</f>
        <v>0</v>
      </c>
      <c r="W40" s="43">
        <f>R40+V40</f>
        <v>316399.58</v>
      </c>
      <c r="X40" s="75"/>
      <c r="Y40" s="99"/>
    </row>
    <row r="41" spans="1:25">
      <c r="A41" s="107"/>
      <c r="B41" s="107"/>
      <c r="C41" s="96"/>
      <c r="D41" s="93"/>
      <c r="E41" s="93"/>
      <c r="F41" s="90"/>
      <c r="G41" s="87"/>
      <c r="H41" s="84"/>
      <c r="I41" s="81"/>
      <c r="J41" s="78"/>
      <c r="K41" s="37" t="s">
        <v>78</v>
      </c>
      <c r="L41" s="38" t="s">
        <v>95</v>
      </c>
      <c r="M41" s="47">
        <v>1</v>
      </c>
      <c r="N41" s="47"/>
      <c r="O41" s="39">
        <v>565714</v>
      </c>
      <c r="P41" s="40">
        <f>O41*M41</f>
        <v>565714</v>
      </c>
      <c r="Q41" s="40">
        <f>P41*0.19</f>
        <v>107485.66</v>
      </c>
      <c r="R41" s="40">
        <f>P41+Q41</f>
        <v>673199.66</v>
      </c>
      <c r="S41" s="41">
        <v>0</v>
      </c>
      <c r="T41" s="42">
        <f>+S41*M41</f>
        <v>0</v>
      </c>
      <c r="U41" s="42">
        <f>T41*0.19</f>
        <v>0</v>
      </c>
      <c r="V41" s="42">
        <f>T41+U41</f>
        <v>0</v>
      </c>
      <c r="W41" s="43">
        <f>R41+V41</f>
        <v>673199.66</v>
      </c>
      <c r="X41" s="75"/>
      <c r="Y41" s="99"/>
    </row>
    <row r="42" spans="1:25">
      <c r="A42" s="107"/>
      <c r="B42" s="107"/>
      <c r="C42" s="96"/>
      <c r="D42" s="93"/>
      <c r="E42" s="93"/>
      <c r="F42" s="90"/>
      <c r="G42" s="87"/>
      <c r="H42" s="84"/>
      <c r="I42" s="81"/>
      <c r="J42" s="78"/>
      <c r="K42" s="37" t="s">
        <v>78</v>
      </c>
      <c r="L42" s="38" t="s">
        <v>96</v>
      </c>
      <c r="M42" s="47">
        <v>1</v>
      </c>
      <c r="N42" s="47"/>
      <c r="O42" s="39"/>
      <c r="P42" s="40">
        <f>O42*M42</f>
        <v>0</v>
      </c>
      <c r="Q42" s="40">
        <f>P42*0.19</f>
        <v>0</v>
      </c>
      <c r="R42" s="40">
        <f>P42+Q42</f>
        <v>0</v>
      </c>
      <c r="S42" s="41">
        <v>50252</v>
      </c>
      <c r="T42" s="42">
        <f>+S42*M42</f>
        <v>50252</v>
      </c>
      <c r="U42" s="42">
        <f>T42*0.19</f>
        <v>9547.880000000001</v>
      </c>
      <c r="V42" s="42">
        <f>T42+U42</f>
        <v>59799.880000000005</v>
      </c>
      <c r="W42" s="43">
        <f>R42+V42</f>
        <v>59799.880000000005</v>
      </c>
      <c r="X42" s="75"/>
      <c r="Y42" s="99"/>
    </row>
    <row r="43" spans="1:25">
      <c r="A43" s="107"/>
      <c r="B43" s="107"/>
      <c r="C43" s="96"/>
      <c r="D43" s="93"/>
      <c r="E43" s="93"/>
      <c r="F43" s="90"/>
      <c r="G43" s="87"/>
      <c r="H43" s="84"/>
      <c r="I43" s="81"/>
      <c r="J43" s="78"/>
      <c r="K43" s="37" t="s">
        <v>78</v>
      </c>
      <c r="L43" s="38" t="s">
        <v>97</v>
      </c>
      <c r="M43" s="47">
        <v>1</v>
      </c>
      <c r="N43" s="47"/>
      <c r="O43" s="39">
        <v>7143</v>
      </c>
      <c r="P43" s="40">
        <f>O43*M43</f>
        <v>7143</v>
      </c>
      <c r="Q43" s="40">
        <f>P43*0.19</f>
        <v>1357.17</v>
      </c>
      <c r="R43" s="40">
        <f>P43+Q43</f>
        <v>8500.17</v>
      </c>
      <c r="S43" s="41">
        <v>0</v>
      </c>
      <c r="T43" s="42">
        <f>+S43*M43</f>
        <v>0</v>
      </c>
      <c r="U43" s="42">
        <f>T43*0.19</f>
        <v>0</v>
      </c>
      <c r="V43" s="42">
        <f>T43+U43</f>
        <v>0</v>
      </c>
      <c r="W43" s="43">
        <f>R43+V43</f>
        <v>8500.17</v>
      </c>
      <c r="X43" s="75"/>
      <c r="Y43" s="99"/>
    </row>
    <row r="44" spans="1:25">
      <c r="A44" s="107"/>
      <c r="B44" s="107"/>
      <c r="C44" s="97"/>
      <c r="D44" s="94"/>
      <c r="E44" s="94"/>
      <c r="F44" s="91"/>
      <c r="G44" s="88"/>
      <c r="H44" s="85"/>
      <c r="I44" s="82"/>
      <c r="J44" s="79"/>
      <c r="K44" s="37" t="s">
        <v>78</v>
      </c>
      <c r="L44" s="38" t="s">
        <v>98</v>
      </c>
      <c r="M44" s="47">
        <v>2</v>
      </c>
      <c r="N44" s="47"/>
      <c r="O44" s="39">
        <v>400756</v>
      </c>
      <c r="P44" s="40">
        <f>O44*M44</f>
        <v>801512</v>
      </c>
      <c r="Q44" s="40">
        <f>P44*0.19</f>
        <v>152287.28</v>
      </c>
      <c r="R44" s="40">
        <f>P44+Q44</f>
        <v>953799.28</v>
      </c>
      <c r="S44" s="41">
        <v>0</v>
      </c>
      <c r="T44" s="42">
        <f>+S44*M44</f>
        <v>0</v>
      </c>
      <c r="U44" s="42">
        <f>T44*0.19</f>
        <v>0</v>
      </c>
      <c r="V44" s="42">
        <f>T44+U44</f>
        <v>0</v>
      </c>
      <c r="W44" s="43">
        <f>R44+V44</f>
        <v>953799.28</v>
      </c>
      <c r="X44" s="76"/>
      <c r="Y44" s="100"/>
    </row>
    <row r="45" spans="1:25" ht="21" customHeight="1">
      <c r="A45" s="1"/>
      <c r="B45" s="1"/>
      <c r="C45" s="92"/>
      <c r="D45" s="92"/>
      <c r="E45" s="92"/>
      <c r="F45" s="89"/>
      <c r="G45" s="86" t="s">
        <v>76</v>
      </c>
      <c r="H45" s="83">
        <v>236701</v>
      </c>
      <c r="I45" s="80">
        <v>45373</v>
      </c>
      <c r="J45" s="77" t="s">
        <v>99</v>
      </c>
      <c r="K45" s="37" t="s">
        <v>78</v>
      </c>
      <c r="L45" s="38" t="s">
        <v>100</v>
      </c>
      <c r="M45" s="47">
        <v>1</v>
      </c>
      <c r="N45" s="47"/>
      <c r="O45" s="39">
        <v>330000</v>
      </c>
      <c r="P45" s="40">
        <f t="shared" ref="P45:P49" si="0">O45*M45</f>
        <v>330000</v>
      </c>
      <c r="Q45" s="40">
        <f t="shared" ref="Q45:Q49" si="1">P45*0.19</f>
        <v>62700</v>
      </c>
      <c r="R45" s="40">
        <f t="shared" ref="R45:R49" si="2">P45+Q45</f>
        <v>392700</v>
      </c>
      <c r="S45" s="41">
        <v>0</v>
      </c>
      <c r="T45" s="42">
        <f t="shared" ref="T45:T49" si="3">+S45*M45</f>
        <v>0</v>
      </c>
      <c r="U45" s="42">
        <f t="shared" ref="U45:U49" si="4">T45*0.19</f>
        <v>0</v>
      </c>
      <c r="V45" s="42">
        <f t="shared" ref="V45:V49" si="5">T45+U45</f>
        <v>0</v>
      </c>
      <c r="W45" s="43">
        <f t="shared" ref="W45:W49" si="6">R45+V45</f>
        <v>392700</v>
      </c>
      <c r="X45" s="74">
        <f>SUM(W45:W49)</f>
        <v>3766762.9299999997</v>
      </c>
      <c r="Y45" s="98" t="s">
        <v>80</v>
      </c>
    </row>
    <row r="46" spans="1:25">
      <c r="A46" s="1"/>
      <c r="B46" s="1"/>
      <c r="C46" s="93"/>
      <c r="D46" s="93"/>
      <c r="E46" s="93"/>
      <c r="F46" s="90"/>
      <c r="G46" s="87"/>
      <c r="H46" s="84"/>
      <c r="I46" s="81"/>
      <c r="J46" s="78"/>
      <c r="K46" s="37" t="s">
        <v>78</v>
      </c>
      <c r="L46" s="38" t="s">
        <v>101</v>
      </c>
      <c r="M46" s="47">
        <v>2</v>
      </c>
      <c r="N46" s="47"/>
      <c r="O46" s="39">
        <v>52800</v>
      </c>
      <c r="P46" s="40">
        <f t="shared" si="0"/>
        <v>105600</v>
      </c>
      <c r="Q46" s="40">
        <f t="shared" si="1"/>
        <v>20064</v>
      </c>
      <c r="R46" s="40">
        <f t="shared" si="2"/>
        <v>125664</v>
      </c>
      <c r="S46" s="41">
        <v>0</v>
      </c>
      <c r="T46" s="42">
        <f t="shared" si="3"/>
        <v>0</v>
      </c>
      <c r="U46" s="42">
        <f t="shared" si="4"/>
        <v>0</v>
      </c>
      <c r="V46" s="42">
        <f t="shared" si="5"/>
        <v>0</v>
      </c>
      <c r="W46" s="43">
        <f t="shared" si="6"/>
        <v>125664</v>
      </c>
      <c r="X46" s="75"/>
      <c r="Y46" s="99"/>
    </row>
    <row r="47" spans="1:25">
      <c r="A47" s="1"/>
      <c r="B47" s="1"/>
      <c r="C47" s="93"/>
      <c r="D47" s="93"/>
      <c r="E47" s="93"/>
      <c r="F47" s="90"/>
      <c r="G47" s="87"/>
      <c r="H47" s="84"/>
      <c r="I47" s="81"/>
      <c r="J47" s="78"/>
      <c r="K47" s="37" t="s">
        <v>81</v>
      </c>
      <c r="L47" s="38" t="s">
        <v>102</v>
      </c>
      <c r="M47" s="47">
        <v>2</v>
      </c>
      <c r="N47" s="47"/>
      <c r="O47" s="39">
        <v>21008</v>
      </c>
      <c r="P47" s="40">
        <f t="shared" si="0"/>
        <v>42016</v>
      </c>
      <c r="Q47" s="40">
        <f t="shared" si="1"/>
        <v>7983.04</v>
      </c>
      <c r="R47" s="40">
        <f t="shared" si="2"/>
        <v>49999.040000000001</v>
      </c>
      <c r="S47" s="41">
        <v>0</v>
      </c>
      <c r="T47" s="42">
        <f t="shared" si="3"/>
        <v>0</v>
      </c>
      <c r="U47" s="42">
        <f t="shared" si="4"/>
        <v>0</v>
      </c>
      <c r="V47" s="42">
        <f t="shared" si="5"/>
        <v>0</v>
      </c>
      <c r="W47" s="43">
        <f t="shared" si="6"/>
        <v>49999.040000000001</v>
      </c>
      <c r="X47" s="75"/>
      <c r="Y47" s="99"/>
    </row>
    <row r="48" spans="1:25">
      <c r="A48" s="1"/>
      <c r="B48" s="1"/>
      <c r="C48" s="93"/>
      <c r="D48" s="93"/>
      <c r="E48" s="93"/>
      <c r="F48" s="90"/>
      <c r="G48" s="87"/>
      <c r="H48" s="84"/>
      <c r="I48" s="81"/>
      <c r="J48" s="78"/>
      <c r="K48" s="101" t="s">
        <v>78</v>
      </c>
      <c r="L48" s="38" t="s">
        <v>103</v>
      </c>
      <c r="M48" s="47">
        <v>2</v>
      </c>
      <c r="N48" s="47"/>
      <c r="O48" s="41">
        <v>650084</v>
      </c>
      <c r="P48" s="45">
        <f t="shared" si="0"/>
        <v>1300168</v>
      </c>
      <c r="Q48" s="45">
        <f t="shared" si="1"/>
        <v>247031.92</v>
      </c>
      <c r="R48" s="45">
        <f t="shared" si="2"/>
        <v>1547199.92</v>
      </c>
      <c r="S48" s="41">
        <v>0</v>
      </c>
      <c r="T48" s="42">
        <f t="shared" si="3"/>
        <v>0</v>
      </c>
      <c r="U48" s="42">
        <f t="shared" si="4"/>
        <v>0</v>
      </c>
      <c r="V48" s="42">
        <f t="shared" si="5"/>
        <v>0</v>
      </c>
      <c r="W48" s="43">
        <f t="shared" si="6"/>
        <v>1547199.92</v>
      </c>
      <c r="X48" s="75"/>
      <c r="Y48" s="99"/>
    </row>
    <row r="49" spans="1:25">
      <c r="A49" s="1"/>
      <c r="B49" s="1"/>
      <c r="C49" s="94"/>
      <c r="D49" s="94"/>
      <c r="E49" s="94"/>
      <c r="F49" s="91"/>
      <c r="G49" s="88"/>
      <c r="H49" s="85"/>
      <c r="I49" s="82"/>
      <c r="J49" s="79"/>
      <c r="K49" s="102" t="s">
        <v>78</v>
      </c>
      <c r="L49" s="38" t="s">
        <v>104</v>
      </c>
      <c r="M49" s="103">
        <v>1</v>
      </c>
      <c r="N49" s="103"/>
      <c r="O49" s="41">
        <v>1387563</v>
      </c>
      <c r="P49" s="45">
        <f t="shared" si="0"/>
        <v>1387563</v>
      </c>
      <c r="Q49" s="45">
        <f t="shared" si="1"/>
        <v>263636.97000000003</v>
      </c>
      <c r="R49" s="45">
        <f t="shared" si="2"/>
        <v>1651199.97</v>
      </c>
      <c r="S49" s="41">
        <v>0</v>
      </c>
      <c r="T49" s="42">
        <f t="shared" si="3"/>
        <v>0</v>
      </c>
      <c r="U49" s="42">
        <f t="shared" si="4"/>
        <v>0</v>
      </c>
      <c r="V49" s="42">
        <f t="shared" si="5"/>
        <v>0</v>
      </c>
      <c r="W49" s="43">
        <f t="shared" si="6"/>
        <v>1651199.97</v>
      </c>
      <c r="X49" s="76"/>
      <c r="Y49" s="100"/>
    </row>
    <row r="50" spans="1:25">
      <c r="A50" s="1"/>
      <c r="B50" s="1"/>
      <c r="C50" s="104"/>
      <c r="D50" s="104"/>
      <c r="E50" s="104"/>
      <c r="F50" s="105"/>
      <c r="G50" s="135"/>
      <c r="H50" s="134"/>
      <c r="I50" s="133"/>
      <c r="J50" s="135"/>
      <c r="K50" s="132"/>
      <c r="L50" s="131"/>
      <c r="M50" s="103"/>
      <c r="N50" s="103"/>
      <c r="O50" s="130"/>
      <c r="P50" s="129">
        <f>O50*M50</f>
        <v>0</v>
      </c>
      <c r="Q50" s="129">
        <f>P50*0.19</f>
        <v>0</v>
      </c>
      <c r="R50" s="129">
        <f>P50+Q50</f>
        <v>0</v>
      </c>
      <c r="S50" s="130">
        <v>0</v>
      </c>
      <c r="T50" s="128">
        <f>+S50*M50</f>
        <v>0</v>
      </c>
      <c r="U50" s="128">
        <f>T50*0.19</f>
        <v>0</v>
      </c>
      <c r="V50" s="128">
        <f>T50+U50</f>
        <v>0</v>
      </c>
      <c r="W50" s="127">
        <f>R50+V50</f>
        <v>0</v>
      </c>
      <c r="X50" s="46">
        <f>SUM(W50:W64)</f>
        <v>0</v>
      </c>
      <c r="Y50" s="44"/>
    </row>
    <row r="51" spans="1:25">
      <c r="A51" s="1"/>
      <c r="B51" s="1"/>
      <c r="C51" s="104"/>
      <c r="D51" s="104"/>
      <c r="E51" s="104"/>
      <c r="F51" s="105"/>
      <c r="G51" s="135"/>
      <c r="H51" s="134"/>
      <c r="I51" s="133"/>
      <c r="J51" s="135"/>
      <c r="K51" s="132"/>
      <c r="L51" s="131"/>
      <c r="M51" s="103"/>
      <c r="N51" s="103"/>
      <c r="O51" s="130"/>
      <c r="P51" s="129">
        <f>O51*M51</f>
        <v>0</v>
      </c>
      <c r="Q51" s="129">
        <f>P51*0.19</f>
        <v>0</v>
      </c>
      <c r="R51" s="129">
        <f>P51+Q51</f>
        <v>0</v>
      </c>
      <c r="S51" s="130">
        <v>0</v>
      </c>
      <c r="T51" s="128">
        <f>+S51*M51</f>
        <v>0</v>
      </c>
      <c r="U51" s="128">
        <f>T51*0.19</f>
        <v>0</v>
      </c>
      <c r="V51" s="128">
        <f>T51+U51</f>
        <v>0</v>
      </c>
      <c r="W51" s="127">
        <f>R51+V51</f>
        <v>0</v>
      </c>
      <c r="X51" s="46">
        <f>SUM(W51:W65)</f>
        <v>0</v>
      </c>
      <c r="Y51" s="44"/>
    </row>
    <row r="52" spans="1:25" ht="15" customHeight="1">
      <c r="A52" s="1"/>
      <c r="B52" s="1"/>
      <c r="C52" s="104"/>
      <c r="D52" s="104"/>
      <c r="E52" s="104"/>
      <c r="F52" s="105"/>
      <c r="G52" s="135"/>
      <c r="H52" s="134"/>
      <c r="I52" s="133"/>
      <c r="J52" s="135"/>
      <c r="K52" s="132"/>
      <c r="L52" s="131"/>
      <c r="M52" s="103"/>
      <c r="N52" s="103"/>
      <c r="O52" s="130"/>
      <c r="P52" s="129">
        <f>O52*M52</f>
        <v>0</v>
      </c>
      <c r="Q52" s="129">
        <f>P52*0.1900021</f>
        <v>0</v>
      </c>
      <c r="R52" s="129">
        <f>P52+Q52</f>
        <v>0</v>
      </c>
      <c r="S52" s="130">
        <v>0</v>
      </c>
      <c r="T52" s="128">
        <f>+S52*M52</f>
        <v>0</v>
      </c>
      <c r="U52" s="128">
        <f>T52*0.19</f>
        <v>0</v>
      </c>
      <c r="V52" s="128">
        <f>T52+U52</f>
        <v>0</v>
      </c>
      <c r="W52" s="127">
        <f>R52+V52</f>
        <v>0</v>
      </c>
      <c r="X52" s="46">
        <f>SUM(W52:W66)</f>
        <v>0</v>
      </c>
      <c r="Y52" s="44"/>
    </row>
    <row r="53" spans="1:25">
      <c r="A53" s="1"/>
      <c r="B53" s="1"/>
      <c r="C53" s="104"/>
      <c r="D53" s="104"/>
      <c r="E53" s="104"/>
      <c r="F53" s="105"/>
      <c r="G53" s="135"/>
      <c r="H53" s="134"/>
      <c r="I53" s="133"/>
      <c r="J53" s="135"/>
      <c r="K53" s="132"/>
      <c r="L53" s="131"/>
      <c r="M53" s="103"/>
      <c r="N53" s="103"/>
      <c r="O53" s="130"/>
      <c r="P53" s="129">
        <f>O53*M53</f>
        <v>0</v>
      </c>
      <c r="Q53" s="129">
        <f>P53*0.19</f>
        <v>0</v>
      </c>
      <c r="R53" s="129">
        <f>P53+Q53</f>
        <v>0</v>
      </c>
      <c r="S53" s="130">
        <v>0</v>
      </c>
      <c r="T53" s="128">
        <f>+S53*M53</f>
        <v>0</v>
      </c>
      <c r="U53" s="128">
        <f>T53*0.19</f>
        <v>0</v>
      </c>
      <c r="V53" s="128">
        <f>T53+U53</f>
        <v>0</v>
      </c>
      <c r="W53" s="127">
        <f>R53+V53</f>
        <v>0</v>
      </c>
      <c r="X53" s="46">
        <f>SUM(W53:W66)</f>
        <v>0</v>
      </c>
      <c r="Y53" s="44"/>
    </row>
    <row r="54" spans="1:25">
      <c r="A54" s="1"/>
      <c r="B54" s="1"/>
      <c r="C54" s="104"/>
      <c r="D54" s="104"/>
      <c r="E54" s="104"/>
      <c r="F54" s="105"/>
      <c r="G54" s="135"/>
      <c r="H54" s="134"/>
      <c r="I54" s="133"/>
      <c r="J54" s="135"/>
      <c r="K54" s="132"/>
      <c r="L54" s="131"/>
      <c r="M54" s="103"/>
      <c r="N54" s="103"/>
      <c r="O54" s="130"/>
      <c r="P54" s="129">
        <f>O54*M54</f>
        <v>0</v>
      </c>
      <c r="Q54" s="129">
        <f>P54*0.19</f>
        <v>0</v>
      </c>
      <c r="R54" s="129">
        <f>P54+Q54</f>
        <v>0</v>
      </c>
      <c r="S54" s="130">
        <v>0</v>
      </c>
      <c r="T54" s="128">
        <f>+S54*M54</f>
        <v>0</v>
      </c>
      <c r="U54" s="128">
        <f>T54*0.19</f>
        <v>0</v>
      </c>
      <c r="V54" s="128">
        <f>T54+U54</f>
        <v>0</v>
      </c>
      <c r="W54" s="127">
        <f>R54+V54</f>
        <v>0</v>
      </c>
      <c r="X54" s="46">
        <f>SUM(W54:W66)</f>
        <v>0</v>
      </c>
      <c r="Y54" s="44"/>
    </row>
    <row r="55" spans="1:25">
      <c r="A55" s="1"/>
      <c r="B55" s="1"/>
      <c r="C55" s="104"/>
      <c r="D55" s="104"/>
      <c r="E55" s="104"/>
      <c r="F55" s="105"/>
      <c r="G55" s="135"/>
      <c r="H55" s="134"/>
      <c r="I55" s="133"/>
      <c r="J55" s="135"/>
      <c r="K55" s="132"/>
      <c r="L55" s="131"/>
      <c r="M55" s="103"/>
      <c r="N55" s="103"/>
      <c r="O55" s="130"/>
      <c r="P55" s="129">
        <f>O55*M55</f>
        <v>0</v>
      </c>
      <c r="Q55" s="129">
        <f>P55*0.19</f>
        <v>0</v>
      </c>
      <c r="R55" s="129">
        <f>P55+Q55</f>
        <v>0</v>
      </c>
      <c r="S55" s="130">
        <v>0</v>
      </c>
      <c r="T55" s="128">
        <f>+S55*M55</f>
        <v>0</v>
      </c>
      <c r="U55" s="128">
        <f>T55*0.19</f>
        <v>0</v>
      </c>
      <c r="V55" s="128">
        <f>T55+U55</f>
        <v>0</v>
      </c>
      <c r="W55" s="127">
        <f>R55+V55</f>
        <v>0</v>
      </c>
      <c r="X55" s="46">
        <f>SUM(W55:W66)</f>
        <v>0</v>
      </c>
      <c r="Y55" s="44"/>
    </row>
    <row r="56" spans="1:25">
      <c r="A56" s="1"/>
      <c r="B56" s="1"/>
      <c r="C56" s="104"/>
      <c r="D56" s="104"/>
      <c r="E56" s="104"/>
      <c r="F56" s="105"/>
      <c r="G56" s="135"/>
      <c r="H56" s="134"/>
      <c r="I56" s="133"/>
      <c r="J56" s="135"/>
      <c r="K56" s="132"/>
      <c r="L56" s="131"/>
      <c r="M56" s="103"/>
      <c r="N56" s="103"/>
      <c r="O56" s="130"/>
      <c r="P56" s="129">
        <f>O56*M56</f>
        <v>0</v>
      </c>
      <c r="Q56" s="129">
        <f>P56*0.19</f>
        <v>0</v>
      </c>
      <c r="R56" s="129">
        <f>P56+Q56</f>
        <v>0</v>
      </c>
      <c r="S56" s="130">
        <v>0</v>
      </c>
      <c r="T56" s="128">
        <f>+S56*M56</f>
        <v>0</v>
      </c>
      <c r="U56" s="128">
        <f>T56*0.19</f>
        <v>0</v>
      </c>
      <c r="V56" s="128">
        <f>T56+U56</f>
        <v>0</v>
      </c>
      <c r="W56" s="127">
        <f>R56+V56</f>
        <v>0</v>
      </c>
      <c r="X56" s="46">
        <f>SUM(W56:W66)</f>
        <v>0</v>
      </c>
      <c r="Y56" s="44"/>
    </row>
    <row r="57" spans="1:25">
      <c r="A57" s="1"/>
      <c r="B57" s="1"/>
      <c r="C57" s="104"/>
      <c r="D57" s="104"/>
      <c r="E57" s="104"/>
      <c r="F57" s="105"/>
      <c r="G57" s="135"/>
      <c r="H57" s="134"/>
      <c r="I57" s="133"/>
      <c r="J57" s="135"/>
      <c r="K57" s="132"/>
      <c r="L57" s="131"/>
      <c r="M57" s="103"/>
      <c r="N57" s="103"/>
      <c r="O57" s="130"/>
      <c r="P57" s="129">
        <f>O57*M57</f>
        <v>0</v>
      </c>
      <c r="Q57" s="129">
        <f>P57*0.19</f>
        <v>0</v>
      </c>
      <c r="R57" s="129">
        <f>P57+Q57</f>
        <v>0</v>
      </c>
      <c r="S57" s="130">
        <v>0</v>
      </c>
      <c r="T57" s="128">
        <f>+S57*M57</f>
        <v>0</v>
      </c>
      <c r="U57" s="128">
        <f>T57*0.19</f>
        <v>0</v>
      </c>
      <c r="V57" s="128">
        <f>T57+U57</f>
        <v>0</v>
      </c>
      <c r="W57" s="127">
        <f>R57+V57</f>
        <v>0</v>
      </c>
      <c r="X57" s="46">
        <f>SUM(W57:W66)</f>
        <v>0</v>
      </c>
      <c r="Y57" s="44"/>
    </row>
    <row r="58" spans="1:25">
      <c r="A58" s="1"/>
      <c r="B58" s="1"/>
      <c r="C58" s="104"/>
      <c r="D58" s="104"/>
      <c r="E58" s="104"/>
      <c r="F58" s="126"/>
      <c r="G58" s="125"/>
      <c r="H58" s="124"/>
      <c r="I58" s="123"/>
      <c r="J58" s="122"/>
      <c r="K58" s="122"/>
      <c r="L58" s="121"/>
      <c r="M58" s="138"/>
      <c r="N58" s="139"/>
      <c r="O58" s="120">
        <v>0</v>
      </c>
      <c r="P58" s="118">
        <f>O58*M58</f>
        <v>0</v>
      </c>
      <c r="Q58" s="118">
        <f>P58*0.19</f>
        <v>0</v>
      </c>
      <c r="R58" s="118">
        <f>P58+Q58</f>
        <v>0</v>
      </c>
      <c r="S58" s="119">
        <v>0</v>
      </c>
      <c r="T58" s="118">
        <f>+S58*M58</f>
        <v>0</v>
      </c>
      <c r="U58" s="118">
        <f>T58*0.19</f>
        <v>0</v>
      </c>
      <c r="V58" s="118">
        <f>T58+U58</f>
        <v>0</v>
      </c>
      <c r="W58" s="117">
        <f>R58+V58</f>
        <v>0</v>
      </c>
      <c r="X58" s="12"/>
    </row>
    <row r="59" spans="1:25">
      <c r="A59" s="1"/>
      <c r="B59" s="1"/>
      <c r="C59" s="104"/>
      <c r="D59" s="104"/>
      <c r="E59" s="104"/>
      <c r="F59" s="126"/>
      <c r="G59" s="116"/>
      <c r="H59" s="115"/>
      <c r="I59" s="114"/>
      <c r="J59" s="113"/>
      <c r="K59" s="113"/>
      <c r="L59" s="112"/>
      <c r="M59" s="136"/>
      <c r="N59" s="137"/>
      <c r="O59" s="111">
        <v>0</v>
      </c>
      <c r="P59" s="109">
        <f>O59*M59</f>
        <v>0</v>
      </c>
      <c r="Q59" s="109">
        <f>P59*0.19</f>
        <v>0</v>
      </c>
      <c r="R59" s="109">
        <f>P59+Q59</f>
        <v>0</v>
      </c>
      <c r="S59" s="110">
        <v>0</v>
      </c>
      <c r="T59" s="109">
        <f>+S59*M59</f>
        <v>0</v>
      </c>
      <c r="U59" s="109">
        <f>T59*0.19</f>
        <v>0</v>
      </c>
      <c r="V59" s="109">
        <f>T59+U59</f>
        <v>0</v>
      </c>
      <c r="W59" s="108">
        <f>R59+V59</f>
        <v>0</v>
      </c>
    </row>
    <row r="60" spans="1:25">
      <c r="A60" s="1"/>
      <c r="B60" s="1"/>
      <c r="C60" s="104"/>
      <c r="D60" s="104"/>
      <c r="E60" s="104"/>
      <c r="F60" s="126"/>
      <c r="G60" s="116"/>
      <c r="H60" s="115"/>
      <c r="I60" s="114"/>
      <c r="J60" s="113"/>
      <c r="K60" s="113"/>
      <c r="L60" s="112"/>
      <c r="M60" s="136"/>
      <c r="N60" s="137"/>
      <c r="O60" s="111">
        <v>0</v>
      </c>
      <c r="P60" s="109">
        <f>O60*M60</f>
        <v>0</v>
      </c>
      <c r="Q60" s="109">
        <f>P60*0.19</f>
        <v>0</v>
      </c>
      <c r="R60" s="109">
        <f>P60+Q60</f>
        <v>0</v>
      </c>
      <c r="S60" s="110">
        <v>0</v>
      </c>
      <c r="T60" s="109">
        <f>+S60*M60</f>
        <v>0</v>
      </c>
      <c r="U60" s="109">
        <f>T60*0.19</f>
        <v>0</v>
      </c>
      <c r="V60" s="109">
        <f>T60+U60</f>
        <v>0</v>
      </c>
      <c r="W60" s="108">
        <f>R60+V60</f>
        <v>0</v>
      </c>
    </row>
    <row r="61" spans="1:25">
      <c r="A61" s="1"/>
      <c r="B61" s="1"/>
      <c r="C61" s="104"/>
      <c r="D61" s="104"/>
      <c r="E61" s="104"/>
      <c r="F61" s="126"/>
      <c r="G61" s="116"/>
      <c r="H61" s="115"/>
      <c r="I61" s="114"/>
      <c r="J61" s="113"/>
      <c r="K61" s="113"/>
      <c r="L61" s="112"/>
      <c r="M61" s="136"/>
      <c r="N61" s="137"/>
      <c r="O61" s="111">
        <v>0</v>
      </c>
      <c r="P61" s="109">
        <f>O61*M61</f>
        <v>0</v>
      </c>
      <c r="Q61" s="109">
        <f>P61*0.1900001</f>
        <v>0</v>
      </c>
      <c r="R61" s="109">
        <f>P61+Q61</f>
        <v>0</v>
      </c>
      <c r="S61" s="110">
        <v>0</v>
      </c>
      <c r="T61" s="109">
        <f>+S61*M61</f>
        <v>0</v>
      </c>
      <c r="U61" s="109">
        <f>T61*0.19</f>
        <v>0</v>
      </c>
      <c r="V61" s="109">
        <f>T61+U61</f>
        <v>0</v>
      </c>
      <c r="W61" s="108">
        <f>R61+V61</f>
        <v>0</v>
      </c>
    </row>
    <row r="62" spans="1:25">
      <c r="A62" s="1"/>
      <c r="B62" s="1"/>
      <c r="C62" s="104"/>
      <c r="D62" s="104"/>
      <c r="E62" s="104"/>
      <c r="F62" s="126"/>
      <c r="G62" s="116"/>
      <c r="H62" s="115"/>
      <c r="I62" s="114"/>
      <c r="J62" s="113"/>
      <c r="K62" s="113"/>
      <c r="L62" s="112"/>
      <c r="M62" s="136"/>
      <c r="N62" s="137"/>
      <c r="O62" s="111">
        <v>0</v>
      </c>
      <c r="P62" s="109">
        <f>O62*M62</f>
        <v>0</v>
      </c>
      <c r="Q62" s="109">
        <f>P62*0.19</f>
        <v>0</v>
      </c>
      <c r="R62" s="109">
        <f>P62+Q62</f>
        <v>0</v>
      </c>
      <c r="S62" s="110">
        <v>0</v>
      </c>
      <c r="T62" s="109">
        <f>+S62*M62</f>
        <v>0</v>
      </c>
      <c r="U62" s="109">
        <f>T62*0.19</f>
        <v>0</v>
      </c>
      <c r="V62" s="109">
        <f>T62+U62</f>
        <v>0</v>
      </c>
      <c r="W62" s="108">
        <f>R62+V62</f>
        <v>0</v>
      </c>
    </row>
    <row r="63" spans="1:25" ht="15" customHeight="1">
      <c r="A63" s="1"/>
      <c r="B63" s="1"/>
      <c r="C63" s="104"/>
      <c r="D63" s="104"/>
      <c r="E63" s="104"/>
      <c r="F63" s="126"/>
      <c r="G63" s="116"/>
      <c r="H63" s="115"/>
      <c r="I63" s="114"/>
      <c r="J63" s="113"/>
      <c r="K63" s="113"/>
      <c r="L63" s="112"/>
      <c r="M63" s="136"/>
      <c r="N63" s="137"/>
      <c r="O63" s="111">
        <v>0</v>
      </c>
      <c r="P63" s="109">
        <f>O63*M63</f>
        <v>0</v>
      </c>
      <c r="Q63" s="109">
        <f>P63*0.19</f>
        <v>0</v>
      </c>
      <c r="R63" s="109">
        <f>P63+Q63</f>
        <v>0</v>
      </c>
      <c r="S63" s="110">
        <v>0</v>
      </c>
      <c r="T63" s="109">
        <f>+S63*M63</f>
        <v>0</v>
      </c>
      <c r="U63" s="109">
        <f>T63*0.19</f>
        <v>0</v>
      </c>
      <c r="V63" s="109">
        <f>T63+U63</f>
        <v>0</v>
      </c>
      <c r="W63" s="108">
        <f>R63+V63</f>
        <v>0</v>
      </c>
    </row>
    <row r="64" spans="1:25">
      <c r="A64" s="1"/>
      <c r="B64" s="1"/>
      <c r="C64" s="104"/>
      <c r="D64" s="104"/>
      <c r="E64" s="104"/>
      <c r="F64" s="126"/>
      <c r="G64" s="116"/>
      <c r="H64" s="115"/>
      <c r="I64" s="114"/>
      <c r="J64" s="113"/>
      <c r="K64" s="113"/>
      <c r="L64" s="112"/>
      <c r="M64" s="136"/>
      <c r="N64" s="137"/>
      <c r="O64" s="111">
        <v>0</v>
      </c>
      <c r="P64" s="109">
        <f>O64*M64</f>
        <v>0</v>
      </c>
      <c r="Q64" s="109">
        <f>P64*0.19</f>
        <v>0</v>
      </c>
      <c r="R64" s="109">
        <f>P64+Q64</f>
        <v>0</v>
      </c>
      <c r="S64" s="110">
        <v>0</v>
      </c>
      <c r="T64" s="109">
        <f>+S64*M64</f>
        <v>0</v>
      </c>
      <c r="U64" s="109">
        <f>T64*0.19</f>
        <v>0</v>
      </c>
      <c r="V64" s="109">
        <f>T64+U64</f>
        <v>0</v>
      </c>
      <c r="W64" s="108">
        <f>R64+V64</f>
        <v>0</v>
      </c>
    </row>
    <row r="65" spans="1:23">
      <c r="A65" s="1"/>
      <c r="B65" s="1"/>
      <c r="C65" s="104"/>
      <c r="D65" s="104"/>
      <c r="E65" s="104"/>
      <c r="F65" s="126"/>
      <c r="G65" s="116"/>
      <c r="H65" s="115"/>
      <c r="I65" s="114"/>
      <c r="J65" s="113"/>
      <c r="K65" s="113"/>
      <c r="L65" s="112"/>
      <c r="M65" s="136"/>
      <c r="N65" s="137"/>
      <c r="O65" s="111">
        <v>0</v>
      </c>
      <c r="P65" s="109">
        <f>O65*M65</f>
        <v>0</v>
      </c>
      <c r="Q65" s="109">
        <f>P65*0.19</f>
        <v>0</v>
      </c>
      <c r="R65" s="109">
        <f>P65+Q65</f>
        <v>0</v>
      </c>
      <c r="S65" s="110">
        <v>0</v>
      </c>
      <c r="T65" s="109">
        <f>+S65*M65</f>
        <v>0</v>
      </c>
      <c r="U65" s="109">
        <f>T65*0.19</f>
        <v>0</v>
      </c>
      <c r="V65" s="109">
        <f>T65+U65</f>
        <v>0</v>
      </c>
      <c r="W65" s="108">
        <f>R65+V65</f>
        <v>0</v>
      </c>
    </row>
    <row r="66" spans="1:23">
      <c r="A66" s="1"/>
      <c r="B66" s="1"/>
      <c r="C66" s="104"/>
      <c r="D66" s="104"/>
      <c r="E66" s="104"/>
      <c r="F66" s="126"/>
      <c r="G66" s="116"/>
      <c r="H66" s="115"/>
      <c r="I66" s="114"/>
      <c r="J66" s="113"/>
      <c r="K66" s="113"/>
      <c r="L66" s="112"/>
      <c r="M66" s="136"/>
      <c r="N66" s="137"/>
      <c r="O66" s="111">
        <v>0</v>
      </c>
      <c r="P66" s="109">
        <f>O66*M66</f>
        <v>0</v>
      </c>
      <c r="Q66" s="109">
        <f>P66*0.19</f>
        <v>0</v>
      </c>
      <c r="R66" s="109">
        <f>P66+Q66</f>
        <v>0</v>
      </c>
      <c r="S66" s="110">
        <v>0</v>
      </c>
      <c r="T66" s="109">
        <f>+S66*M66</f>
        <v>0</v>
      </c>
      <c r="U66" s="109">
        <f>T66*0.19</f>
        <v>0</v>
      </c>
      <c r="V66" s="109">
        <f>T66+U66</f>
        <v>0</v>
      </c>
      <c r="W66" s="108">
        <f>R66+V66</f>
        <v>0</v>
      </c>
    </row>
    <row r="67" spans="1:23">
      <c r="C67" s="140" t="s">
        <v>105</v>
      </c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</row>
  </sheetData>
  <mergeCells count="149">
    <mergeCell ref="E45:E49"/>
    <mergeCell ref="D45:D49"/>
    <mergeCell ref="C45:C49"/>
    <mergeCell ref="X45:X49"/>
    <mergeCell ref="Y45:Y49"/>
    <mergeCell ref="J45:J49"/>
    <mergeCell ref="I45:I49"/>
    <mergeCell ref="H45:H49"/>
    <mergeCell ref="G45:G49"/>
    <mergeCell ref="F45:F49"/>
    <mergeCell ref="X27:X44"/>
    <mergeCell ref="Y27:Y44"/>
    <mergeCell ref="J27:J44"/>
    <mergeCell ref="I27:I44"/>
    <mergeCell ref="H27:H44"/>
    <mergeCell ref="G27:G44"/>
    <mergeCell ref="F27:F44"/>
    <mergeCell ref="E27:E44"/>
    <mergeCell ref="D27:D44"/>
    <mergeCell ref="I21:J21"/>
    <mergeCell ref="R23:T23"/>
    <mergeCell ref="R24:T24"/>
    <mergeCell ref="M19:N19"/>
    <mergeCell ref="M20:N20"/>
    <mergeCell ref="M21:N21"/>
    <mergeCell ref="M22:N22"/>
    <mergeCell ref="M23:N23"/>
    <mergeCell ref="R19:T19"/>
    <mergeCell ref="R20:T20"/>
    <mergeCell ref="R21:T21"/>
    <mergeCell ref="R22:T22"/>
    <mergeCell ref="U21:W21"/>
    <mergeCell ref="U22:W22"/>
    <mergeCell ref="I15:J15"/>
    <mergeCell ref="I16:J16"/>
    <mergeCell ref="I22:J22"/>
    <mergeCell ref="I23:J23"/>
    <mergeCell ref="I24:J24"/>
    <mergeCell ref="I19:J19"/>
    <mergeCell ref="I20:J20"/>
    <mergeCell ref="R17:T17"/>
    <mergeCell ref="R18:T18"/>
    <mergeCell ref="U23:W23"/>
    <mergeCell ref="U15:W15"/>
    <mergeCell ref="U16:W16"/>
    <mergeCell ref="U17:W17"/>
    <mergeCell ref="U18:W18"/>
    <mergeCell ref="M15:N15"/>
    <mergeCell ref="M16:N16"/>
    <mergeCell ref="M17:N17"/>
    <mergeCell ref="M18:N18"/>
    <mergeCell ref="R15:T15"/>
    <mergeCell ref="R16:T16"/>
    <mergeCell ref="I18:J18"/>
    <mergeCell ref="I17:J17"/>
    <mergeCell ref="M12:N12"/>
    <mergeCell ref="R12:T12"/>
    <mergeCell ref="U12:W12"/>
    <mergeCell ref="I13:J13"/>
    <mergeCell ref="M13:N13"/>
    <mergeCell ref="R13:T13"/>
    <mergeCell ref="U13:W13"/>
    <mergeCell ref="U19:W19"/>
    <mergeCell ref="U20:W20"/>
    <mergeCell ref="I14:J14"/>
    <mergeCell ref="L8:M8"/>
    <mergeCell ref="O8:P8"/>
    <mergeCell ref="Q8:R8"/>
    <mergeCell ref="S8:T8"/>
    <mergeCell ref="V8:W8"/>
    <mergeCell ref="C9:H9"/>
    <mergeCell ref="I9:P9"/>
    <mergeCell ref="Q9:W9"/>
    <mergeCell ref="M11:N11"/>
    <mergeCell ref="R11:T11"/>
    <mergeCell ref="U11:W11"/>
    <mergeCell ref="I10:J10"/>
    <mergeCell ref="M10:N10"/>
    <mergeCell ref="R10:T10"/>
    <mergeCell ref="U10:W10"/>
    <mergeCell ref="F8:G8"/>
    <mergeCell ref="H8:I8"/>
    <mergeCell ref="J8:K8"/>
    <mergeCell ref="U14:W14"/>
    <mergeCell ref="M14:N14"/>
    <mergeCell ref="R14:T14"/>
    <mergeCell ref="I11:J11"/>
    <mergeCell ref="I12:J12"/>
    <mergeCell ref="C5:W5"/>
    <mergeCell ref="C1:E4"/>
    <mergeCell ref="F1:T4"/>
    <mergeCell ref="U1:W1"/>
    <mergeCell ref="U2:V2"/>
    <mergeCell ref="U3:W4"/>
    <mergeCell ref="C6:W6"/>
    <mergeCell ref="F7:G7"/>
    <mergeCell ref="H7:I7"/>
    <mergeCell ref="J7:K7"/>
    <mergeCell ref="L7:M7"/>
    <mergeCell ref="O7:P7"/>
    <mergeCell ref="Q7:R7"/>
    <mergeCell ref="S7:T7"/>
    <mergeCell ref="V7:W7"/>
    <mergeCell ref="M32:N32"/>
    <mergeCell ref="M33:N33"/>
    <mergeCell ref="M34:N34"/>
    <mergeCell ref="U24:W24"/>
    <mergeCell ref="M26:N26"/>
    <mergeCell ref="M27:N27"/>
    <mergeCell ref="M28:N28"/>
    <mergeCell ref="M29:N29"/>
    <mergeCell ref="M24:N24"/>
    <mergeCell ref="C25:W25"/>
    <mergeCell ref="M30:N30"/>
    <mergeCell ref="M31:N31"/>
    <mergeCell ref="C27:C44"/>
    <mergeCell ref="M50:N50"/>
    <mergeCell ref="M51:N51"/>
    <mergeCell ref="M52:N52"/>
    <mergeCell ref="M53:N53"/>
    <mergeCell ref="M54:N54"/>
    <mergeCell ref="M45:N45"/>
    <mergeCell ref="M46:N46"/>
    <mergeCell ref="M47:N47"/>
    <mergeCell ref="M48:N48"/>
    <mergeCell ref="M49:N49"/>
    <mergeCell ref="M65:N65"/>
    <mergeCell ref="M66:N66"/>
    <mergeCell ref="C67:V67"/>
    <mergeCell ref="M60:N60"/>
    <mergeCell ref="M61:N61"/>
    <mergeCell ref="M62:N62"/>
    <mergeCell ref="M63:N63"/>
    <mergeCell ref="M64:N64"/>
    <mergeCell ref="M55:N55"/>
    <mergeCell ref="M56:N56"/>
    <mergeCell ref="M57:N57"/>
    <mergeCell ref="M58:N58"/>
    <mergeCell ref="M59:N59"/>
    <mergeCell ref="M40:N40"/>
    <mergeCell ref="M41:N41"/>
    <mergeCell ref="M42:N42"/>
    <mergeCell ref="M43:N43"/>
    <mergeCell ref="M44:N44"/>
    <mergeCell ref="M35:N35"/>
    <mergeCell ref="M36:N36"/>
    <mergeCell ref="M37:N37"/>
    <mergeCell ref="M38:N38"/>
    <mergeCell ref="M39:N39"/>
  </mergeCells>
  <hyperlinks>
    <hyperlink ref="Y27:Y44" r:id="rId1" display="SOPORTE" xr:uid="{0725899D-4B5A-4DEB-91BA-1452F13DFC7D}"/>
    <hyperlink ref="Y45:Y49" r:id="rId2" display="SOPORTE" xr:uid="{365800AA-0CA0-4BA7-BEA5-3184A3AB76DE}"/>
  </hyperlinks>
  <pageMargins left="0.7" right="0.7" top="0.75" bottom="0.75" header="0.3" footer="0.3"/>
  <pageSetup orientation="portrait" horizontalDpi="4294967294" verticalDpi="4294967294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2"/>
  <sheetViews>
    <sheetView workbookViewId="0">
      <pane xSplit="1" ySplit="1" topLeftCell="B425" activePane="bottomRight" state="frozen"/>
      <selection pane="bottomRight" activeCell="B443" sqref="B443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11" t="s">
        <v>21</v>
      </c>
      <c r="B1" s="11" t="s">
        <v>63</v>
      </c>
      <c r="C1" s="11" t="s">
        <v>62</v>
      </c>
    </row>
    <row r="2" spans="1:3">
      <c r="A2" t="s">
        <v>106</v>
      </c>
      <c r="B2" s="26" t="s">
        <v>107</v>
      </c>
      <c r="C2" s="27" t="s">
        <v>108</v>
      </c>
    </row>
    <row r="3" spans="1:3">
      <c r="A3" t="s">
        <v>109</v>
      </c>
      <c r="B3" s="26" t="s">
        <v>110</v>
      </c>
      <c r="C3" s="27" t="s">
        <v>111</v>
      </c>
    </row>
    <row r="4" spans="1:3">
      <c r="A4" t="s">
        <v>106</v>
      </c>
      <c r="B4" s="26" t="s">
        <v>112</v>
      </c>
      <c r="C4" s="27" t="s">
        <v>111</v>
      </c>
    </row>
    <row r="5" spans="1:3">
      <c r="A5" t="s">
        <v>109</v>
      </c>
      <c r="B5" s="26" t="s">
        <v>113</v>
      </c>
      <c r="C5" s="27" t="s">
        <v>111</v>
      </c>
    </row>
    <row r="6" spans="1:3">
      <c r="A6" t="s">
        <v>109</v>
      </c>
      <c r="B6" s="26" t="s">
        <v>114</v>
      </c>
      <c r="C6" s="27" t="s">
        <v>111</v>
      </c>
    </row>
    <row r="7" spans="1:3">
      <c r="A7" t="s">
        <v>106</v>
      </c>
      <c r="B7" s="26" t="s">
        <v>115</v>
      </c>
      <c r="C7" s="27" t="s">
        <v>111</v>
      </c>
    </row>
    <row r="8" spans="1:3">
      <c r="A8" t="s">
        <v>106</v>
      </c>
      <c r="B8" s="26" t="s">
        <v>116</v>
      </c>
      <c r="C8" s="27" t="s">
        <v>111</v>
      </c>
    </row>
    <row r="9" spans="1:3">
      <c r="A9" t="s">
        <v>106</v>
      </c>
      <c r="B9" s="26" t="s">
        <v>117</v>
      </c>
      <c r="C9" s="27" t="s">
        <v>111</v>
      </c>
    </row>
    <row r="10" spans="1:3">
      <c r="A10" t="s">
        <v>106</v>
      </c>
      <c r="B10" s="26" t="s">
        <v>118</v>
      </c>
      <c r="C10" s="27" t="s">
        <v>111</v>
      </c>
    </row>
    <row r="11" spans="1:3">
      <c r="A11" t="s">
        <v>106</v>
      </c>
      <c r="B11" s="26" t="s">
        <v>119</v>
      </c>
      <c r="C11" s="27" t="s">
        <v>120</v>
      </c>
    </row>
    <row r="12" spans="1:3">
      <c r="A12" t="s">
        <v>109</v>
      </c>
      <c r="B12" s="26" t="s">
        <v>121</v>
      </c>
      <c r="C12" s="27" t="s">
        <v>120</v>
      </c>
    </row>
    <row r="13" spans="1:3">
      <c r="A13" t="s">
        <v>109</v>
      </c>
      <c r="B13" s="28" t="s">
        <v>122</v>
      </c>
      <c r="C13" s="27" t="s">
        <v>120</v>
      </c>
    </row>
    <row r="14" spans="1:3">
      <c r="A14" t="s">
        <v>109</v>
      </c>
      <c r="B14" s="26" t="s">
        <v>123</v>
      </c>
      <c r="C14" s="27" t="s">
        <v>111</v>
      </c>
    </row>
    <row r="15" spans="1:3">
      <c r="A15" t="s">
        <v>106</v>
      </c>
      <c r="B15" s="26" t="s">
        <v>124</v>
      </c>
      <c r="C15" s="27" t="s">
        <v>108</v>
      </c>
    </row>
    <row r="16" spans="1:3">
      <c r="A16" t="s">
        <v>109</v>
      </c>
      <c r="B16" s="26" t="s">
        <v>125</v>
      </c>
      <c r="C16" s="27" t="s">
        <v>111</v>
      </c>
    </row>
    <row r="17" spans="1:3">
      <c r="A17" t="s">
        <v>106</v>
      </c>
      <c r="B17" s="26" t="s">
        <v>126</v>
      </c>
      <c r="C17" s="27" t="s">
        <v>108</v>
      </c>
    </row>
    <row r="18" spans="1:3">
      <c r="A18" t="s">
        <v>106</v>
      </c>
      <c r="B18" s="26" t="s">
        <v>127</v>
      </c>
      <c r="C18" s="27" t="s">
        <v>111</v>
      </c>
    </row>
    <row r="19" spans="1:3">
      <c r="A19" t="s">
        <v>106</v>
      </c>
      <c r="B19" s="26" t="s">
        <v>128</v>
      </c>
      <c r="C19" s="27" t="s">
        <v>108</v>
      </c>
    </row>
    <row r="20" spans="1:3">
      <c r="A20" t="s">
        <v>109</v>
      </c>
      <c r="B20" s="26" t="s">
        <v>129</v>
      </c>
      <c r="C20" s="27" t="s">
        <v>111</v>
      </c>
    </row>
    <row r="21" spans="1:3">
      <c r="A21" t="s">
        <v>106</v>
      </c>
      <c r="B21" s="26" t="s">
        <v>130</v>
      </c>
      <c r="C21" s="27" t="s">
        <v>111</v>
      </c>
    </row>
    <row r="22" spans="1:3">
      <c r="A22" t="s">
        <v>106</v>
      </c>
      <c r="B22" s="26" t="s">
        <v>131</v>
      </c>
      <c r="C22" s="27" t="s">
        <v>111</v>
      </c>
    </row>
    <row r="23" spans="1:3">
      <c r="A23" t="s">
        <v>106</v>
      </c>
      <c r="B23" s="26" t="s">
        <v>132</v>
      </c>
      <c r="C23" s="27" t="s">
        <v>111</v>
      </c>
    </row>
    <row r="24" spans="1:3">
      <c r="A24" t="s">
        <v>106</v>
      </c>
      <c r="B24" s="26" t="s">
        <v>133</v>
      </c>
      <c r="C24" s="27" t="s">
        <v>111</v>
      </c>
    </row>
    <row r="25" spans="1:3">
      <c r="A25" t="s">
        <v>106</v>
      </c>
      <c r="B25" s="26" t="s">
        <v>134</v>
      </c>
      <c r="C25" s="27" t="s">
        <v>111</v>
      </c>
    </row>
    <row r="26" spans="1:3">
      <c r="A26" t="s">
        <v>109</v>
      </c>
      <c r="B26" s="26" t="s">
        <v>135</v>
      </c>
      <c r="C26" s="27" t="s">
        <v>108</v>
      </c>
    </row>
    <row r="27" spans="1:3">
      <c r="A27" t="s">
        <v>106</v>
      </c>
      <c r="B27" s="26" t="s">
        <v>136</v>
      </c>
      <c r="C27" s="27" t="s">
        <v>108</v>
      </c>
    </row>
    <row r="28" spans="1:3">
      <c r="A28" t="s">
        <v>109</v>
      </c>
      <c r="B28" s="26" t="s">
        <v>137</v>
      </c>
      <c r="C28" s="27" t="s">
        <v>108</v>
      </c>
    </row>
    <row r="29" spans="1:3">
      <c r="A29" t="s">
        <v>106</v>
      </c>
      <c r="B29" s="26" t="s">
        <v>138</v>
      </c>
      <c r="C29" s="27" t="s">
        <v>108</v>
      </c>
    </row>
    <row r="30" spans="1:3">
      <c r="A30" t="s">
        <v>106</v>
      </c>
      <c r="B30" s="26" t="s">
        <v>139</v>
      </c>
      <c r="C30" s="27" t="s">
        <v>108</v>
      </c>
    </row>
    <row r="31" spans="1:3">
      <c r="A31" t="s">
        <v>109</v>
      </c>
      <c r="B31" s="26" t="s">
        <v>140</v>
      </c>
      <c r="C31" s="27" t="s">
        <v>111</v>
      </c>
    </row>
    <row r="32" spans="1:3">
      <c r="A32" t="s">
        <v>109</v>
      </c>
      <c r="B32" s="26" t="s">
        <v>141</v>
      </c>
      <c r="C32" s="27" t="s">
        <v>111</v>
      </c>
    </row>
    <row r="33" spans="1:3">
      <c r="A33" t="s">
        <v>106</v>
      </c>
      <c r="B33" s="26" t="s">
        <v>142</v>
      </c>
      <c r="C33" s="27" t="s">
        <v>108</v>
      </c>
    </row>
    <row r="34" spans="1:3">
      <c r="A34" t="s">
        <v>106</v>
      </c>
      <c r="B34" s="26" t="s">
        <v>143</v>
      </c>
      <c r="C34" s="27" t="s">
        <v>108</v>
      </c>
    </row>
    <row r="35" spans="1:3">
      <c r="A35" t="s">
        <v>106</v>
      </c>
      <c r="B35" s="26" t="s">
        <v>144</v>
      </c>
      <c r="C35" s="27" t="s">
        <v>108</v>
      </c>
    </row>
    <row r="36" spans="1:3">
      <c r="A36" t="s">
        <v>106</v>
      </c>
      <c r="B36" s="26" t="s">
        <v>145</v>
      </c>
      <c r="C36" s="27" t="s">
        <v>111</v>
      </c>
    </row>
    <row r="37" spans="1:3">
      <c r="A37" t="s">
        <v>106</v>
      </c>
      <c r="B37" s="26" t="s">
        <v>146</v>
      </c>
      <c r="C37" s="27" t="s">
        <v>111</v>
      </c>
    </row>
    <row r="38" spans="1:3">
      <c r="A38" t="s">
        <v>109</v>
      </c>
      <c r="B38" s="26" t="s">
        <v>147</v>
      </c>
      <c r="C38" s="27" t="s">
        <v>108</v>
      </c>
    </row>
    <row r="39" spans="1:3">
      <c r="A39" t="s">
        <v>109</v>
      </c>
      <c r="B39" s="26" t="s">
        <v>148</v>
      </c>
      <c r="C39" s="27" t="s">
        <v>111</v>
      </c>
    </row>
    <row r="40" spans="1:3">
      <c r="A40" t="s">
        <v>109</v>
      </c>
      <c r="B40" s="26" t="s">
        <v>149</v>
      </c>
      <c r="C40" s="27" t="s">
        <v>108</v>
      </c>
    </row>
    <row r="41" spans="1:3">
      <c r="A41" t="s">
        <v>106</v>
      </c>
      <c r="B41" s="26" t="s">
        <v>150</v>
      </c>
      <c r="C41" s="27" t="s">
        <v>108</v>
      </c>
    </row>
    <row r="42" spans="1:3">
      <c r="A42" t="s">
        <v>106</v>
      </c>
      <c r="B42" s="26" t="s">
        <v>151</v>
      </c>
      <c r="C42" s="27" t="s">
        <v>108</v>
      </c>
    </row>
    <row r="43" spans="1:3">
      <c r="A43" t="s">
        <v>106</v>
      </c>
      <c r="B43" s="26" t="s">
        <v>152</v>
      </c>
      <c r="C43" s="27" t="s">
        <v>111</v>
      </c>
    </row>
    <row r="44" spans="1:3">
      <c r="A44" t="s">
        <v>106</v>
      </c>
      <c r="B44" s="26" t="s">
        <v>153</v>
      </c>
      <c r="C44" s="27" t="s">
        <v>108</v>
      </c>
    </row>
    <row r="45" spans="1:3">
      <c r="A45" t="s">
        <v>106</v>
      </c>
      <c r="B45" s="26" t="s">
        <v>154</v>
      </c>
      <c r="C45" s="27" t="s">
        <v>108</v>
      </c>
    </row>
    <row r="46" spans="1:3">
      <c r="A46" t="s">
        <v>109</v>
      </c>
      <c r="B46" s="26" t="s">
        <v>155</v>
      </c>
      <c r="C46" s="27" t="s">
        <v>108</v>
      </c>
    </row>
    <row r="47" spans="1:3">
      <c r="A47" t="s">
        <v>109</v>
      </c>
      <c r="B47" s="26" t="s">
        <v>156</v>
      </c>
      <c r="C47" s="27" t="s">
        <v>108</v>
      </c>
    </row>
    <row r="48" spans="1:3">
      <c r="A48" t="s">
        <v>109</v>
      </c>
      <c r="B48" s="26" t="s">
        <v>157</v>
      </c>
      <c r="C48" s="27" t="s">
        <v>108</v>
      </c>
    </row>
    <row r="49" spans="1:3">
      <c r="A49" t="s">
        <v>109</v>
      </c>
      <c r="B49" s="26" t="s">
        <v>158</v>
      </c>
      <c r="C49" s="27" t="s">
        <v>108</v>
      </c>
    </row>
    <row r="50" spans="1:3">
      <c r="A50" t="s">
        <v>106</v>
      </c>
      <c r="B50" s="26" t="s">
        <v>159</v>
      </c>
      <c r="C50" s="27" t="s">
        <v>108</v>
      </c>
    </row>
    <row r="51" spans="1:3">
      <c r="A51" t="s">
        <v>106</v>
      </c>
      <c r="B51" s="26" t="s">
        <v>160</v>
      </c>
      <c r="C51" s="27" t="s">
        <v>108</v>
      </c>
    </row>
    <row r="52" spans="1:3">
      <c r="A52" t="s">
        <v>109</v>
      </c>
      <c r="B52" s="26" t="s">
        <v>161</v>
      </c>
      <c r="C52" s="27" t="s">
        <v>108</v>
      </c>
    </row>
    <row r="53" spans="1:3">
      <c r="A53" t="s">
        <v>109</v>
      </c>
      <c r="B53" s="26" t="s">
        <v>162</v>
      </c>
      <c r="C53" s="27" t="s">
        <v>108</v>
      </c>
    </row>
    <row r="54" spans="1:3">
      <c r="A54" t="s">
        <v>109</v>
      </c>
      <c r="B54" s="26" t="s">
        <v>163</v>
      </c>
      <c r="C54" s="27" t="s">
        <v>108</v>
      </c>
    </row>
    <row r="55" spans="1:3">
      <c r="A55" t="s">
        <v>106</v>
      </c>
      <c r="B55" s="26" t="s">
        <v>164</v>
      </c>
      <c r="C55" s="27" t="s">
        <v>108</v>
      </c>
    </row>
    <row r="56" spans="1:3">
      <c r="A56" t="s">
        <v>106</v>
      </c>
      <c r="B56" s="26" t="s">
        <v>165</v>
      </c>
      <c r="C56" s="27" t="s">
        <v>108</v>
      </c>
    </row>
    <row r="57" spans="1:3">
      <c r="A57" t="s">
        <v>106</v>
      </c>
      <c r="B57" s="26" t="s">
        <v>166</v>
      </c>
      <c r="C57" s="27" t="s">
        <v>108</v>
      </c>
    </row>
    <row r="58" spans="1:3">
      <c r="A58" t="s">
        <v>106</v>
      </c>
      <c r="B58" s="26" t="s">
        <v>167</v>
      </c>
      <c r="C58" s="27" t="s">
        <v>108</v>
      </c>
    </row>
    <row r="59" spans="1:3">
      <c r="A59" t="s">
        <v>106</v>
      </c>
      <c r="B59" s="26" t="s">
        <v>168</v>
      </c>
      <c r="C59" s="27" t="s">
        <v>108</v>
      </c>
    </row>
    <row r="60" spans="1:3">
      <c r="A60" t="s">
        <v>109</v>
      </c>
      <c r="B60" s="26" t="s">
        <v>169</v>
      </c>
      <c r="C60" s="27" t="s">
        <v>108</v>
      </c>
    </row>
    <row r="61" spans="1:3">
      <c r="A61" t="s">
        <v>106</v>
      </c>
      <c r="B61" s="26" t="s">
        <v>170</v>
      </c>
      <c r="C61" s="27" t="s">
        <v>108</v>
      </c>
    </row>
    <row r="62" spans="1:3">
      <c r="A62" t="s">
        <v>106</v>
      </c>
      <c r="B62" s="26" t="s">
        <v>171</v>
      </c>
      <c r="C62" s="27" t="s">
        <v>108</v>
      </c>
    </row>
    <row r="63" spans="1:3">
      <c r="A63" t="s">
        <v>106</v>
      </c>
      <c r="B63" s="26" t="s">
        <v>172</v>
      </c>
      <c r="C63" s="27" t="s">
        <v>108</v>
      </c>
    </row>
    <row r="64" spans="1:3">
      <c r="A64" t="s">
        <v>106</v>
      </c>
      <c r="B64" s="26" t="s">
        <v>173</v>
      </c>
      <c r="C64" s="27" t="s">
        <v>108</v>
      </c>
    </row>
    <row r="65" spans="1:3">
      <c r="A65" t="s">
        <v>106</v>
      </c>
      <c r="B65" s="26" t="s">
        <v>174</v>
      </c>
      <c r="C65" s="27" t="s">
        <v>108</v>
      </c>
    </row>
    <row r="66" spans="1:3">
      <c r="A66" t="s">
        <v>106</v>
      </c>
      <c r="B66" s="26" t="s">
        <v>174</v>
      </c>
      <c r="C66" s="27" t="s">
        <v>111</v>
      </c>
    </row>
    <row r="67" spans="1:3">
      <c r="A67" t="s">
        <v>106</v>
      </c>
      <c r="B67" s="26" t="s">
        <v>175</v>
      </c>
      <c r="C67" s="27" t="s">
        <v>108</v>
      </c>
    </row>
    <row r="68" spans="1:3">
      <c r="A68" t="s">
        <v>109</v>
      </c>
      <c r="B68" s="26" t="s">
        <v>176</v>
      </c>
      <c r="C68" s="27" t="s">
        <v>111</v>
      </c>
    </row>
    <row r="69" spans="1:3">
      <c r="A69" t="s">
        <v>106</v>
      </c>
      <c r="B69" s="26" t="s">
        <v>177</v>
      </c>
      <c r="C69" s="27" t="s">
        <v>108</v>
      </c>
    </row>
    <row r="70" spans="1:3">
      <c r="A70" t="s">
        <v>106</v>
      </c>
      <c r="B70" s="26" t="s">
        <v>178</v>
      </c>
      <c r="C70" s="27" t="s">
        <v>108</v>
      </c>
    </row>
    <row r="71" spans="1:3">
      <c r="A71" t="s">
        <v>106</v>
      </c>
      <c r="B71" s="26" t="s">
        <v>179</v>
      </c>
      <c r="C71" s="27" t="s">
        <v>108</v>
      </c>
    </row>
    <row r="72" spans="1:3">
      <c r="A72" t="s">
        <v>109</v>
      </c>
      <c r="B72" s="26" t="s">
        <v>180</v>
      </c>
      <c r="C72" s="27" t="s">
        <v>108</v>
      </c>
    </row>
    <row r="73" spans="1:3">
      <c r="A73" t="s">
        <v>106</v>
      </c>
      <c r="B73" s="26" t="s">
        <v>181</v>
      </c>
      <c r="C73" s="27" t="s">
        <v>108</v>
      </c>
    </row>
    <row r="74" spans="1:3">
      <c r="A74" t="s">
        <v>109</v>
      </c>
      <c r="B74" s="26" t="s">
        <v>182</v>
      </c>
      <c r="C74" s="27" t="s">
        <v>111</v>
      </c>
    </row>
    <row r="75" spans="1:3">
      <c r="A75" t="s">
        <v>109</v>
      </c>
      <c r="B75" s="26" t="s">
        <v>183</v>
      </c>
      <c r="C75" s="27" t="s">
        <v>108</v>
      </c>
    </row>
    <row r="76" spans="1:3">
      <c r="A76" t="s">
        <v>106</v>
      </c>
      <c r="B76" s="26" t="s">
        <v>184</v>
      </c>
      <c r="C76" s="27" t="s">
        <v>108</v>
      </c>
    </row>
    <row r="77" spans="1:3">
      <c r="A77" t="s">
        <v>109</v>
      </c>
      <c r="B77" s="26" t="s">
        <v>185</v>
      </c>
      <c r="C77" s="27" t="s">
        <v>108</v>
      </c>
    </row>
    <row r="78" spans="1:3">
      <c r="A78" t="s">
        <v>106</v>
      </c>
      <c r="B78" s="26" t="s">
        <v>186</v>
      </c>
      <c r="C78" s="27" t="s">
        <v>108</v>
      </c>
    </row>
    <row r="79" spans="1:3">
      <c r="A79" t="s">
        <v>109</v>
      </c>
      <c r="B79" s="26" t="s">
        <v>187</v>
      </c>
      <c r="C79" s="27" t="s">
        <v>111</v>
      </c>
    </row>
    <row r="80" spans="1:3">
      <c r="A80" t="s">
        <v>106</v>
      </c>
      <c r="B80" s="26" t="s">
        <v>188</v>
      </c>
      <c r="C80" s="27" t="s">
        <v>108</v>
      </c>
    </row>
    <row r="81" spans="1:3">
      <c r="A81" t="s">
        <v>106</v>
      </c>
      <c r="B81" s="26" t="s">
        <v>189</v>
      </c>
      <c r="C81" s="27" t="s">
        <v>108</v>
      </c>
    </row>
    <row r="82" spans="1:3">
      <c r="A82" t="s">
        <v>106</v>
      </c>
      <c r="B82" s="26" t="s">
        <v>190</v>
      </c>
      <c r="C82" s="27" t="s">
        <v>108</v>
      </c>
    </row>
    <row r="83" spans="1:3">
      <c r="A83" t="s">
        <v>106</v>
      </c>
      <c r="B83" s="26" t="s">
        <v>191</v>
      </c>
      <c r="C83" s="27" t="s">
        <v>108</v>
      </c>
    </row>
    <row r="84" spans="1:3">
      <c r="A84" t="s">
        <v>106</v>
      </c>
      <c r="B84" s="26" t="s">
        <v>192</v>
      </c>
      <c r="C84" s="27" t="s">
        <v>111</v>
      </c>
    </row>
    <row r="85" spans="1:3">
      <c r="A85" t="s">
        <v>109</v>
      </c>
      <c r="B85" s="26" t="s">
        <v>193</v>
      </c>
      <c r="C85" s="27" t="s">
        <v>108</v>
      </c>
    </row>
    <row r="86" spans="1:3">
      <c r="A86" t="s">
        <v>106</v>
      </c>
      <c r="B86" s="26" t="s">
        <v>194</v>
      </c>
      <c r="C86" s="27" t="s">
        <v>108</v>
      </c>
    </row>
    <row r="87" spans="1:3">
      <c r="A87" t="s">
        <v>106</v>
      </c>
      <c r="B87" s="26" t="s">
        <v>195</v>
      </c>
      <c r="C87" s="27" t="s">
        <v>111</v>
      </c>
    </row>
    <row r="88" spans="1:3">
      <c r="A88" t="s">
        <v>109</v>
      </c>
      <c r="B88" s="26" t="s">
        <v>196</v>
      </c>
      <c r="C88" s="27" t="s">
        <v>108</v>
      </c>
    </row>
    <row r="89" spans="1:3">
      <c r="A89" t="s">
        <v>106</v>
      </c>
      <c r="B89" s="26" t="s">
        <v>197</v>
      </c>
      <c r="C89" s="27" t="s">
        <v>111</v>
      </c>
    </row>
    <row r="90" spans="1:3">
      <c r="A90" t="s">
        <v>109</v>
      </c>
      <c r="B90" s="26" t="s">
        <v>198</v>
      </c>
      <c r="C90" s="27" t="s">
        <v>108</v>
      </c>
    </row>
    <row r="91" spans="1:3">
      <c r="A91" t="s">
        <v>109</v>
      </c>
      <c r="B91" s="26" t="s">
        <v>199</v>
      </c>
      <c r="C91" s="27" t="s">
        <v>108</v>
      </c>
    </row>
    <row r="92" spans="1:3">
      <c r="A92" t="s">
        <v>106</v>
      </c>
      <c r="B92" s="26" t="s">
        <v>200</v>
      </c>
      <c r="C92" s="27" t="s">
        <v>111</v>
      </c>
    </row>
    <row r="93" spans="1:3">
      <c r="A93" t="s">
        <v>109</v>
      </c>
      <c r="B93" s="26" t="s">
        <v>201</v>
      </c>
      <c r="C93" s="27" t="s">
        <v>111</v>
      </c>
    </row>
    <row r="94" spans="1:3" ht="26.25">
      <c r="A94" t="s">
        <v>109</v>
      </c>
      <c r="B94" s="26" t="s">
        <v>202</v>
      </c>
      <c r="C94" s="27" t="s">
        <v>111</v>
      </c>
    </row>
    <row r="95" spans="1:3">
      <c r="A95" t="s">
        <v>106</v>
      </c>
      <c r="B95" s="26" t="s">
        <v>203</v>
      </c>
      <c r="C95" s="27" t="s">
        <v>108</v>
      </c>
    </row>
    <row r="96" spans="1:3">
      <c r="A96" t="s">
        <v>109</v>
      </c>
      <c r="B96" s="26" t="s">
        <v>204</v>
      </c>
      <c r="C96" s="27" t="s">
        <v>108</v>
      </c>
    </row>
    <row r="97" spans="1:3">
      <c r="A97" t="s">
        <v>109</v>
      </c>
      <c r="B97" s="26" t="s">
        <v>205</v>
      </c>
      <c r="C97" s="27" t="s">
        <v>108</v>
      </c>
    </row>
    <row r="98" spans="1:3">
      <c r="A98" t="s">
        <v>109</v>
      </c>
      <c r="B98" s="26" t="s">
        <v>206</v>
      </c>
      <c r="C98" s="27" t="s">
        <v>108</v>
      </c>
    </row>
    <row r="99" spans="1:3">
      <c r="A99" t="s">
        <v>106</v>
      </c>
      <c r="B99" s="26" t="s">
        <v>207</v>
      </c>
      <c r="C99" s="27" t="s">
        <v>111</v>
      </c>
    </row>
    <row r="100" spans="1:3">
      <c r="A100" t="s">
        <v>109</v>
      </c>
      <c r="B100" s="26" t="s">
        <v>208</v>
      </c>
      <c r="C100" s="27" t="s">
        <v>108</v>
      </c>
    </row>
    <row r="101" spans="1:3">
      <c r="A101" t="s">
        <v>109</v>
      </c>
      <c r="B101" s="26" t="s">
        <v>209</v>
      </c>
      <c r="C101" s="27" t="s">
        <v>111</v>
      </c>
    </row>
    <row r="102" spans="1:3">
      <c r="A102" t="s">
        <v>109</v>
      </c>
      <c r="B102" s="26" t="s">
        <v>210</v>
      </c>
      <c r="C102" s="27" t="s">
        <v>108</v>
      </c>
    </row>
    <row r="103" spans="1:3">
      <c r="A103" t="s">
        <v>109</v>
      </c>
      <c r="B103" s="26" t="s">
        <v>211</v>
      </c>
      <c r="C103" s="27" t="s">
        <v>111</v>
      </c>
    </row>
    <row r="104" spans="1:3">
      <c r="A104" t="s">
        <v>106</v>
      </c>
      <c r="B104" s="26" t="s">
        <v>212</v>
      </c>
      <c r="C104" s="27" t="s">
        <v>111</v>
      </c>
    </row>
    <row r="105" spans="1:3">
      <c r="A105" t="s">
        <v>109</v>
      </c>
      <c r="B105" s="26" t="s">
        <v>213</v>
      </c>
      <c r="C105" s="27" t="s">
        <v>111</v>
      </c>
    </row>
    <row r="106" spans="1:3">
      <c r="A106" t="s">
        <v>106</v>
      </c>
      <c r="B106" s="26" t="s">
        <v>214</v>
      </c>
      <c r="C106" s="27" t="s">
        <v>108</v>
      </c>
    </row>
    <row r="107" spans="1:3">
      <c r="A107" t="s">
        <v>109</v>
      </c>
      <c r="B107" s="26" t="s">
        <v>215</v>
      </c>
      <c r="C107" s="27" t="s">
        <v>108</v>
      </c>
    </row>
    <row r="108" spans="1:3">
      <c r="A108" t="s">
        <v>106</v>
      </c>
      <c r="B108" s="26" t="s">
        <v>216</v>
      </c>
      <c r="C108" s="27" t="s">
        <v>111</v>
      </c>
    </row>
    <row r="109" spans="1:3" ht="26.25">
      <c r="A109" t="s">
        <v>106</v>
      </c>
      <c r="B109" s="26" t="s">
        <v>217</v>
      </c>
      <c r="C109" s="27" t="s">
        <v>111</v>
      </c>
    </row>
    <row r="110" spans="1:3">
      <c r="A110" t="s">
        <v>106</v>
      </c>
      <c r="B110" s="26" t="s">
        <v>218</v>
      </c>
      <c r="C110" s="27" t="s">
        <v>111</v>
      </c>
    </row>
    <row r="111" spans="1:3">
      <c r="A111" t="s">
        <v>106</v>
      </c>
      <c r="B111" s="26" t="s">
        <v>219</v>
      </c>
      <c r="C111" s="27" t="s">
        <v>111</v>
      </c>
    </row>
    <row r="112" spans="1:3">
      <c r="A112" t="s">
        <v>106</v>
      </c>
      <c r="B112" s="26" t="s">
        <v>220</v>
      </c>
      <c r="C112" s="27" t="s">
        <v>111</v>
      </c>
    </row>
    <row r="113" spans="1:3">
      <c r="A113" t="s">
        <v>109</v>
      </c>
      <c r="B113" s="26" t="s">
        <v>221</v>
      </c>
      <c r="C113" s="27" t="s">
        <v>111</v>
      </c>
    </row>
    <row r="114" spans="1:3">
      <c r="A114" t="s">
        <v>106</v>
      </c>
      <c r="B114" s="26" t="s">
        <v>222</v>
      </c>
      <c r="C114" s="27" t="s">
        <v>108</v>
      </c>
    </row>
    <row r="115" spans="1:3">
      <c r="A115" t="s">
        <v>106</v>
      </c>
      <c r="B115" s="26" t="s">
        <v>223</v>
      </c>
      <c r="C115" s="27" t="s">
        <v>111</v>
      </c>
    </row>
    <row r="116" spans="1:3">
      <c r="A116" t="s">
        <v>106</v>
      </c>
      <c r="B116" s="26" t="s">
        <v>224</v>
      </c>
      <c r="C116" s="27" t="s">
        <v>111</v>
      </c>
    </row>
    <row r="117" spans="1:3">
      <c r="A117" t="s">
        <v>106</v>
      </c>
      <c r="B117" s="26" t="s">
        <v>225</v>
      </c>
      <c r="C117" s="27" t="s">
        <v>111</v>
      </c>
    </row>
    <row r="118" spans="1:3">
      <c r="A118" t="s">
        <v>109</v>
      </c>
      <c r="B118" s="26" t="s">
        <v>226</v>
      </c>
      <c r="C118" s="27" t="s">
        <v>111</v>
      </c>
    </row>
    <row r="119" spans="1:3">
      <c r="A119" t="s">
        <v>106</v>
      </c>
      <c r="B119" s="26" t="s">
        <v>227</v>
      </c>
      <c r="C119" s="27" t="s">
        <v>108</v>
      </c>
    </row>
    <row r="120" spans="1:3">
      <c r="A120" t="s">
        <v>109</v>
      </c>
      <c r="B120" s="26" t="s">
        <v>228</v>
      </c>
      <c r="C120" s="27" t="s">
        <v>108</v>
      </c>
    </row>
    <row r="121" spans="1:3">
      <c r="A121" t="s">
        <v>106</v>
      </c>
      <c r="B121" s="26" t="s">
        <v>229</v>
      </c>
      <c r="C121" s="27" t="s">
        <v>111</v>
      </c>
    </row>
    <row r="122" spans="1:3" ht="26.25">
      <c r="A122" t="s">
        <v>109</v>
      </c>
      <c r="B122" s="26" t="s">
        <v>230</v>
      </c>
      <c r="C122" s="27" t="s">
        <v>108</v>
      </c>
    </row>
    <row r="123" spans="1:3">
      <c r="A123" t="s">
        <v>106</v>
      </c>
      <c r="B123" s="26" t="s">
        <v>231</v>
      </c>
      <c r="C123" s="27" t="s">
        <v>108</v>
      </c>
    </row>
    <row r="124" spans="1:3">
      <c r="A124" t="s">
        <v>106</v>
      </c>
      <c r="B124" s="26" t="s">
        <v>232</v>
      </c>
      <c r="C124" s="27" t="s">
        <v>111</v>
      </c>
    </row>
    <row r="125" spans="1:3">
      <c r="A125" t="s">
        <v>109</v>
      </c>
      <c r="B125" s="26" t="s">
        <v>233</v>
      </c>
      <c r="C125" s="27" t="s">
        <v>108</v>
      </c>
    </row>
    <row r="126" spans="1:3">
      <c r="A126" t="s">
        <v>109</v>
      </c>
      <c r="B126" s="26" t="s">
        <v>234</v>
      </c>
      <c r="C126" s="27" t="s">
        <v>111</v>
      </c>
    </row>
    <row r="127" spans="1:3">
      <c r="A127" t="s">
        <v>106</v>
      </c>
      <c r="B127" s="26" t="s">
        <v>235</v>
      </c>
      <c r="C127" s="27" t="s">
        <v>111</v>
      </c>
    </row>
    <row r="128" spans="1:3">
      <c r="A128" t="s">
        <v>106</v>
      </c>
      <c r="B128" s="26" t="s">
        <v>236</v>
      </c>
      <c r="C128" s="27" t="s">
        <v>108</v>
      </c>
    </row>
    <row r="129" spans="1:3">
      <c r="A129" t="s">
        <v>106</v>
      </c>
      <c r="B129" s="26" t="s">
        <v>237</v>
      </c>
      <c r="C129" s="27" t="s">
        <v>111</v>
      </c>
    </row>
    <row r="130" spans="1:3">
      <c r="A130" t="s">
        <v>106</v>
      </c>
      <c r="B130" s="26" t="s">
        <v>238</v>
      </c>
      <c r="C130" s="27" t="s">
        <v>108</v>
      </c>
    </row>
    <row r="131" spans="1:3">
      <c r="A131" t="s">
        <v>109</v>
      </c>
      <c r="B131" s="26" t="s">
        <v>239</v>
      </c>
      <c r="C131" s="27" t="s">
        <v>111</v>
      </c>
    </row>
    <row r="132" spans="1:3">
      <c r="A132" t="s">
        <v>106</v>
      </c>
      <c r="B132" s="26" t="s">
        <v>240</v>
      </c>
      <c r="C132" s="27" t="s">
        <v>111</v>
      </c>
    </row>
    <row r="133" spans="1:3">
      <c r="A133" t="s">
        <v>106</v>
      </c>
      <c r="B133" s="26" t="s">
        <v>241</v>
      </c>
      <c r="C133" s="27" t="s">
        <v>108</v>
      </c>
    </row>
    <row r="134" spans="1:3">
      <c r="A134" t="s">
        <v>109</v>
      </c>
      <c r="B134" s="26" t="s">
        <v>242</v>
      </c>
      <c r="C134" s="27" t="s">
        <v>108</v>
      </c>
    </row>
    <row r="135" spans="1:3">
      <c r="A135" t="s">
        <v>109</v>
      </c>
      <c r="B135" s="26" t="s">
        <v>243</v>
      </c>
      <c r="C135" s="27" t="s">
        <v>108</v>
      </c>
    </row>
    <row r="136" spans="1:3">
      <c r="A136" t="s">
        <v>109</v>
      </c>
      <c r="B136" s="26" t="s">
        <v>244</v>
      </c>
      <c r="C136" s="27" t="s">
        <v>108</v>
      </c>
    </row>
    <row r="137" spans="1:3">
      <c r="A137" t="s">
        <v>109</v>
      </c>
      <c r="B137" s="26" t="s">
        <v>245</v>
      </c>
      <c r="C137" s="27" t="s">
        <v>108</v>
      </c>
    </row>
    <row r="138" spans="1:3">
      <c r="A138" t="s">
        <v>109</v>
      </c>
      <c r="B138" s="26" t="s">
        <v>246</v>
      </c>
      <c r="C138" s="27" t="s">
        <v>108</v>
      </c>
    </row>
    <row r="139" spans="1:3">
      <c r="A139" t="s">
        <v>109</v>
      </c>
      <c r="B139" s="26" t="s">
        <v>247</v>
      </c>
      <c r="C139" s="27" t="s">
        <v>108</v>
      </c>
    </row>
    <row r="140" spans="1:3">
      <c r="A140" t="s">
        <v>106</v>
      </c>
      <c r="B140" s="26" t="s">
        <v>248</v>
      </c>
      <c r="C140" s="27" t="s">
        <v>108</v>
      </c>
    </row>
    <row r="141" spans="1:3">
      <c r="A141" t="s">
        <v>106</v>
      </c>
      <c r="B141" s="26" t="s">
        <v>249</v>
      </c>
      <c r="C141" s="27" t="s">
        <v>111</v>
      </c>
    </row>
    <row r="142" spans="1:3">
      <c r="A142" t="s">
        <v>106</v>
      </c>
      <c r="B142" s="26" t="s">
        <v>250</v>
      </c>
      <c r="C142" s="27" t="s">
        <v>111</v>
      </c>
    </row>
    <row r="143" spans="1:3">
      <c r="A143" t="s">
        <v>106</v>
      </c>
      <c r="B143" s="26" t="s">
        <v>251</v>
      </c>
      <c r="C143" s="27" t="s">
        <v>111</v>
      </c>
    </row>
    <row r="144" spans="1:3">
      <c r="A144" t="s">
        <v>106</v>
      </c>
      <c r="B144" s="26" t="s">
        <v>252</v>
      </c>
      <c r="C144" s="27" t="s">
        <v>111</v>
      </c>
    </row>
    <row r="145" spans="1:3" ht="26.25">
      <c r="A145" t="s">
        <v>106</v>
      </c>
      <c r="B145" s="26" t="s">
        <v>253</v>
      </c>
      <c r="C145" s="27" t="s">
        <v>111</v>
      </c>
    </row>
    <row r="146" spans="1:3">
      <c r="A146" t="s">
        <v>106</v>
      </c>
      <c r="B146" s="26" t="s">
        <v>254</v>
      </c>
      <c r="C146" s="27" t="s">
        <v>108</v>
      </c>
    </row>
    <row r="147" spans="1:3">
      <c r="A147" t="s">
        <v>106</v>
      </c>
      <c r="B147" s="26" t="s">
        <v>255</v>
      </c>
      <c r="C147" s="27" t="s">
        <v>111</v>
      </c>
    </row>
    <row r="148" spans="1:3">
      <c r="A148" t="s">
        <v>106</v>
      </c>
      <c r="B148" s="26" t="s">
        <v>256</v>
      </c>
      <c r="C148" s="27" t="s">
        <v>111</v>
      </c>
    </row>
    <row r="149" spans="1:3">
      <c r="A149" t="s">
        <v>106</v>
      </c>
      <c r="B149" s="26" t="s">
        <v>257</v>
      </c>
      <c r="C149" s="27" t="s">
        <v>111</v>
      </c>
    </row>
    <row r="150" spans="1:3">
      <c r="A150" t="s">
        <v>109</v>
      </c>
      <c r="B150" s="26" t="s">
        <v>258</v>
      </c>
      <c r="C150" s="27" t="s">
        <v>108</v>
      </c>
    </row>
    <row r="151" spans="1:3">
      <c r="A151" t="s">
        <v>106</v>
      </c>
      <c r="B151" s="26" t="s">
        <v>259</v>
      </c>
      <c r="C151" s="27" t="s">
        <v>108</v>
      </c>
    </row>
    <row r="152" spans="1:3">
      <c r="A152" t="s">
        <v>106</v>
      </c>
      <c r="B152" s="26" t="s">
        <v>260</v>
      </c>
      <c r="C152" s="27" t="s">
        <v>108</v>
      </c>
    </row>
    <row r="153" spans="1:3">
      <c r="A153" t="s">
        <v>109</v>
      </c>
      <c r="B153" s="26" t="s">
        <v>261</v>
      </c>
      <c r="C153" s="27" t="s">
        <v>108</v>
      </c>
    </row>
    <row r="154" spans="1:3">
      <c r="A154" t="s">
        <v>106</v>
      </c>
      <c r="B154" s="26" t="s">
        <v>262</v>
      </c>
      <c r="C154" s="27" t="s">
        <v>108</v>
      </c>
    </row>
    <row r="155" spans="1:3">
      <c r="A155" t="s">
        <v>106</v>
      </c>
      <c r="B155" s="26" t="s">
        <v>263</v>
      </c>
      <c r="C155" s="27" t="s">
        <v>108</v>
      </c>
    </row>
    <row r="156" spans="1:3">
      <c r="A156" t="s">
        <v>106</v>
      </c>
      <c r="B156" s="26" t="s">
        <v>264</v>
      </c>
      <c r="C156" s="27" t="s">
        <v>108</v>
      </c>
    </row>
    <row r="157" spans="1:3">
      <c r="A157" t="s">
        <v>106</v>
      </c>
      <c r="B157" s="26" t="s">
        <v>265</v>
      </c>
      <c r="C157" s="27" t="s">
        <v>108</v>
      </c>
    </row>
    <row r="158" spans="1:3">
      <c r="A158" t="s">
        <v>106</v>
      </c>
      <c r="B158" s="26" t="s">
        <v>266</v>
      </c>
      <c r="C158" s="27" t="s">
        <v>108</v>
      </c>
    </row>
    <row r="159" spans="1:3">
      <c r="A159" t="s">
        <v>106</v>
      </c>
      <c r="B159" s="26" t="s">
        <v>267</v>
      </c>
      <c r="C159" s="27" t="s">
        <v>108</v>
      </c>
    </row>
    <row r="160" spans="1:3">
      <c r="A160" t="s">
        <v>109</v>
      </c>
      <c r="B160" s="26" t="s">
        <v>268</v>
      </c>
      <c r="C160" s="27" t="s">
        <v>108</v>
      </c>
    </row>
    <row r="161" spans="1:3">
      <c r="A161" t="s">
        <v>109</v>
      </c>
      <c r="B161" s="26" t="s">
        <v>269</v>
      </c>
      <c r="C161" s="27" t="s">
        <v>111</v>
      </c>
    </row>
    <row r="162" spans="1:3">
      <c r="A162" t="s">
        <v>109</v>
      </c>
      <c r="B162" s="26" t="s">
        <v>270</v>
      </c>
      <c r="C162" s="27" t="s">
        <v>108</v>
      </c>
    </row>
    <row r="163" spans="1:3">
      <c r="A163" t="s">
        <v>109</v>
      </c>
      <c r="B163" s="26" t="s">
        <v>271</v>
      </c>
      <c r="C163" s="27" t="s">
        <v>108</v>
      </c>
    </row>
    <row r="164" spans="1:3">
      <c r="A164" t="s">
        <v>109</v>
      </c>
      <c r="B164" s="26" t="s">
        <v>272</v>
      </c>
      <c r="C164" s="27" t="s">
        <v>111</v>
      </c>
    </row>
    <row r="165" spans="1:3">
      <c r="A165" t="s">
        <v>106</v>
      </c>
      <c r="B165" s="26" t="s">
        <v>273</v>
      </c>
      <c r="C165" s="27" t="s">
        <v>111</v>
      </c>
    </row>
    <row r="166" spans="1:3">
      <c r="A166" t="s">
        <v>106</v>
      </c>
      <c r="B166" s="26" t="s">
        <v>274</v>
      </c>
      <c r="C166" s="27" t="s">
        <v>111</v>
      </c>
    </row>
    <row r="167" spans="1:3">
      <c r="A167" t="s">
        <v>106</v>
      </c>
      <c r="B167" s="26" t="s">
        <v>275</v>
      </c>
      <c r="C167" s="27" t="s">
        <v>111</v>
      </c>
    </row>
    <row r="168" spans="1:3">
      <c r="A168" t="s">
        <v>109</v>
      </c>
      <c r="B168" s="26" t="s">
        <v>276</v>
      </c>
      <c r="C168" s="27" t="s">
        <v>108</v>
      </c>
    </row>
    <row r="169" spans="1:3">
      <c r="A169" t="s">
        <v>109</v>
      </c>
      <c r="B169" s="26" t="s">
        <v>277</v>
      </c>
      <c r="C169" s="27" t="s">
        <v>111</v>
      </c>
    </row>
    <row r="170" spans="1:3">
      <c r="A170" t="s">
        <v>106</v>
      </c>
      <c r="B170" s="26" t="s">
        <v>278</v>
      </c>
      <c r="C170" s="27" t="s">
        <v>108</v>
      </c>
    </row>
    <row r="171" spans="1:3">
      <c r="A171" t="s">
        <v>106</v>
      </c>
      <c r="B171" s="26" t="s">
        <v>279</v>
      </c>
      <c r="C171" s="27" t="s">
        <v>108</v>
      </c>
    </row>
    <row r="172" spans="1:3">
      <c r="A172" t="s">
        <v>106</v>
      </c>
      <c r="B172" s="26" t="s">
        <v>280</v>
      </c>
      <c r="C172" s="27" t="s">
        <v>108</v>
      </c>
    </row>
    <row r="173" spans="1:3">
      <c r="A173" t="s">
        <v>106</v>
      </c>
      <c r="B173" s="26" t="s">
        <v>281</v>
      </c>
      <c r="C173" s="27" t="s">
        <v>108</v>
      </c>
    </row>
    <row r="174" spans="1:3">
      <c r="A174" t="s">
        <v>106</v>
      </c>
      <c r="B174" s="26" t="s">
        <v>282</v>
      </c>
      <c r="C174" s="27" t="s">
        <v>108</v>
      </c>
    </row>
    <row r="175" spans="1:3">
      <c r="A175" t="s">
        <v>106</v>
      </c>
      <c r="B175" s="26" t="s">
        <v>283</v>
      </c>
      <c r="C175" s="27" t="s">
        <v>108</v>
      </c>
    </row>
    <row r="176" spans="1:3" ht="26.25">
      <c r="A176" t="s">
        <v>106</v>
      </c>
      <c r="B176" s="26" t="s">
        <v>284</v>
      </c>
      <c r="C176" s="27" t="s">
        <v>108</v>
      </c>
    </row>
    <row r="177" spans="1:3">
      <c r="A177" t="s">
        <v>106</v>
      </c>
      <c r="B177" s="26" t="s">
        <v>285</v>
      </c>
      <c r="C177" s="27" t="s">
        <v>108</v>
      </c>
    </row>
    <row r="178" spans="1:3">
      <c r="A178" t="s">
        <v>106</v>
      </c>
      <c r="B178" s="26" t="s">
        <v>286</v>
      </c>
      <c r="C178" s="27" t="s">
        <v>108</v>
      </c>
    </row>
    <row r="179" spans="1:3">
      <c r="A179" t="s">
        <v>106</v>
      </c>
      <c r="B179" s="26" t="s">
        <v>287</v>
      </c>
      <c r="C179" s="27" t="s">
        <v>108</v>
      </c>
    </row>
    <row r="180" spans="1:3">
      <c r="A180" t="s">
        <v>106</v>
      </c>
      <c r="B180" s="26" t="s">
        <v>288</v>
      </c>
      <c r="C180" s="27" t="s">
        <v>108</v>
      </c>
    </row>
    <row r="181" spans="1:3" ht="26.25">
      <c r="A181" t="s">
        <v>106</v>
      </c>
      <c r="B181" s="26" t="s">
        <v>289</v>
      </c>
      <c r="C181" s="27" t="s">
        <v>108</v>
      </c>
    </row>
    <row r="182" spans="1:3">
      <c r="A182" t="s">
        <v>109</v>
      </c>
      <c r="B182" s="28" t="s">
        <v>290</v>
      </c>
      <c r="C182" s="27" t="s">
        <v>108</v>
      </c>
    </row>
    <row r="183" spans="1:3">
      <c r="A183" t="s">
        <v>106</v>
      </c>
      <c r="B183" s="26" t="s">
        <v>291</v>
      </c>
      <c r="C183" s="27" t="s">
        <v>108</v>
      </c>
    </row>
    <row r="184" spans="1:3">
      <c r="A184" t="s">
        <v>109</v>
      </c>
      <c r="B184" s="28" t="s">
        <v>292</v>
      </c>
      <c r="C184" s="27" t="s">
        <v>108</v>
      </c>
    </row>
    <row r="185" spans="1:3">
      <c r="A185" t="s">
        <v>109</v>
      </c>
      <c r="B185" s="26" t="s">
        <v>293</v>
      </c>
      <c r="C185" s="27" t="s">
        <v>108</v>
      </c>
    </row>
    <row r="186" spans="1:3">
      <c r="A186" t="s">
        <v>109</v>
      </c>
      <c r="B186" s="26" t="s">
        <v>294</v>
      </c>
      <c r="C186" s="27" t="s">
        <v>108</v>
      </c>
    </row>
    <row r="187" spans="1:3">
      <c r="A187" t="s">
        <v>106</v>
      </c>
      <c r="B187" s="26" t="s">
        <v>295</v>
      </c>
      <c r="C187" s="27" t="s">
        <v>108</v>
      </c>
    </row>
    <row r="188" spans="1:3">
      <c r="A188" t="s">
        <v>106</v>
      </c>
      <c r="B188" s="26" t="s">
        <v>296</v>
      </c>
      <c r="C188" s="27" t="s">
        <v>108</v>
      </c>
    </row>
    <row r="189" spans="1:3" ht="26.25">
      <c r="A189" t="s">
        <v>109</v>
      </c>
      <c r="B189" s="26" t="s">
        <v>297</v>
      </c>
      <c r="C189" s="27" t="s">
        <v>111</v>
      </c>
    </row>
    <row r="190" spans="1:3">
      <c r="A190" t="s">
        <v>109</v>
      </c>
      <c r="B190" s="26" t="s">
        <v>298</v>
      </c>
      <c r="C190" s="27" t="s">
        <v>108</v>
      </c>
    </row>
    <row r="191" spans="1:3">
      <c r="A191" t="s">
        <v>109</v>
      </c>
      <c r="B191" s="26" t="s">
        <v>299</v>
      </c>
      <c r="C191" s="27" t="s">
        <v>108</v>
      </c>
    </row>
    <row r="192" spans="1:3">
      <c r="A192" t="s">
        <v>109</v>
      </c>
      <c r="B192" s="26" t="s">
        <v>300</v>
      </c>
      <c r="C192" s="27" t="s">
        <v>108</v>
      </c>
    </row>
    <row r="193" spans="1:3">
      <c r="A193" t="s">
        <v>106</v>
      </c>
      <c r="B193" s="26" t="s">
        <v>301</v>
      </c>
      <c r="C193" s="27" t="s">
        <v>108</v>
      </c>
    </row>
    <row r="194" spans="1:3">
      <c r="A194" t="s">
        <v>106</v>
      </c>
      <c r="B194" s="26" t="s">
        <v>302</v>
      </c>
      <c r="C194" s="27" t="s">
        <v>108</v>
      </c>
    </row>
    <row r="195" spans="1:3">
      <c r="A195" t="s">
        <v>106</v>
      </c>
      <c r="B195" s="26" t="s">
        <v>303</v>
      </c>
      <c r="C195" s="27" t="s">
        <v>108</v>
      </c>
    </row>
    <row r="196" spans="1:3">
      <c r="A196" t="s">
        <v>109</v>
      </c>
      <c r="B196" s="26" t="s">
        <v>304</v>
      </c>
      <c r="C196" s="27" t="s">
        <v>108</v>
      </c>
    </row>
    <row r="197" spans="1:3">
      <c r="A197" t="s">
        <v>106</v>
      </c>
      <c r="B197" s="26" t="s">
        <v>305</v>
      </c>
      <c r="C197" s="27" t="s">
        <v>108</v>
      </c>
    </row>
    <row r="198" spans="1:3">
      <c r="A198" t="s">
        <v>109</v>
      </c>
      <c r="B198" s="26" t="s">
        <v>306</v>
      </c>
      <c r="C198" s="27" t="s">
        <v>108</v>
      </c>
    </row>
    <row r="199" spans="1:3">
      <c r="A199" t="s">
        <v>106</v>
      </c>
      <c r="B199" s="26" t="s">
        <v>307</v>
      </c>
      <c r="C199" s="27" t="s">
        <v>108</v>
      </c>
    </row>
    <row r="200" spans="1:3">
      <c r="A200" t="s">
        <v>109</v>
      </c>
      <c r="B200" s="26" t="s">
        <v>308</v>
      </c>
      <c r="C200" s="27" t="s">
        <v>108</v>
      </c>
    </row>
    <row r="201" spans="1:3">
      <c r="A201" t="s">
        <v>106</v>
      </c>
      <c r="B201" s="26" t="s">
        <v>309</v>
      </c>
      <c r="C201" s="27" t="s">
        <v>108</v>
      </c>
    </row>
    <row r="202" spans="1:3">
      <c r="A202" t="s">
        <v>106</v>
      </c>
      <c r="B202" s="26" t="s">
        <v>310</v>
      </c>
      <c r="C202" s="27" t="s">
        <v>108</v>
      </c>
    </row>
    <row r="203" spans="1:3">
      <c r="A203" t="s">
        <v>106</v>
      </c>
      <c r="B203" s="26" t="s">
        <v>311</v>
      </c>
      <c r="C203" s="27" t="s">
        <v>111</v>
      </c>
    </row>
    <row r="204" spans="1:3">
      <c r="A204" t="s">
        <v>106</v>
      </c>
      <c r="B204" s="26" t="s">
        <v>312</v>
      </c>
      <c r="C204" s="27" t="s">
        <v>108</v>
      </c>
    </row>
    <row r="205" spans="1:3">
      <c r="A205" t="s">
        <v>109</v>
      </c>
      <c r="B205" s="26" t="s">
        <v>313</v>
      </c>
      <c r="C205" s="27" t="s">
        <v>108</v>
      </c>
    </row>
    <row r="206" spans="1:3">
      <c r="A206" t="s">
        <v>106</v>
      </c>
      <c r="B206" s="26" t="s">
        <v>314</v>
      </c>
      <c r="C206" s="27" t="s">
        <v>111</v>
      </c>
    </row>
    <row r="207" spans="1:3">
      <c r="A207" t="s">
        <v>106</v>
      </c>
      <c r="B207" s="26" t="s">
        <v>315</v>
      </c>
      <c r="C207" s="27" t="s">
        <v>108</v>
      </c>
    </row>
    <row r="208" spans="1:3">
      <c r="A208" t="s">
        <v>109</v>
      </c>
      <c r="B208" s="26" t="s">
        <v>316</v>
      </c>
      <c r="C208" s="27" t="s">
        <v>108</v>
      </c>
    </row>
    <row r="209" spans="1:3">
      <c r="A209" t="s">
        <v>106</v>
      </c>
      <c r="B209" s="26" t="s">
        <v>317</v>
      </c>
      <c r="C209" s="27" t="s">
        <v>108</v>
      </c>
    </row>
    <row r="210" spans="1:3">
      <c r="A210" t="s">
        <v>106</v>
      </c>
      <c r="B210" s="26" t="s">
        <v>318</v>
      </c>
      <c r="C210" s="27" t="s">
        <v>108</v>
      </c>
    </row>
    <row r="211" spans="1:3">
      <c r="A211" t="s">
        <v>106</v>
      </c>
      <c r="B211" s="26" t="s">
        <v>319</v>
      </c>
      <c r="C211" s="27" t="s">
        <v>111</v>
      </c>
    </row>
    <row r="212" spans="1:3">
      <c r="A212" t="s">
        <v>106</v>
      </c>
      <c r="B212" s="26" t="s">
        <v>320</v>
      </c>
      <c r="C212" s="27" t="s">
        <v>108</v>
      </c>
    </row>
    <row r="213" spans="1:3">
      <c r="A213" t="s">
        <v>106</v>
      </c>
      <c r="B213" s="26" t="s">
        <v>321</v>
      </c>
      <c r="C213" s="27" t="s">
        <v>120</v>
      </c>
    </row>
    <row r="214" spans="1:3">
      <c r="A214" t="s">
        <v>106</v>
      </c>
      <c r="B214" s="26" t="s">
        <v>322</v>
      </c>
      <c r="C214" s="27" t="s">
        <v>111</v>
      </c>
    </row>
    <row r="215" spans="1:3">
      <c r="A215" t="s">
        <v>106</v>
      </c>
      <c r="B215" s="26" t="s">
        <v>323</v>
      </c>
      <c r="C215" s="27" t="s">
        <v>111</v>
      </c>
    </row>
    <row r="216" spans="1:3">
      <c r="A216" t="s">
        <v>106</v>
      </c>
      <c r="B216" s="26" t="s">
        <v>324</v>
      </c>
      <c r="C216" s="27" t="s">
        <v>111</v>
      </c>
    </row>
    <row r="217" spans="1:3">
      <c r="A217" t="s">
        <v>106</v>
      </c>
      <c r="B217" s="26" t="s">
        <v>92</v>
      </c>
      <c r="C217" s="27" t="s">
        <v>111</v>
      </c>
    </row>
    <row r="218" spans="1:3">
      <c r="A218" t="s">
        <v>109</v>
      </c>
      <c r="B218" s="26" t="s">
        <v>325</v>
      </c>
      <c r="C218" s="27" t="s">
        <v>108</v>
      </c>
    </row>
    <row r="219" spans="1:3">
      <c r="A219" t="s">
        <v>106</v>
      </c>
      <c r="B219" s="26" t="s">
        <v>326</v>
      </c>
      <c r="C219" s="27" t="s">
        <v>111</v>
      </c>
    </row>
    <row r="220" spans="1:3">
      <c r="A220" t="s">
        <v>106</v>
      </c>
      <c r="B220" s="26" t="s">
        <v>327</v>
      </c>
      <c r="C220" s="27" t="s">
        <v>111</v>
      </c>
    </row>
    <row r="221" spans="1:3">
      <c r="A221" t="s">
        <v>109</v>
      </c>
      <c r="B221" s="26" t="s">
        <v>328</v>
      </c>
      <c r="C221" s="27" t="s">
        <v>111</v>
      </c>
    </row>
    <row r="222" spans="1:3">
      <c r="A222" t="s">
        <v>109</v>
      </c>
      <c r="B222" s="26" t="s">
        <v>329</v>
      </c>
      <c r="C222" s="27" t="s">
        <v>111</v>
      </c>
    </row>
    <row r="223" spans="1:3">
      <c r="A223" t="s">
        <v>106</v>
      </c>
      <c r="B223" s="26" t="s">
        <v>330</v>
      </c>
      <c r="C223" s="27" t="s">
        <v>108</v>
      </c>
    </row>
    <row r="224" spans="1:3" ht="15" customHeight="1">
      <c r="A224" t="s">
        <v>106</v>
      </c>
      <c r="B224" s="26" t="s">
        <v>331</v>
      </c>
      <c r="C224" s="27" t="s">
        <v>108</v>
      </c>
    </row>
    <row r="225" spans="1:3" ht="15" customHeight="1">
      <c r="A225" t="s">
        <v>109</v>
      </c>
      <c r="B225" s="26" t="s">
        <v>332</v>
      </c>
      <c r="C225" s="27" t="s">
        <v>111</v>
      </c>
    </row>
    <row r="226" spans="1:3" ht="15" customHeight="1">
      <c r="A226" t="s">
        <v>106</v>
      </c>
      <c r="B226" s="26" t="s">
        <v>333</v>
      </c>
      <c r="C226" s="27" t="s">
        <v>108</v>
      </c>
    </row>
    <row r="227" spans="1:3" ht="15" customHeight="1">
      <c r="A227" t="s">
        <v>106</v>
      </c>
      <c r="B227" s="26" t="s">
        <v>334</v>
      </c>
      <c r="C227" s="27" t="s">
        <v>108</v>
      </c>
    </row>
    <row r="228" spans="1:3" ht="15" customHeight="1">
      <c r="A228" t="s">
        <v>109</v>
      </c>
      <c r="B228" s="26" t="s">
        <v>335</v>
      </c>
      <c r="C228" s="27" t="s">
        <v>108</v>
      </c>
    </row>
    <row r="229" spans="1:3" ht="15" customHeight="1">
      <c r="A229" t="s">
        <v>106</v>
      </c>
      <c r="B229" s="26" t="s">
        <v>336</v>
      </c>
      <c r="C229" s="27" t="s">
        <v>111</v>
      </c>
    </row>
    <row r="230" spans="1:3" ht="15" customHeight="1">
      <c r="A230" t="s">
        <v>109</v>
      </c>
      <c r="B230" s="26" t="s">
        <v>337</v>
      </c>
      <c r="C230" s="27" t="s">
        <v>108</v>
      </c>
    </row>
    <row r="231" spans="1:3" ht="15" customHeight="1">
      <c r="A231" t="s">
        <v>106</v>
      </c>
      <c r="B231" s="26" t="s">
        <v>338</v>
      </c>
      <c r="C231" s="27" t="s">
        <v>108</v>
      </c>
    </row>
    <row r="232" spans="1:3" ht="15" customHeight="1">
      <c r="A232" t="s">
        <v>109</v>
      </c>
      <c r="B232" s="26" t="s">
        <v>339</v>
      </c>
      <c r="C232" s="27" t="s">
        <v>108</v>
      </c>
    </row>
    <row r="233" spans="1:3" ht="15" customHeight="1">
      <c r="A233" t="s">
        <v>106</v>
      </c>
      <c r="B233" s="26" t="s">
        <v>340</v>
      </c>
      <c r="C233" s="27" t="s">
        <v>108</v>
      </c>
    </row>
    <row r="234" spans="1:3">
      <c r="A234" t="s">
        <v>106</v>
      </c>
      <c r="B234" s="26" t="s">
        <v>341</v>
      </c>
      <c r="C234" s="27" t="s">
        <v>108</v>
      </c>
    </row>
    <row r="235" spans="1:3">
      <c r="A235" t="s">
        <v>106</v>
      </c>
      <c r="B235" s="26" t="s">
        <v>342</v>
      </c>
      <c r="C235" s="27" t="s">
        <v>111</v>
      </c>
    </row>
    <row r="236" spans="1:3">
      <c r="A236" t="s">
        <v>109</v>
      </c>
      <c r="B236" s="26" t="s">
        <v>343</v>
      </c>
      <c r="C236" s="27" t="s">
        <v>108</v>
      </c>
    </row>
    <row r="237" spans="1:3">
      <c r="A237" t="s">
        <v>106</v>
      </c>
      <c r="B237" s="26" t="s">
        <v>344</v>
      </c>
      <c r="C237" s="27" t="s">
        <v>111</v>
      </c>
    </row>
    <row r="238" spans="1:3">
      <c r="A238" t="s">
        <v>109</v>
      </c>
      <c r="B238" s="26" t="s">
        <v>345</v>
      </c>
      <c r="C238" s="27" t="s">
        <v>108</v>
      </c>
    </row>
    <row r="239" spans="1:3">
      <c r="A239" t="s">
        <v>106</v>
      </c>
      <c r="B239" s="26" t="s">
        <v>346</v>
      </c>
      <c r="C239" s="27" t="s">
        <v>108</v>
      </c>
    </row>
    <row r="240" spans="1:3">
      <c r="A240" t="s">
        <v>109</v>
      </c>
      <c r="B240" s="26" t="s">
        <v>347</v>
      </c>
      <c r="C240" s="27" t="s">
        <v>108</v>
      </c>
    </row>
    <row r="241" spans="1:3">
      <c r="A241" t="s">
        <v>106</v>
      </c>
      <c r="B241" s="26" t="s">
        <v>348</v>
      </c>
      <c r="C241" s="27" t="s">
        <v>108</v>
      </c>
    </row>
    <row r="242" spans="1:3">
      <c r="A242" t="s">
        <v>106</v>
      </c>
      <c r="B242" s="26" t="s">
        <v>349</v>
      </c>
      <c r="C242" s="27" t="s">
        <v>108</v>
      </c>
    </row>
    <row r="243" spans="1:3">
      <c r="A243" t="s">
        <v>106</v>
      </c>
      <c r="B243" s="26" t="s">
        <v>350</v>
      </c>
      <c r="C243" s="27" t="s">
        <v>108</v>
      </c>
    </row>
    <row r="244" spans="1:3">
      <c r="A244" t="s">
        <v>106</v>
      </c>
      <c r="B244" s="26" t="s">
        <v>351</v>
      </c>
      <c r="C244" s="27" t="s">
        <v>108</v>
      </c>
    </row>
    <row r="245" spans="1:3">
      <c r="A245" t="s">
        <v>106</v>
      </c>
      <c r="B245" s="26" t="s">
        <v>352</v>
      </c>
      <c r="C245" s="27" t="s">
        <v>111</v>
      </c>
    </row>
    <row r="246" spans="1:3">
      <c r="A246" t="s">
        <v>106</v>
      </c>
      <c r="B246" s="26" t="s">
        <v>353</v>
      </c>
      <c r="C246" s="27" t="s">
        <v>108</v>
      </c>
    </row>
    <row r="247" spans="1:3">
      <c r="A247" t="s">
        <v>106</v>
      </c>
      <c r="B247" s="26" t="s">
        <v>354</v>
      </c>
      <c r="C247" s="27" t="s">
        <v>111</v>
      </c>
    </row>
    <row r="248" spans="1:3">
      <c r="A248" t="s">
        <v>109</v>
      </c>
      <c r="B248" s="26" t="s">
        <v>355</v>
      </c>
      <c r="C248" s="27" t="s">
        <v>111</v>
      </c>
    </row>
    <row r="249" spans="1:3">
      <c r="A249" t="s">
        <v>106</v>
      </c>
      <c r="B249" s="26" t="s">
        <v>356</v>
      </c>
      <c r="C249" s="27" t="s">
        <v>111</v>
      </c>
    </row>
    <row r="250" spans="1:3">
      <c r="A250" t="s">
        <v>106</v>
      </c>
      <c r="B250" s="26" t="s">
        <v>357</v>
      </c>
      <c r="C250" s="27" t="s">
        <v>108</v>
      </c>
    </row>
    <row r="251" spans="1:3">
      <c r="A251" t="s">
        <v>109</v>
      </c>
      <c r="B251" s="26" t="s">
        <v>358</v>
      </c>
      <c r="C251" s="27" t="s">
        <v>108</v>
      </c>
    </row>
    <row r="252" spans="1:3">
      <c r="A252" t="s">
        <v>109</v>
      </c>
      <c r="B252" s="26" t="s">
        <v>359</v>
      </c>
      <c r="C252" s="27" t="s">
        <v>108</v>
      </c>
    </row>
    <row r="253" spans="1:3">
      <c r="A253" t="s">
        <v>106</v>
      </c>
      <c r="B253" s="26" t="s">
        <v>360</v>
      </c>
      <c r="C253" s="27" t="s">
        <v>108</v>
      </c>
    </row>
    <row r="254" spans="1:3" ht="26.25">
      <c r="A254" t="s">
        <v>109</v>
      </c>
      <c r="B254" s="26" t="s">
        <v>361</v>
      </c>
      <c r="C254" s="27" t="s">
        <v>108</v>
      </c>
    </row>
    <row r="255" spans="1:3">
      <c r="A255" t="s">
        <v>106</v>
      </c>
      <c r="B255" s="26" t="s">
        <v>362</v>
      </c>
      <c r="C255" s="27" t="s">
        <v>108</v>
      </c>
    </row>
    <row r="256" spans="1:3">
      <c r="A256" t="s">
        <v>106</v>
      </c>
      <c r="B256" s="26" t="s">
        <v>363</v>
      </c>
      <c r="C256" s="27" t="s">
        <v>108</v>
      </c>
    </row>
    <row r="257" spans="1:3">
      <c r="A257" t="s">
        <v>109</v>
      </c>
      <c r="B257" s="26" t="s">
        <v>364</v>
      </c>
      <c r="C257" s="27" t="s">
        <v>111</v>
      </c>
    </row>
    <row r="258" spans="1:3">
      <c r="A258" t="s">
        <v>106</v>
      </c>
      <c r="B258" s="26" t="s">
        <v>365</v>
      </c>
      <c r="C258" s="27" t="s">
        <v>108</v>
      </c>
    </row>
    <row r="259" spans="1:3">
      <c r="A259" t="s">
        <v>106</v>
      </c>
      <c r="B259" s="26" t="s">
        <v>366</v>
      </c>
      <c r="C259" s="27" t="s">
        <v>111</v>
      </c>
    </row>
    <row r="260" spans="1:3">
      <c r="A260" t="s">
        <v>106</v>
      </c>
      <c r="B260" s="26" t="s">
        <v>367</v>
      </c>
      <c r="C260" s="27" t="s">
        <v>111</v>
      </c>
    </row>
    <row r="261" spans="1:3">
      <c r="A261" t="s">
        <v>106</v>
      </c>
      <c r="B261" s="26" t="s">
        <v>368</v>
      </c>
      <c r="C261" s="27" t="s">
        <v>111</v>
      </c>
    </row>
    <row r="262" spans="1:3">
      <c r="A262" t="s">
        <v>109</v>
      </c>
      <c r="B262" s="26" t="s">
        <v>369</v>
      </c>
      <c r="C262" s="27" t="s">
        <v>108</v>
      </c>
    </row>
    <row r="263" spans="1:3" ht="15" customHeight="1">
      <c r="A263" t="s">
        <v>106</v>
      </c>
      <c r="B263" s="26" t="s">
        <v>370</v>
      </c>
      <c r="C263" s="27" t="s">
        <v>111</v>
      </c>
    </row>
    <row r="264" spans="1:3" ht="15" customHeight="1">
      <c r="A264" t="s">
        <v>106</v>
      </c>
      <c r="B264" s="26" t="s">
        <v>371</v>
      </c>
      <c r="C264" s="27" t="s">
        <v>111</v>
      </c>
    </row>
    <row r="265" spans="1:3" ht="15" customHeight="1">
      <c r="A265" t="s">
        <v>106</v>
      </c>
      <c r="B265" s="26" t="s">
        <v>372</v>
      </c>
      <c r="C265" s="27" t="s">
        <v>111</v>
      </c>
    </row>
    <row r="266" spans="1:3">
      <c r="A266" t="s">
        <v>106</v>
      </c>
      <c r="B266" s="26" t="s">
        <v>373</v>
      </c>
      <c r="C266" s="27" t="s">
        <v>111</v>
      </c>
    </row>
    <row r="267" spans="1:3">
      <c r="A267" t="s">
        <v>106</v>
      </c>
      <c r="B267" s="26" t="s">
        <v>374</v>
      </c>
      <c r="C267" s="27" t="s">
        <v>111</v>
      </c>
    </row>
    <row r="268" spans="1:3">
      <c r="A268" t="s">
        <v>106</v>
      </c>
      <c r="B268" s="26" t="s">
        <v>375</v>
      </c>
      <c r="C268" s="27" t="s">
        <v>111</v>
      </c>
    </row>
    <row r="269" spans="1:3">
      <c r="A269" t="s">
        <v>109</v>
      </c>
      <c r="B269" s="26" t="s">
        <v>376</v>
      </c>
      <c r="C269" s="27" t="s">
        <v>108</v>
      </c>
    </row>
    <row r="270" spans="1:3">
      <c r="A270" t="s">
        <v>106</v>
      </c>
      <c r="B270" s="26" t="s">
        <v>377</v>
      </c>
      <c r="C270" s="27" t="s">
        <v>108</v>
      </c>
    </row>
    <row r="271" spans="1:3">
      <c r="A271" t="s">
        <v>106</v>
      </c>
      <c r="B271" s="26" t="s">
        <v>378</v>
      </c>
      <c r="C271" s="27" t="s">
        <v>111</v>
      </c>
    </row>
    <row r="272" spans="1:3">
      <c r="A272" t="s">
        <v>106</v>
      </c>
      <c r="B272" s="26" t="s">
        <v>379</v>
      </c>
      <c r="C272" s="27" t="s">
        <v>111</v>
      </c>
    </row>
    <row r="273" spans="1:3">
      <c r="A273" t="s">
        <v>106</v>
      </c>
      <c r="B273" s="26" t="s">
        <v>380</v>
      </c>
      <c r="C273" s="27" t="s">
        <v>111</v>
      </c>
    </row>
    <row r="274" spans="1:3">
      <c r="A274" t="s">
        <v>106</v>
      </c>
      <c r="B274" s="26" t="s">
        <v>381</v>
      </c>
      <c r="C274" s="27" t="s">
        <v>111</v>
      </c>
    </row>
    <row r="275" spans="1:3">
      <c r="A275" t="s">
        <v>109</v>
      </c>
      <c r="B275" s="28" t="s">
        <v>382</v>
      </c>
      <c r="C275" s="27" t="s">
        <v>108</v>
      </c>
    </row>
    <row r="276" spans="1:3">
      <c r="A276" t="s">
        <v>106</v>
      </c>
      <c r="B276" s="26" t="s">
        <v>383</v>
      </c>
      <c r="C276" s="27" t="s">
        <v>111</v>
      </c>
    </row>
    <row r="277" spans="1:3">
      <c r="A277" t="s">
        <v>106</v>
      </c>
      <c r="B277" s="26" t="s">
        <v>89</v>
      </c>
      <c r="C277" s="27" t="s">
        <v>111</v>
      </c>
    </row>
    <row r="278" spans="1:3">
      <c r="A278" t="s">
        <v>106</v>
      </c>
      <c r="B278" s="26" t="s">
        <v>384</v>
      </c>
      <c r="C278" s="27" t="s">
        <v>111</v>
      </c>
    </row>
    <row r="279" spans="1:3">
      <c r="A279" t="s">
        <v>109</v>
      </c>
      <c r="B279" s="26" t="s">
        <v>385</v>
      </c>
      <c r="C279" s="27" t="s">
        <v>111</v>
      </c>
    </row>
    <row r="280" spans="1:3">
      <c r="A280" t="s">
        <v>109</v>
      </c>
      <c r="B280" s="26" t="s">
        <v>386</v>
      </c>
      <c r="C280" s="27" t="s">
        <v>111</v>
      </c>
    </row>
    <row r="281" spans="1:3">
      <c r="A281" t="s">
        <v>106</v>
      </c>
      <c r="B281" s="26" t="s">
        <v>387</v>
      </c>
      <c r="C281" s="27" t="s">
        <v>108</v>
      </c>
    </row>
    <row r="282" spans="1:3">
      <c r="A282" t="s">
        <v>109</v>
      </c>
      <c r="B282" s="26" t="s">
        <v>388</v>
      </c>
      <c r="C282" s="27" t="s">
        <v>111</v>
      </c>
    </row>
    <row r="283" spans="1:3">
      <c r="A283" t="s">
        <v>109</v>
      </c>
      <c r="B283" s="26" t="s">
        <v>389</v>
      </c>
      <c r="C283" s="27" t="s">
        <v>108</v>
      </c>
    </row>
    <row r="284" spans="1:3">
      <c r="A284" t="s">
        <v>109</v>
      </c>
      <c r="B284" s="26" t="s">
        <v>390</v>
      </c>
      <c r="C284" s="27" t="s">
        <v>108</v>
      </c>
    </row>
    <row r="285" spans="1:3">
      <c r="A285" t="s">
        <v>109</v>
      </c>
      <c r="B285" s="26" t="s">
        <v>391</v>
      </c>
      <c r="C285" s="27" t="s">
        <v>108</v>
      </c>
    </row>
    <row r="286" spans="1:3">
      <c r="A286" t="s">
        <v>109</v>
      </c>
      <c r="B286" s="26" t="s">
        <v>392</v>
      </c>
      <c r="C286" s="27" t="s">
        <v>108</v>
      </c>
    </row>
    <row r="287" spans="1:3">
      <c r="A287" t="s">
        <v>106</v>
      </c>
      <c r="B287" s="26" t="s">
        <v>393</v>
      </c>
      <c r="C287" s="27" t="s">
        <v>111</v>
      </c>
    </row>
    <row r="288" spans="1:3">
      <c r="A288" t="s">
        <v>109</v>
      </c>
      <c r="B288" s="28" t="s">
        <v>394</v>
      </c>
      <c r="C288" s="27" t="s">
        <v>111</v>
      </c>
    </row>
    <row r="289" spans="1:3">
      <c r="A289" t="s">
        <v>109</v>
      </c>
      <c r="B289" s="26" t="s">
        <v>395</v>
      </c>
      <c r="C289" s="27" t="s">
        <v>111</v>
      </c>
    </row>
    <row r="290" spans="1:3">
      <c r="A290" t="s">
        <v>109</v>
      </c>
      <c r="B290" s="28" t="s">
        <v>396</v>
      </c>
      <c r="C290" s="27" t="s">
        <v>111</v>
      </c>
    </row>
    <row r="291" spans="1:3">
      <c r="A291" t="s">
        <v>106</v>
      </c>
      <c r="B291" s="26" t="s">
        <v>397</v>
      </c>
      <c r="C291" s="27" t="s">
        <v>111</v>
      </c>
    </row>
    <row r="292" spans="1:3">
      <c r="A292" t="s">
        <v>106</v>
      </c>
      <c r="B292" s="26" t="s">
        <v>398</v>
      </c>
      <c r="C292" s="27" t="s">
        <v>111</v>
      </c>
    </row>
    <row r="293" spans="1:3">
      <c r="A293" t="s">
        <v>109</v>
      </c>
      <c r="B293" s="26" t="s">
        <v>399</v>
      </c>
      <c r="C293" s="27" t="s">
        <v>108</v>
      </c>
    </row>
    <row r="294" spans="1:3">
      <c r="A294" t="s">
        <v>106</v>
      </c>
      <c r="B294" s="26" t="s">
        <v>400</v>
      </c>
      <c r="C294" s="27" t="s">
        <v>108</v>
      </c>
    </row>
    <row r="295" spans="1:3">
      <c r="A295" t="s">
        <v>106</v>
      </c>
      <c r="B295" s="26" t="s">
        <v>401</v>
      </c>
      <c r="C295" s="27" t="s">
        <v>108</v>
      </c>
    </row>
    <row r="296" spans="1:3">
      <c r="A296" t="s">
        <v>109</v>
      </c>
      <c r="B296" s="26" t="s">
        <v>402</v>
      </c>
      <c r="C296" s="27" t="s">
        <v>111</v>
      </c>
    </row>
    <row r="297" spans="1:3">
      <c r="A297" t="s">
        <v>109</v>
      </c>
      <c r="B297" s="26" t="s">
        <v>403</v>
      </c>
      <c r="C297" s="27" t="s">
        <v>108</v>
      </c>
    </row>
    <row r="298" spans="1:3">
      <c r="A298" t="s">
        <v>109</v>
      </c>
      <c r="B298" s="26" t="s">
        <v>404</v>
      </c>
      <c r="C298" s="27" t="s">
        <v>111</v>
      </c>
    </row>
    <row r="299" spans="1:3">
      <c r="A299" t="s">
        <v>109</v>
      </c>
      <c r="B299" s="26" t="s">
        <v>405</v>
      </c>
      <c r="C299" s="27" t="s">
        <v>111</v>
      </c>
    </row>
    <row r="300" spans="1:3" ht="15" customHeight="1">
      <c r="A300" t="s">
        <v>106</v>
      </c>
      <c r="B300" s="26" t="s">
        <v>406</v>
      </c>
      <c r="C300" s="27" t="s">
        <v>111</v>
      </c>
    </row>
    <row r="301" spans="1:3" ht="15" customHeight="1">
      <c r="A301" t="s">
        <v>106</v>
      </c>
      <c r="B301" s="26" t="s">
        <v>407</v>
      </c>
      <c r="C301" s="27" t="s">
        <v>108</v>
      </c>
    </row>
    <row r="302" spans="1:3">
      <c r="A302" t="s">
        <v>106</v>
      </c>
      <c r="B302" s="26" t="s">
        <v>408</v>
      </c>
      <c r="C302" s="27" t="s">
        <v>108</v>
      </c>
    </row>
    <row r="303" spans="1:3">
      <c r="A303" t="s">
        <v>106</v>
      </c>
      <c r="B303" s="26" t="s">
        <v>409</v>
      </c>
      <c r="C303" s="27" t="s">
        <v>111</v>
      </c>
    </row>
    <row r="304" spans="1:3">
      <c r="A304" t="s">
        <v>106</v>
      </c>
      <c r="B304" s="26" t="s">
        <v>410</v>
      </c>
      <c r="C304" s="27" t="s">
        <v>108</v>
      </c>
    </row>
    <row r="305" spans="1:3">
      <c r="A305" t="s">
        <v>106</v>
      </c>
      <c r="B305" s="26" t="s">
        <v>411</v>
      </c>
      <c r="C305" s="27" t="s">
        <v>108</v>
      </c>
    </row>
    <row r="306" spans="1:3">
      <c r="A306" t="s">
        <v>109</v>
      </c>
      <c r="B306" s="26" t="s">
        <v>412</v>
      </c>
      <c r="C306" s="27" t="s">
        <v>108</v>
      </c>
    </row>
    <row r="307" spans="1:3">
      <c r="A307" t="s">
        <v>109</v>
      </c>
      <c r="B307" s="26" t="s">
        <v>413</v>
      </c>
      <c r="C307" s="27" t="s">
        <v>111</v>
      </c>
    </row>
    <row r="308" spans="1:3">
      <c r="A308" t="s">
        <v>109</v>
      </c>
      <c r="B308" s="26" t="s">
        <v>414</v>
      </c>
      <c r="C308" s="27" t="s">
        <v>111</v>
      </c>
    </row>
    <row r="309" spans="1:3">
      <c r="A309" t="s">
        <v>109</v>
      </c>
      <c r="B309" s="26" t="s">
        <v>415</v>
      </c>
      <c r="C309" s="27" t="s">
        <v>108</v>
      </c>
    </row>
    <row r="310" spans="1:3">
      <c r="A310" t="s">
        <v>109</v>
      </c>
      <c r="B310" s="26" t="s">
        <v>416</v>
      </c>
      <c r="C310" s="27" t="s">
        <v>417</v>
      </c>
    </row>
    <row r="311" spans="1:3">
      <c r="A311" t="s">
        <v>106</v>
      </c>
      <c r="B311" s="26" t="s">
        <v>418</v>
      </c>
      <c r="C311" s="27" t="s">
        <v>108</v>
      </c>
    </row>
    <row r="312" spans="1:3">
      <c r="A312" t="s">
        <v>109</v>
      </c>
      <c r="B312" s="26" t="s">
        <v>419</v>
      </c>
      <c r="C312" s="27" t="s">
        <v>108</v>
      </c>
    </row>
    <row r="313" spans="1:3">
      <c r="A313" t="s">
        <v>106</v>
      </c>
      <c r="B313" s="26" t="s">
        <v>420</v>
      </c>
      <c r="C313" s="27" t="s">
        <v>108</v>
      </c>
    </row>
    <row r="314" spans="1:3">
      <c r="A314" t="s">
        <v>106</v>
      </c>
      <c r="B314" s="26" t="s">
        <v>421</v>
      </c>
      <c r="C314" s="27" t="s">
        <v>108</v>
      </c>
    </row>
    <row r="315" spans="1:3">
      <c r="A315" t="s">
        <v>109</v>
      </c>
      <c r="B315" s="26" t="s">
        <v>422</v>
      </c>
      <c r="C315" s="27" t="s">
        <v>111</v>
      </c>
    </row>
    <row r="316" spans="1:3">
      <c r="A316" t="s">
        <v>106</v>
      </c>
      <c r="B316" s="26" t="s">
        <v>423</v>
      </c>
      <c r="C316" s="27" t="s">
        <v>111</v>
      </c>
    </row>
    <row r="317" spans="1:3">
      <c r="A317" t="s">
        <v>106</v>
      </c>
      <c r="B317" s="26" t="s">
        <v>424</v>
      </c>
      <c r="C317" s="27" t="s">
        <v>111</v>
      </c>
    </row>
    <row r="318" spans="1:3" ht="15" customHeight="1">
      <c r="A318" t="s">
        <v>106</v>
      </c>
      <c r="B318" s="26" t="s">
        <v>425</v>
      </c>
      <c r="C318" s="27" t="s">
        <v>111</v>
      </c>
    </row>
    <row r="319" spans="1:3" ht="15" customHeight="1">
      <c r="A319" t="s">
        <v>106</v>
      </c>
      <c r="B319" s="26" t="s">
        <v>426</v>
      </c>
      <c r="C319" s="27" t="s">
        <v>111</v>
      </c>
    </row>
    <row r="320" spans="1:3" ht="15" customHeight="1">
      <c r="A320" t="s">
        <v>109</v>
      </c>
      <c r="B320" s="26" t="s">
        <v>427</v>
      </c>
      <c r="C320" s="27" t="s">
        <v>108</v>
      </c>
    </row>
    <row r="321" spans="1:3" ht="15" customHeight="1">
      <c r="A321" t="s">
        <v>106</v>
      </c>
      <c r="B321" s="26" t="s">
        <v>428</v>
      </c>
      <c r="C321" s="27" t="s">
        <v>108</v>
      </c>
    </row>
    <row r="322" spans="1:3" ht="15" customHeight="1">
      <c r="A322" t="s">
        <v>106</v>
      </c>
      <c r="B322" s="26" t="s">
        <v>429</v>
      </c>
      <c r="C322" s="27" t="s">
        <v>108</v>
      </c>
    </row>
    <row r="323" spans="1:3" ht="15" customHeight="1">
      <c r="A323" t="s">
        <v>109</v>
      </c>
      <c r="B323" s="26" t="s">
        <v>430</v>
      </c>
      <c r="C323" s="27" t="s">
        <v>108</v>
      </c>
    </row>
    <row r="324" spans="1:3" ht="15" customHeight="1">
      <c r="A324" t="s">
        <v>109</v>
      </c>
      <c r="B324" s="26" t="s">
        <v>431</v>
      </c>
      <c r="C324" s="27" t="s">
        <v>108</v>
      </c>
    </row>
    <row r="325" spans="1:3" ht="15" customHeight="1">
      <c r="A325" t="s">
        <v>106</v>
      </c>
      <c r="B325" s="26" t="s">
        <v>432</v>
      </c>
      <c r="C325" s="27" t="s">
        <v>108</v>
      </c>
    </row>
    <row r="326" spans="1:3" ht="15" customHeight="1">
      <c r="A326" t="s">
        <v>109</v>
      </c>
      <c r="B326" s="26" t="s">
        <v>433</v>
      </c>
      <c r="C326" s="27" t="s">
        <v>108</v>
      </c>
    </row>
    <row r="327" spans="1:3">
      <c r="A327" t="s">
        <v>106</v>
      </c>
      <c r="B327" s="26" t="s">
        <v>434</v>
      </c>
      <c r="C327" s="27" t="s">
        <v>108</v>
      </c>
    </row>
    <row r="328" spans="1:3">
      <c r="A328" t="s">
        <v>109</v>
      </c>
      <c r="B328" s="26" t="s">
        <v>435</v>
      </c>
      <c r="C328" s="27" t="s">
        <v>111</v>
      </c>
    </row>
    <row r="329" spans="1:3">
      <c r="A329" t="s">
        <v>109</v>
      </c>
      <c r="B329" s="26" t="s">
        <v>436</v>
      </c>
      <c r="C329" s="27" t="s">
        <v>111</v>
      </c>
    </row>
    <row r="330" spans="1:3">
      <c r="A330" t="s">
        <v>109</v>
      </c>
      <c r="B330" s="26" t="s">
        <v>437</v>
      </c>
      <c r="C330" s="27" t="s">
        <v>108</v>
      </c>
    </row>
    <row r="331" spans="1:3">
      <c r="A331" t="s">
        <v>106</v>
      </c>
      <c r="B331" s="26" t="s">
        <v>438</v>
      </c>
      <c r="C331" s="27" t="s">
        <v>108</v>
      </c>
    </row>
    <row r="332" spans="1:3">
      <c r="A332" t="s">
        <v>106</v>
      </c>
      <c r="B332" s="26" t="s">
        <v>439</v>
      </c>
      <c r="C332" s="27" t="s">
        <v>108</v>
      </c>
    </row>
    <row r="333" spans="1:3">
      <c r="A333" t="s">
        <v>106</v>
      </c>
      <c r="B333" s="26" t="s">
        <v>440</v>
      </c>
      <c r="C333" s="27" t="s">
        <v>108</v>
      </c>
    </row>
    <row r="334" spans="1:3">
      <c r="A334" t="s">
        <v>106</v>
      </c>
      <c r="B334" s="26" t="s">
        <v>441</v>
      </c>
      <c r="C334" s="27" t="s">
        <v>108</v>
      </c>
    </row>
    <row r="335" spans="1:3">
      <c r="A335" t="s">
        <v>106</v>
      </c>
      <c r="B335" s="26" t="s">
        <v>442</v>
      </c>
      <c r="C335" s="27" t="s">
        <v>108</v>
      </c>
    </row>
    <row r="336" spans="1:3">
      <c r="A336" t="s">
        <v>106</v>
      </c>
      <c r="B336" s="26" t="s">
        <v>443</v>
      </c>
      <c r="C336" s="27" t="s">
        <v>108</v>
      </c>
    </row>
    <row r="337" spans="1:3">
      <c r="A337" t="s">
        <v>106</v>
      </c>
      <c r="B337" s="26" t="s">
        <v>444</v>
      </c>
      <c r="C337" s="27" t="s">
        <v>108</v>
      </c>
    </row>
    <row r="338" spans="1:3">
      <c r="A338" t="s">
        <v>106</v>
      </c>
      <c r="B338" s="26" t="s">
        <v>445</v>
      </c>
      <c r="C338" s="27" t="s">
        <v>108</v>
      </c>
    </row>
    <row r="339" spans="1:3" ht="26.25">
      <c r="A339" t="s">
        <v>106</v>
      </c>
      <c r="B339" s="26" t="s">
        <v>446</v>
      </c>
      <c r="C339" s="27" t="s">
        <v>111</v>
      </c>
    </row>
    <row r="340" spans="1:3">
      <c r="A340" t="s">
        <v>109</v>
      </c>
      <c r="B340" s="26" t="s">
        <v>447</v>
      </c>
      <c r="C340" s="27" t="s">
        <v>108</v>
      </c>
    </row>
    <row r="341" spans="1:3">
      <c r="A341" t="s">
        <v>109</v>
      </c>
      <c r="B341" s="26" t="s">
        <v>448</v>
      </c>
      <c r="C341" s="27" t="s">
        <v>108</v>
      </c>
    </row>
    <row r="342" spans="1:3">
      <c r="A342" t="s">
        <v>106</v>
      </c>
      <c r="B342" s="26" t="s">
        <v>449</v>
      </c>
      <c r="C342" s="27" t="s">
        <v>111</v>
      </c>
    </row>
    <row r="343" spans="1:3">
      <c r="A343" t="s">
        <v>106</v>
      </c>
      <c r="B343" s="26" t="s">
        <v>450</v>
      </c>
      <c r="C343" s="27" t="s">
        <v>108</v>
      </c>
    </row>
    <row r="344" spans="1:3" ht="26.25">
      <c r="A344" t="s">
        <v>109</v>
      </c>
      <c r="B344" s="26" t="s">
        <v>451</v>
      </c>
      <c r="C344" s="27" t="s">
        <v>108</v>
      </c>
    </row>
    <row r="345" spans="1:3" ht="26.25">
      <c r="A345" t="s">
        <v>109</v>
      </c>
      <c r="B345" s="26" t="s">
        <v>452</v>
      </c>
      <c r="C345" s="27" t="s">
        <v>108</v>
      </c>
    </row>
    <row r="346" spans="1:3">
      <c r="A346" t="s">
        <v>106</v>
      </c>
      <c r="B346" s="26" t="s">
        <v>453</v>
      </c>
      <c r="C346" s="27" t="s">
        <v>108</v>
      </c>
    </row>
    <row r="347" spans="1:3" ht="15" customHeight="1">
      <c r="A347" t="s">
        <v>106</v>
      </c>
      <c r="B347" s="26" t="s">
        <v>454</v>
      </c>
      <c r="C347" s="27" t="s">
        <v>108</v>
      </c>
    </row>
    <row r="348" spans="1:3">
      <c r="A348" t="s">
        <v>106</v>
      </c>
      <c r="B348" s="26" t="s">
        <v>455</v>
      </c>
      <c r="C348" s="27" t="s">
        <v>108</v>
      </c>
    </row>
    <row r="349" spans="1:3">
      <c r="A349" t="s">
        <v>109</v>
      </c>
      <c r="B349" s="26" t="s">
        <v>456</v>
      </c>
      <c r="C349" s="27" t="s">
        <v>111</v>
      </c>
    </row>
    <row r="350" spans="1:3">
      <c r="A350" t="s">
        <v>106</v>
      </c>
      <c r="B350" s="26" t="s">
        <v>457</v>
      </c>
      <c r="C350" s="27" t="s">
        <v>108</v>
      </c>
    </row>
    <row r="351" spans="1:3">
      <c r="A351" t="s">
        <v>106</v>
      </c>
      <c r="B351" s="26" t="s">
        <v>458</v>
      </c>
      <c r="C351" s="27" t="s">
        <v>108</v>
      </c>
    </row>
    <row r="352" spans="1:3">
      <c r="A352" t="s">
        <v>106</v>
      </c>
      <c r="B352" s="26" t="s">
        <v>459</v>
      </c>
      <c r="C352" s="27" t="s">
        <v>108</v>
      </c>
    </row>
    <row r="353" spans="1:3">
      <c r="A353" t="s">
        <v>109</v>
      </c>
      <c r="B353" s="26" t="s">
        <v>460</v>
      </c>
      <c r="C353" s="27" t="s">
        <v>108</v>
      </c>
    </row>
    <row r="354" spans="1:3">
      <c r="A354" t="s">
        <v>106</v>
      </c>
      <c r="B354" s="26" t="s">
        <v>461</v>
      </c>
      <c r="C354" s="27" t="s">
        <v>108</v>
      </c>
    </row>
    <row r="355" spans="1:3">
      <c r="A355" t="s">
        <v>109</v>
      </c>
      <c r="B355" s="29" t="s">
        <v>462</v>
      </c>
      <c r="C355" s="27" t="s">
        <v>108</v>
      </c>
    </row>
    <row r="356" spans="1:3">
      <c r="A356" t="s">
        <v>106</v>
      </c>
      <c r="B356" s="26" t="s">
        <v>463</v>
      </c>
      <c r="C356" s="27" t="s">
        <v>111</v>
      </c>
    </row>
    <row r="357" spans="1:3" ht="26.25">
      <c r="A357" t="s">
        <v>106</v>
      </c>
      <c r="B357" s="26" t="s">
        <v>464</v>
      </c>
      <c r="C357" s="27" t="s">
        <v>111</v>
      </c>
    </row>
    <row r="358" spans="1:3">
      <c r="A358" t="s">
        <v>106</v>
      </c>
      <c r="B358" s="26" t="s">
        <v>465</v>
      </c>
      <c r="C358" s="27" t="s">
        <v>108</v>
      </c>
    </row>
    <row r="359" spans="1:3">
      <c r="A359" t="s">
        <v>106</v>
      </c>
      <c r="B359" s="26" t="s">
        <v>466</v>
      </c>
      <c r="C359" s="27" t="s">
        <v>111</v>
      </c>
    </row>
    <row r="360" spans="1:3">
      <c r="A360" t="s">
        <v>109</v>
      </c>
      <c r="B360" s="26" t="s">
        <v>467</v>
      </c>
      <c r="C360" s="27" t="s">
        <v>111</v>
      </c>
    </row>
    <row r="361" spans="1:3">
      <c r="A361" t="s">
        <v>106</v>
      </c>
      <c r="B361" s="26" t="s">
        <v>468</v>
      </c>
      <c r="C361" s="27" t="s">
        <v>111</v>
      </c>
    </row>
    <row r="362" spans="1:3">
      <c r="A362" t="s">
        <v>106</v>
      </c>
      <c r="B362" s="26" t="s">
        <v>469</v>
      </c>
      <c r="C362" s="27" t="s">
        <v>111</v>
      </c>
    </row>
    <row r="363" spans="1:3">
      <c r="A363" t="s">
        <v>106</v>
      </c>
      <c r="B363" s="26" t="s">
        <v>470</v>
      </c>
      <c r="C363" s="27" t="s">
        <v>111</v>
      </c>
    </row>
    <row r="364" spans="1:3" ht="26.25">
      <c r="A364" t="s">
        <v>106</v>
      </c>
      <c r="B364" s="26" t="s">
        <v>471</v>
      </c>
      <c r="C364" s="27" t="s">
        <v>111</v>
      </c>
    </row>
    <row r="365" spans="1:3">
      <c r="A365" t="s">
        <v>106</v>
      </c>
      <c r="B365" s="26" t="s">
        <v>472</v>
      </c>
      <c r="C365" s="27" t="s">
        <v>111</v>
      </c>
    </row>
    <row r="366" spans="1:3">
      <c r="A366" t="s">
        <v>106</v>
      </c>
      <c r="B366" s="26" t="s">
        <v>473</v>
      </c>
      <c r="C366" s="27" t="s">
        <v>111</v>
      </c>
    </row>
    <row r="367" spans="1:3">
      <c r="A367" t="s">
        <v>109</v>
      </c>
      <c r="B367" s="26" t="s">
        <v>474</v>
      </c>
      <c r="C367" s="27" t="s">
        <v>111</v>
      </c>
    </row>
    <row r="368" spans="1:3">
      <c r="A368" t="s">
        <v>106</v>
      </c>
      <c r="B368" s="26" t="s">
        <v>475</v>
      </c>
      <c r="C368" s="27" t="s">
        <v>111</v>
      </c>
    </row>
    <row r="369" spans="1:3" ht="26.25">
      <c r="A369" t="s">
        <v>106</v>
      </c>
      <c r="B369" s="26" t="s">
        <v>476</v>
      </c>
      <c r="C369" s="27" t="s">
        <v>111</v>
      </c>
    </row>
    <row r="370" spans="1:3" ht="26.25">
      <c r="A370" t="s">
        <v>106</v>
      </c>
      <c r="B370" s="26" t="s">
        <v>477</v>
      </c>
      <c r="C370" s="27" t="s">
        <v>111</v>
      </c>
    </row>
    <row r="371" spans="1:3" ht="26.25">
      <c r="A371" t="s">
        <v>109</v>
      </c>
      <c r="B371" s="26" t="s">
        <v>478</v>
      </c>
      <c r="C371" s="27" t="s">
        <v>108</v>
      </c>
    </row>
    <row r="372" spans="1:3">
      <c r="A372" t="s">
        <v>106</v>
      </c>
      <c r="B372" s="26" t="s">
        <v>479</v>
      </c>
      <c r="C372" s="27" t="s">
        <v>111</v>
      </c>
    </row>
    <row r="373" spans="1:3" ht="25.5">
      <c r="A373" t="s">
        <v>109</v>
      </c>
      <c r="B373" s="28" t="s">
        <v>480</v>
      </c>
      <c r="C373" s="27" t="s">
        <v>111</v>
      </c>
    </row>
    <row r="374" spans="1:3">
      <c r="A374" t="s">
        <v>106</v>
      </c>
      <c r="B374" s="26" t="s">
        <v>481</v>
      </c>
      <c r="C374" s="27" t="s">
        <v>108</v>
      </c>
    </row>
    <row r="375" spans="1:3">
      <c r="A375" t="s">
        <v>106</v>
      </c>
      <c r="B375" s="26" t="s">
        <v>482</v>
      </c>
      <c r="C375" s="27" t="s">
        <v>108</v>
      </c>
    </row>
    <row r="376" spans="1:3">
      <c r="A376" t="s">
        <v>109</v>
      </c>
      <c r="B376" s="26" t="s">
        <v>483</v>
      </c>
      <c r="C376" s="27" t="s">
        <v>108</v>
      </c>
    </row>
    <row r="377" spans="1:3">
      <c r="A377" t="s">
        <v>109</v>
      </c>
      <c r="B377" s="26" t="s">
        <v>484</v>
      </c>
      <c r="C377" s="27" t="s">
        <v>108</v>
      </c>
    </row>
    <row r="378" spans="1:3">
      <c r="A378" t="s">
        <v>109</v>
      </c>
      <c r="B378" s="26" t="s">
        <v>485</v>
      </c>
      <c r="C378" s="27" t="s">
        <v>108</v>
      </c>
    </row>
    <row r="379" spans="1:3">
      <c r="A379" t="s">
        <v>109</v>
      </c>
      <c r="B379" s="26" t="s">
        <v>486</v>
      </c>
      <c r="C379" s="27" t="s">
        <v>108</v>
      </c>
    </row>
    <row r="380" spans="1:3">
      <c r="A380" t="s">
        <v>106</v>
      </c>
      <c r="B380" s="26" t="s">
        <v>487</v>
      </c>
      <c r="C380" s="27" t="s">
        <v>108</v>
      </c>
    </row>
    <row r="381" spans="1:3">
      <c r="A381" t="s">
        <v>109</v>
      </c>
      <c r="B381" s="26" t="s">
        <v>488</v>
      </c>
      <c r="C381" s="27" t="s">
        <v>108</v>
      </c>
    </row>
    <row r="382" spans="1:3">
      <c r="A382" t="s">
        <v>106</v>
      </c>
      <c r="B382" s="26" t="s">
        <v>489</v>
      </c>
      <c r="C382" s="27" t="s">
        <v>108</v>
      </c>
    </row>
    <row r="383" spans="1:3">
      <c r="A383" t="s">
        <v>106</v>
      </c>
      <c r="B383" s="26" t="s">
        <v>490</v>
      </c>
      <c r="C383" s="27" t="s">
        <v>108</v>
      </c>
    </row>
    <row r="384" spans="1:3">
      <c r="A384" t="s">
        <v>109</v>
      </c>
      <c r="B384" s="26" t="s">
        <v>491</v>
      </c>
      <c r="C384" s="27" t="s">
        <v>108</v>
      </c>
    </row>
    <row r="385" spans="1:3">
      <c r="A385" t="s">
        <v>106</v>
      </c>
      <c r="B385" s="26" t="s">
        <v>492</v>
      </c>
      <c r="C385" s="27" t="s">
        <v>108</v>
      </c>
    </row>
    <row r="386" spans="1:3">
      <c r="A386" t="s">
        <v>106</v>
      </c>
      <c r="B386" s="26" t="s">
        <v>493</v>
      </c>
      <c r="C386" s="27" t="s">
        <v>108</v>
      </c>
    </row>
    <row r="387" spans="1:3">
      <c r="A387" t="s">
        <v>106</v>
      </c>
      <c r="B387" s="26" t="s">
        <v>494</v>
      </c>
      <c r="C387" s="27" t="s">
        <v>108</v>
      </c>
    </row>
    <row r="388" spans="1:3">
      <c r="A388" t="s">
        <v>109</v>
      </c>
      <c r="B388" s="26" t="s">
        <v>495</v>
      </c>
      <c r="C388" s="27" t="s">
        <v>111</v>
      </c>
    </row>
    <row r="389" spans="1:3">
      <c r="A389" t="s">
        <v>109</v>
      </c>
      <c r="B389" s="26" t="s">
        <v>496</v>
      </c>
      <c r="C389" s="27" t="s">
        <v>111</v>
      </c>
    </row>
    <row r="390" spans="1:3">
      <c r="A390" t="s">
        <v>109</v>
      </c>
      <c r="B390" s="26" t="s">
        <v>497</v>
      </c>
      <c r="C390" s="27" t="s">
        <v>108</v>
      </c>
    </row>
    <row r="391" spans="1:3">
      <c r="A391" t="s">
        <v>109</v>
      </c>
      <c r="B391" s="26" t="s">
        <v>498</v>
      </c>
      <c r="C391" s="27" t="s">
        <v>108</v>
      </c>
    </row>
    <row r="392" spans="1:3">
      <c r="A392" t="s">
        <v>109</v>
      </c>
      <c r="B392" s="26" t="s">
        <v>499</v>
      </c>
      <c r="C392" s="27" t="s">
        <v>108</v>
      </c>
    </row>
    <row r="393" spans="1:3">
      <c r="A393" t="s">
        <v>109</v>
      </c>
      <c r="B393" s="26" t="s">
        <v>500</v>
      </c>
      <c r="C393" s="27" t="s">
        <v>108</v>
      </c>
    </row>
    <row r="394" spans="1:3">
      <c r="A394" t="s">
        <v>106</v>
      </c>
      <c r="B394" s="26" t="s">
        <v>501</v>
      </c>
      <c r="C394" s="27" t="s">
        <v>111</v>
      </c>
    </row>
    <row r="395" spans="1:3">
      <c r="A395" t="s">
        <v>106</v>
      </c>
      <c r="B395" s="26" t="s">
        <v>502</v>
      </c>
      <c r="C395" s="27" t="s">
        <v>111</v>
      </c>
    </row>
    <row r="396" spans="1:3">
      <c r="A396" t="s">
        <v>109</v>
      </c>
      <c r="B396" s="26" t="s">
        <v>503</v>
      </c>
      <c r="C396" s="27" t="s">
        <v>111</v>
      </c>
    </row>
    <row r="397" spans="1:3">
      <c r="A397" t="s">
        <v>109</v>
      </c>
      <c r="B397" s="26" t="s">
        <v>504</v>
      </c>
      <c r="C397" s="27" t="s">
        <v>111</v>
      </c>
    </row>
    <row r="398" spans="1:3">
      <c r="A398" t="s">
        <v>109</v>
      </c>
      <c r="B398" s="26" t="s">
        <v>505</v>
      </c>
      <c r="C398" s="27" t="s">
        <v>111</v>
      </c>
    </row>
    <row r="399" spans="1:3">
      <c r="A399" t="s">
        <v>106</v>
      </c>
      <c r="B399" s="26" t="s">
        <v>506</v>
      </c>
      <c r="C399" s="27" t="s">
        <v>108</v>
      </c>
    </row>
    <row r="400" spans="1:3">
      <c r="A400" t="s">
        <v>106</v>
      </c>
      <c r="B400" s="26" t="s">
        <v>507</v>
      </c>
      <c r="C400" s="27" t="s">
        <v>108</v>
      </c>
    </row>
    <row r="401" spans="1:3">
      <c r="A401" t="s">
        <v>109</v>
      </c>
      <c r="B401" s="26" t="s">
        <v>508</v>
      </c>
      <c r="C401" s="27" t="s">
        <v>111</v>
      </c>
    </row>
    <row r="402" spans="1:3">
      <c r="A402" t="s">
        <v>106</v>
      </c>
      <c r="B402" s="26" t="s">
        <v>509</v>
      </c>
      <c r="C402" s="27" t="s">
        <v>108</v>
      </c>
    </row>
    <row r="403" spans="1:3">
      <c r="A403" t="s">
        <v>106</v>
      </c>
      <c r="B403" s="26" t="s">
        <v>510</v>
      </c>
      <c r="C403" s="27" t="s">
        <v>108</v>
      </c>
    </row>
    <row r="404" spans="1:3">
      <c r="A404" t="s">
        <v>109</v>
      </c>
      <c r="B404" s="26" t="s">
        <v>511</v>
      </c>
      <c r="C404" s="27" t="s">
        <v>108</v>
      </c>
    </row>
    <row r="405" spans="1:3">
      <c r="A405" t="s">
        <v>106</v>
      </c>
      <c r="B405" s="26" t="s">
        <v>512</v>
      </c>
      <c r="C405" s="27" t="s">
        <v>108</v>
      </c>
    </row>
    <row r="406" spans="1:3">
      <c r="A406" t="s">
        <v>106</v>
      </c>
      <c r="B406" s="26" t="s">
        <v>513</v>
      </c>
      <c r="C406" s="27" t="s">
        <v>108</v>
      </c>
    </row>
    <row r="407" spans="1:3">
      <c r="A407" t="s">
        <v>109</v>
      </c>
      <c r="B407" s="26" t="s">
        <v>514</v>
      </c>
      <c r="C407" s="27" t="s">
        <v>108</v>
      </c>
    </row>
    <row r="408" spans="1:3">
      <c r="A408" t="s">
        <v>106</v>
      </c>
      <c r="B408" s="26" t="s">
        <v>515</v>
      </c>
      <c r="C408" s="27" t="s">
        <v>111</v>
      </c>
    </row>
    <row r="409" spans="1:3">
      <c r="A409" t="s">
        <v>106</v>
      </c>
      <c r="B409" s="26" t="s">
        <v>516</v>
      </c>
      <c r="C409" s="27" t="s">
        <v>108</v>
      </c>
    </row>
    <row r="410" spans="1:3">
      <c r="A410" t="s">
        <v>106</v>
      </c>
      <c r="B410" s="26" t="s">
        <v>517</v>
      </c>
      <c r="C410" s="27" t="s">
        <v>108</v>
      </c>
    </row>
    <row r="411" spans="1:3">
      <c r="A411" t="s">
        <v>106</v>
      </c>
      <c r="B411" s="26" t="s">
        <v>518</v>
      </c>
      <c r="C411" s="27" t="s">
        <v>108</v>
      </c>
    </row>
    <row r="412" spans="1:3">
      <c r="A412" t="s">
        <v>106</v>
      </c>
      <c r="B412" s="26" t="s">
        <v>519</v>
      </c>
      <c r="C412" s="27" t="s">
        <v>108</v>
      </c>
    </row>
    <row r="413" spans="1:3">
      <c r="A413" t="s">
        <v>106</v>
      </c>
      <c r="B413" s="26" t="s">
        <v>520</v>
      </c>
      <c r="C413" s="27" t="s">
        <v>108</v>
      </c>
    </row>
    <row r="414" spans="1:3">
      <c r="A414" t="s">
        <v>106</v>
      </c>
      <c r="B414" s="26" t="s">
        <v>521</v>
      </c>
      <c r="C414" s="27" t="s">
        <v>108</v>
      </c>
    </row>
    <row r="415" spans="1:3">
      <c r="A415" t="s">
        <v>109</v>
      </c>
      <c r="B415" s="26" t="s">
        <v>522</v>
      </c>
      <c r="C415" s="27" t="s">
        <v>108</v>
      </c>
    </row>
    <row r="416" spans="1:3">
      <c r="A416" t="s">
        <v>106</v>
      </c>
      <c r="B416" s="26" t="s">
        <v>523</v>
      </c>
      <c r="C416" s="27" t="s">
        <v>108</v>
      </c>
    </row>
    <row r="417" spans="1:3">
      <c r="A417" t="s">
        <v>106</v>
      </c>
      <c r="B417" s="26" t="s">
        <v>524</v>
      </c>
      <c r="C417" s="27" t="s">
        <v>108</v>
      </c>
    </row>
    <row r="418" spans="1:3">
      <c r="A418" t="s">
        <v>109</v>
      </c>
      <c r="B418" s="26" t="s">
        <v>525</v>
      </c>
      <c r="C418" s="27" t="s">
        <v>111</v>
      </c>
    </row>
    <row r="419" spans="1:3">
      <c r="A419" t="s">
        <v>109</v>
      </c>
      <c r="B419" s="26" t="s">
        <v>526</v>
      </c>
      <c r="C419" s="27" t="s">
        <v>108</v>
      </c>
    </row>
    <row r="420" spans="1:3">
      <c r="A420" t="s">
        <v>109</v>
      </c>
      <c r="B420" s="26" t="s">
        <v>527</v>
      </c>
      <c r="C420" s="27" t="s">
        <v>108</v>
      </c>
    </row>
    <row r="421" spans="1:3">
      <c r="A421" t="s">
        <v>109</v>
      </c>
      <c r="B421" s="26" t="s">
        <v>528</v>
      </c>
      <c r="C421" s="27" t="s">
        <v>108</v>
      </c>
    </row>
    <row r="422" spans="1:3">
      <c r="A422" t="s">
        <v>106</v>
      </c>
      <c r="B422" s="26" t="s">
        <v>529</v>
      </c>
      <c r="C422" s="27" t="s">
        <v>108</v>
      </c>
    </row>
    <row r="423" spans="1:3">
      <c r="A423" t="s">
        <v>106</v>
      </c>
      <c r="B423" s="26" t="s">
        <v>530</v>
      </c>
      <c r="C423" s="27" t="s">
        <v>108</v>
      </c>
    </row>
    <row r="424" spans="1:3">
      <c r="A424" t="s">
        <v>106</v>
      </c>
      <c r="B424" s="26" t="s">
        <v>531</v>
      </c>
      <c r="C424" s="27" t="s">
        <v>108</v>
      </c>
    </row>
    <row r="425" spans="1:3">
      <c r="A425" t="s">
        <v>106</v>
      </c>
      <c r="B425" s="26" t="s">
        <v>532</v>
      </c>
      <c r="C425" s="27" t="s">
        <v>108</v>
      </c>
    </row>
    <row r="426" spans="1:3">
      <c r="A426" t="s">
        <v>106</v>
      </c>
      <c r="B426" s="26" t="s">
        <v>533</v>
      </c>
      <c r="C426" s="27" t="s">
        <v>108</v>
      </c>
    </row>
    <row r="427" spans="1:3">
      <c r="A427" t="s">
        <v>109</v>
      </c>
      <c r="B427" s="26" t="s">
        <v>534</v>
      </c>
      <c r="C427" s="27" t="s">
        <v>108</v>
      </c>
    </row>
    <row r="428" spans="1:3">
      <c r="A428" t="s">
        <v>106</v>
      </c>
      <c r="B428" s="26" t="s">
        <v>535</v>
      </c>
      <c r="C428" s="27" t="s">
        <v>108</v>
      </c>
    </row>
    <row r="429" spans="1:3">
      <c r="A429" t="s">
        <v>106</v>
      </c>
      <c r="B429" s="26" t="s">
        <v>536</v>
      </c>
      <c r="C429" s="27" t="s">
        <v>108</v>
      </c>
    </row>
    <row r="430" spans="1:3">
      <c r="A430" t="s">
        <v>106</v>
      </c>
      <c r="B430" s="26" t="s">
        <v>537</v>
      </c>
      <c r="C430" s="27" t="s">
        <v>108</v>
      </c>
    </row>
    <row r="431" spans="1:3">
      <c r="A431" t="s">
        <v>106</v>
      </c>
      <c r="B431" s="26" t="s">
        <v>538</v>
      </c>
      <c r="C431" s="27" t="s">
        <v>108</v>
      </c>
    </row>
    <row r="432" spans="1:3">
      <c r="A432" t="s">
        <v>106</v>
      </c>
      <c r="B432" s="26" t="s">
        <v>539</v>
      </c>
      <c r="C432" s="27" t="s">
        <v>108</v>
      </c>
    </row>
    <row r="433" spans="1:3">
      <c r="A433" t="s">
        <v>109</v>
      </c>
      <c r="B433" s="26" t="s">
        <v>540</v>
      </c>
      <c r="C433" s="27" t="s">
        <v>108</v>
      </c>
    </row>
    <row r="434" spans="1:3">
      <c r="A434" t="s">
        <v>106</v>
      </c>
      <c r="B434" s="26" t="s">
        <v>541</v>
      </c>
      <c r="C434" s="27" t="s">
        <v>108</v>
      </c>
    </row>
    <row r="435" spans="1:3">
      <c r="A435" t="s">
        <v>106</v>
      </c>
      <c r="B435" s="26" t="s">
        <v>542</v>
      </c>
      <c r="C435" s="27" t="s">
        <v>108</v>
      </c>
    </row>
    <row r="436" spans="1:3">
      <c r="A436" t="s">
        <v>106</v>
      </c>
      <c r="B436" s="26" t="s">
        <v>543</v>
      </c>
      <c r="C436" s="27" t="s">
        <v>108</v>
      </c>
    </row>
    <row r="437" spans="1:3">
      <c r="A437" t="s">
        <v>106</v>
      </c>
      <c r="B437" s="26" t="s">
        <v>544</v>
      </c>
      <c r="C437" s="27" t="s">
        <v>108</v>
      </c>
    </row>
    <row r="438" spans="1:3">
      <c r="A438" t="s">
        <v>109</v>
      </c>
      <c r="B438" s="26" t="s">
        <v>545</v>
      </c>
      <c r="C438" s="27" t="s">
        <v>108</v>
      </c>
    </row>
    <row r="439" spans="1:3">
      <c r="A439" t="s">
        <v>106</v>
      </c>
      <c r="B439" s="26" t="s">
        <v>546</v>
      </c>
      <c r="C439" s="27" t="s">
        <v>111</v>
      </c>
    </row>
    <row r="440" spans="1:3">
      <c r="A440" t="s">
        <v>109</v>
      </c>
      <c r="B440" s="26" t="s">
        <v>547</v>
      </c>
      <c r="C440" s="27" t="s">
        <v>108</v>
      </c>
    </row>
    <row r="441" spans="1:3">
      <c r="A441" t="s">
        <v>109</v>
      </c>
      <c r="B441" s="26" t="s">
        <v>548</v>
      </c>
      <c r="C441" s="27" t="s">
        <v>108</v>
      </c>
    </row>
    <row r="442" spans="1:3">
      <c r="A442" t="s">
        <v>106</v>
      </c>
      <c r="B442" s="26" t="s">
        <v>549</v>
      </c>
      <c r="C442" s="27" t="s">
        <v>111</v>
      </c>
    </row>
  </sheetData>
  <sortState xmlns:xlrd2="http://schemas.microsoft.com/office/spreadsheetml/2017/richdata2" ref="A2:C441">
    <sortCondition ref="B2:B4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Sol Anger Suarez Luque</cp:lastModifiedBy>
  <cp:revision/>
  <dcterms:created xsi:type="dcterms:W3CDTF">2019-10-24T19:32:28Z</dcterms:created>
  <dcterms:modified xsi:type="dcterms:W3CDTF">2024-04-16T21:43:48Z</dcterms:modified>
  <cp:category/>
  <cp:contentStatus/>
</cp:coreProperties>
</file>