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antos\Desktop\DAVIDS MEMORIA\HOJA DE VIDA DEL VEHÍCULO\"/>
    </mc:Choice>
  </mc:AlternateContent>
  <xr:revisionPtr revIDLastSave="359" documentId="13_ncr:1_{5AC6C3F9-8664-4731-934D-1F6C5C654181}" xr6:coauthVersionLast="47" xr6:coauthVersionMax="47" xr10:uidLastSave="{3756D16B-318D-408A-BAC3-22BAAA77F58C}"/>
  <bookViews>
    <workbookView xWindow="-120" yWindow="-120" windowWidth="29040" windowHeight="15840" xr2:uid="{00000000-000D-0000-FFFF-FFFF00000000}"/>
  </bookViews>
  <sheets>
    <sheet name="GCW738" sheetId="2" r:id="rId1"/>
    <sheet name="Hoja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40" i="2" l="1"/>
  <c r="X39" i="2"/>
  <c r="P19" i="2"/>
  <c r="Q19" i="2"/>
  <c r="R19" i="2"/>
  <c r="T19" i="2"/>
  <c r="U19" i="2"/>
  <c r="V19" i="2"/>
  <c r="W19" i="2"/>
  <c r="P20" i="2"/>
  <c r="Q20" i="2"/>
  <c r="R20" i="2"/>
  <c r="T20" i="2"/>
  <c r="U20" i="2"/>
  <c r="V20" i="2"/>
  <c r="W20" i="2"/>
  <c r="P21" i="2"/>
  <c r="Q21" i="2"/>
  <c r="R21" i="2"/>
  <c r="T21" i="2"/>
  <c r="U21" i="2"/>
  <c r="V21" i="2"/>
  <c r="W21" i="2"/>
  <c r="P22" i="2"/>
  <c r="Q22" i="2"/>
  <c r="R22" i="2"/>
  <c r="T22" i="2"/>
  <c r="U22" i="2"/>
  <c r="V22" i="2"/>
  <c r="W22" i="2"/>
  <c r="P23" i="2"/>
  <c r="Q23" i="2"/>
  <c r="R23" i="2"/>
  <c r="T23" i="2"/>
  <c r="U23" i="2"/>
  <c r="V23" i="2"/>
  <c r="W23" i="2"/>
  <c r="P24" i="2"/>
  <c r="Q24" i="2"/>
  <c r="R24" i="2"/>
  <c r="T24" i="2"/>
  <c r="U24" i="2"/>
  <c r="V24" i="2"/>
  <c r="W24" i="2"/>
  <c r="T73" i="2"/>
  <c r="U73" i="2" s="1"/>
  <c r="V73" i="2" s="1"/>
  <c r="P73" i="2"/>
  <c r="Q73" i="2" s="1"/>
  <c r="T72" i="2"/>
  <c r="P72" i="2"/>
  <c r="Q72" i="2" s="1"/>
  <c r="T71" i="2"/>
  <c r="P71" i="2"/>
  <c r="T70" i="2"/>
  <c r="U70" i="2" s="1"/>
  <c r="P70" i="2"/>
  <c r="Q70" i="2" s="1"/>
  <c r="R70" i="2" s="1"/>
  <c r="T69" i="2"/>
  <c r="U69" i="2" s="1"/>
  <c r="V69" i="2" s="1"/>
  <c r="P69" i="2"/>
  <c r="T68" i="2"/>
  <c r="U68" i="2" s="1"/>
  <c r="P68" i="2"/>
  <c r="Q68" i="2" s="1"/>
  <c r="T67" i="2"/>
  <c r="P67" i="2"/>
  <c r="Q67" i="2" s="1"/>
  <c r="R67" i="2" s="1"/>
  <c r="T66" i="2"/>
  <c r="U66" i="2" s="1"/>
  <c r="V66" i="2" s="1"/>
  <c r="P66" i="2"/>
  <c r="Q66" i="2" s="1"/>
  <c r="T65" i="2"/>
  <c r="U65" i="2" s="1"/>
  <c r="P65" i="2"/>
  <c r="Q65" i="2" s="1"/>
  <c r="T64" i="2"/>
  <c r="P64" i="2"/>
  <c r="T63" i="2"/>
  <c r="U63" i="2" s="1"/>
  <c r="P63" i="2"/>
  <c r="T62" i="2"/>
  <c r="P62" i="2"/>
  <c r="Q62" i="2" s="1"/>
  <c r="T61" i="2"/>
  <c r="P61" i="2"/>
  <c r="T60" i="2"/>
  <c r="U60" i="2" s="1"/>
  <c r="P60" i="2"/>
  <c r="Q60" i="2" s="1"/>
  <c r="T59" i="2"/>
  <c r="U59" i="2" s="1"/>
  <c r="P59" i="2"/>
  <c r="Q59" i="2" s="1"/>
  <c r="R59" i="2" s="1"/>
  <c r="T58" i="2"/>
  <c r="U58" i="2" s="1"/>
  <c r="V58" i="2" s="1"/>
  <c r="P58" i="2"/>
  <c r="T57" i="2"/>
  <c r="U57" i="2" s="1"/>
  <c r="V57" i="2" s="1"/>
  <c r="P57" i="2"/>
  <c r="Q57" i="2" s="1"/>
  <c r="T56" i="2"/>
  <c r="P56" i="2"/>
  <c r="Q56" i="2" s="1"/>
  <c r="T55" i="2"/>
  <c r="U55" i="2" s="1"/>
  <c r="P55" i="2"/>
  <c r="T54" i="2"/>
  <c r="P54" i="2"/>
  <c r="Q54" i="2" s="1"/>
  <c r="R54" i="2" s="1"/>
  <c r="T53" i="2"/>
  <c r="P53" i="2"/>
  <c r="T52" i="2"/>
  <c r="U52" i="2" s="1"/>
  <c r="P52" i="2"/>
  <c r="Q52" i="2" s="1"/>
  <c r="T51" i="2"/>
  <c r="P51" i="2"/>
  <c r="Q51" i="2" s="1"/>
  <c r="R51" i="2" s="1"/>
  <c r="T50" i="2"/>
  <c r="U50" i="2" s="1"/>
  <c r="V50" i="2" s="1"/>
  <c r="P50" i="2"/>
  <c r="Q50" i="2" s="1"/>
  <c r="R50" i="2" s="1"/>
  <c r="T49" i="2"/>
  <c r="P49" i="2"/>
  <c r="Q49" i="2" s="1"/>
  <c r="T48" i="2"/>
  <c r="P48" i="2"/>
  <c r="T47" i="2"/>
  <c r="U47" i="2" s="1"/>
  <c r="P47" i="2"/>
  <c r="Q47" i="2" s="1"/>
  <c r="R47" i="2" s="1"/>
  <c r="T46" i="2"/>
  <c r="U46" i="2" s="1"/>
  <c r="P46" i="2"/>
  <c r="Q46" i="2" s="1"/>
  <c r="T45" i="2"/>
  <c r="P45" i="2"/>
  <c r="T44" i="2"/>
  <c r="U44" i="2" s="1"/>
  <c r="P44" i="2"/>
  <c r="Q44" i="2" s="1"/>
  <c r="T43" i="2"/>
  <c r="U43" i="2" s="1"/>
  <c r="P43" i="2"/>
  <c r="Q43" i="2" s="1"/>
  <c r="R43" i="2" s="1"/>
  <c r="T42" i="2"/>
  <c r="U42" i="2" s="1"/>
  <c r="V42" i="2" s="1"/>
  <c r="P42" i="2"/>
  <c r="T41" i="2"/>
  <c r="U41" i="2" s="1"/>
  <c r="V41" i="2" s="1"/>
  <c r="P41" i="2"/>
  <c r="Q41" i="2" s="1"/>
  <c r="T40" i="2"/>
  <c r="P40" i="2"/>
  <c r="Q40" i="2" s="1"/>
  <c r="T39" i="2"/>
  <c r="U39" i="2" s="1"/>
  <c r="P39" i="2"/>
  <c r="Q39" i="2" s="1"/>
  <c r="R39" i="2" s="1"/>
  <c r="T38" i="2"/>
  <c r="P38" i="2"/>
  <c r="Q38" i="2" s="1"/>
  <c r="R38" i="2" s="1"/>
  <c r="T37" i="2"/>
  <c r="U37" i="2" s="1"/>
  <c r="V37" i="2" s="1"/>
  <c r="P37" i="2"/>
  <c r="T36" i="2"/>
  <c r="U36" i="2" s="1"/>
  <c r="P36" i="2"/>
  <c r="Q36" i="2" s="1"/>
  <c r="T35" i="2"/>
  <c r="P35" i="2"/>
  <c r="Q35" i="2" s="1"/>
  <c r="R35" i="2" s="1"/>
  <c r="T34" i="2"/>
  <c r="U34" i="2" s="1"/>
  <c r="V34" i="2" s="1"/>
  <c r="P34" i="2"/>
  <c r="T33" i="2"/>
  <c r="U33" i="2" s="1"/>
  <c r="P33" i="2"/>
  <c r="Q33" i="2" s="1"/>
  <c r="T32" i="2"/>
  <c r="P32" i="2"/>
  <c r="T31" i="2"/>
  <c r="P31" i="2"/>
  <c r="Q31" i="2" s="1"/>
  <c r="T30" i="2"/>
  <c r="U30" i="2" s="1"/>
  <c r="V30" i="2" s="1"/>
  <c r="P30" i="2"/>
  <c r="T29" i="2"/>
  <c r="P29" i="2"/>
  <c r="T28" i="2"/>
  <c r="U28" i="2" s="1"/>
  <c r="V28" i="2" s="1"/>
  <c r="P28" i="2"/>
  <c r="T27" i="2"/>
  <c r="P27" i="2"/>
  <c r="T26" i="2"/>
  <c r="P26" i="2"/>
  <c r="Q26" i="2" s="1"/>
  <c r="R26" i="2" s="1"/>
  <c r="T25" i="2"/>
  <c r="U25" i="2" s="1"/>
  <c r="V25" i="2" s="1"/>
  <c r="P25" i="2"/>
  <c r="Q25" i="2" s="1"/>
  <c r="O8" i="2"/>
  <c r="V70" i="2" l="1"/>
  <c r="W70" i="2" s="1"/>
  <c r="R31" i="2"/>
  <c r="R36" i="2"/>
  <c r="R52" i="2"/>
  <c r="R66" i="2"/>
  <c r="W66" i="2" s="1"/>
  <c r="V55" i="2"/>
  <c r="V63" i="2"/>
  <c r="U31" i="2"/>
  <c r="V31" i="2" s="1"/>
  <c r="U49" i="2"/>
  <c r="V49" i="2" s="1"/>
  <c r="U71" i="2"/>
  <c r="V71" i="2" s="1"/>
  <c r="Q28" i="2"/>
  <c r="R28" i="2" s="1"/>
  <c r="W28" i="2" s="1"/>
  <c r="Q30" i="2"/>
  <c r="R30" i="2" s="1"/>
  <c r="W30" i="2" s="1"/>
  <c r="Q34" i="2"/>
  <c r="R34" i="2" s="1"/>
  <c r="W34" i="2" s="1"/>
  <c r="U38" i="2"/>
  <c r="V38" i="2" s="1"/>
  <c r="W38" i="2" s="1"/>
  <c r="R44" i="2"/>
  <c r="U54" i="2"/>
  <c r="V54" i="2" s="1"/>
  <c r="W54" i="2" s="1"/>
  <c r="V46" i="2"/>
  <c r="U53" i="2"/>
  <c r="V53" i="2" s="1"/>
  <c r="Q55" i="2"/>
  <c r="R55" i="2" s="1"/>
  <c r="W55" i="2" s="1"/>
  <c r="Q63" i="2"/>
  <c r="R63" i="2" s="1"/>
  <c r="W50" i="2"/>
  <c r="R60" i="2"/>
  <c r="U62" i="2"/>
  <c r="V62" i="2" s="1"/>
  <c r="Q71" i="2"/>
  <c r="R71" i="2" s="1"/>
  <c r="R25" i="2"/>
  <c r="W25" i="2" s="1"/>
  <c r="U27" i="2"/>
  <c r="V27" i="2" s="1"/>
  <c r="V39" i="2"/>
  <c r="W39" i="2" s="1"/>
  <c r="V47" i="2"/>
  <c r="W47" i="2" s="1"/>
  <c r="R62" i="2"/>
  <c r="R68" i="2"/>
  <c r="U35" i="2"/>
  <c r="V35" i="2" s="1"/>
  <c r="W35" i="2" s="1"/>
  <c r="U56" i="2"/>
  <c r="V56" i="2" s="1"/>
  <c r="Q37" i="2"/>
  <c r="R37" i="2" s="1"/>
  <c r="W37" i="2" s="1"/>
  <c r="R46" i="2"/>
  <c r="U51" i="2"/>
  <c r="V51" i="2" s="1"/>
  <c r="W51" i="2" s="1"/>
  <c r="Q58" i="2"/>
  <c r="R58" i="2" s="1"/>
  <c r="W58" i="2" s="1"/>
  <c r="U61" i="2"/>
  <c r="V61" i="2" s="1"/>
  <c r="V65" i="2"/>
  <c r="U72" i="2"/>
  <c r="V72" i="2" s="1"/>
  <c r="Q64" i="2"/>
  <c r="R64" i="2" s="1"/>
  <c r="U26" i="2"/>
  <c r="V26" i="2" s="1"/>
  <c r="W26" i="2" s="1"/>
  <c r="Q32" i="2"/>
  <c r="R32" i="2" s="1"/>
  <c r="Q53" i="2"/>
  <c r="R53" i="2" s="1"/>
  <c r="U67" i="2"/>
  <c r="V67" i="2" s="1"/>
  <c r="W67" i="2" s="1"/>
  <c r="Q42" i="2"/>
  <c r="R42" i="2" s="1"/>
  <c r="W42" i="2" s="1"/>
  <c r="U45" i="2"/>
  <c r="V45" i="2" s="1"/>
  <c r="Q27" i="2"/>
  <c r="R27" i="2" s="1"/>
  <c r="U29" i="2"/>
  <c r="V29" i="2" s="1"/>
  <c r="V33" i="2"/>
  <c r="U40" i="2"/>
  <c r="V40" i="2" s="1"/>
  <c r="Q48" i="2"/>
  <c r="R48" i="2" s="1"/>
  <c r="Q69" i="2"/>
  <c r="R69" i="2" s="1"/>
  <c r="W69" i="2" s="1"/>
  <c r="R33" i="2"/>
  <c r="V36" i="2"/>
  <c r="R49" i="2"/>
  <c r="V52" i="2"/>
  <c r="R65" i="2"/>
  <c r="V68" i="2"/>
  <c r="Q29" i="2"/>
  <c r="R29" i="2" s="1"/>
  <c r="U32" i="2"/>
  <c r="V32" i="2" s="1"/>
  <c r="R40" i="2"/>
  <c r="R41" i="2"/>
  <c r="W41" i="2" s="1"/>
  <c r="V43" i="2"/>
  <c r="W43" i="2" s="1"/>
  <c r="V44" i="2"/>
  <c r="Q45" i="2"/>
  <c r="R45" i="2" s="1"/>
  <c r="U48" i="2"/>
  <c r="V48" i="2" s="1"/>
  <c r="R56" i="2"/>
  <c r="R57" i="2"/>
  <c r="W57" i="2" s="1"/>
  <c r="V59" i="2"/>
  <c r="W59" i="2" s="1"/>
  <c r="V60" i="2"/>
  <c r="Q61" i="2"/>
  <c r="R61" i="2" s="1"/>
  <c r="U64" i="2"/>
  <c r="V64" i="2" s="1"/>
  <c r="R72" i="2"/>
  <c r="R73" i="2"/>
  <c r="W73" i="2" s="1"/>
  <c r="W63" i="2" l="1"/>
  <c r="W60" i="2"/>
  <c r="W68" i="2"/>
  <c r="W71" i="2"/>
  <c r="W31" i="2"/>
  <c r="W44" i="2"/>
  <c r="W36" i="2"/>
  <c r="W46" i="2"/>
  <c r="W61" i="2"/>
  <c r="W52" i="2"/>
  <c r="W33" i="2"/>
  <c r="W72" i="2"/>
  <c r="W45" i="2"/>
  <c r="W40" i="2"/>
  <c r="W29" i="2"/>
  <c r="W27" i="2"/>
  <c r="W65" i="2"/>
  <c r="W62" i="2"/>
  <c r="W56" i="2"/>
  <c r="W49" i="2"/>
  <c r="W53" i="2"/>
  <c r="W32" i="2"/>
  <c r="W64" i="2"/>
  <c r="W48" i="2"/>
  <c r="X19" i="2" l="1"/>
</calcChain>
</file>

<file path=xl/sharedStrings.xml><?xml version="1.0" encoding="utf-8"?>
<sst xmlns="http://schemas.openxmlformats.org/spreadsheetml/2006/main" count="991" uniqueCount="388">
  <si>
    <t>PERSONERÍA DE 
BOGOTÁ, D. C.</t>
  </si>
  <si>
    <t>FORMATO HOJA DE VIDA DE VEHÍCULOS</t>
  </si>
  <si>
    <r>
      <t xml:space="preserve">Codigo: </t>
    </r>
    <r>
      <rPr>
        <sz val="8"/>
        <rFont val="Arial"/>
        <family val="2"/>
      </rPr>
      <t>09-FR-40</t>
    </r>
  </si>
  <si>
    <r>
      <rPr>
        <b/>
        <sz val="8"/>
        <rFont val="Arial"/>
        <family val="2"/>
      </rPr>
      <t>Versión:</t>
    </r>
    <r>
      <rPr>
        <sz val="8"/>
        <rFont val="Arial"/>
        <family val="2"/>
      </rPr>
      <t xml:space="preserve">  03</t>
    </r>
  </si>
  <si>
    <r>
      <rPr>
        <b/>
        <sz val="8"/>
        <rFont val="Arial"/>
        <family val="2"/>
      </rPr>
      <t>Pagina:</t>
    </r>
    <r>
      <rPr>
        <sz val="8"/>
        <rFont val="Arial"/>
        <family val="2"/>
      </rPr>
      <t xml:space="preserve"> 1</t>
    </r>
  </si>
  <si>
    <r>
      <rPr>
        <b/>
        <sz val="8"/>
        <rFont val="Arial"/>
        <family val="2"/>
      </rPr>
      <t>Vigente desde:</t>
    </r>
    <r>
      <rPr>
        <sz val="8"/>
        <rFont val="Arial"/>
        <family val="2"/>
      </rPr>
      <t xml:space="preserve"> 24/10/2019</t>
    </r>
  </si>
  <si>
    <t>HOJA DE VIDA DEL VEHICULO</t>
  </si>
  <si>
    <t>INFORMACION GENERAL DEL VEHICULO</t>
  </si>
  <si>
    <t xml:space="preserve">PLACA </t>
  </si>
  <si>
    <t>LÍNEA</t>
  </si>
  <si>
    <t>TIPO</t>
  </si>
  <si>
    <t>MARCA</t>
  </si>
  <si>
    <t>COLOR</t>
  </si>
  <si>
    <t>NÚMERO DE MOTOR</t>
  </si>
  <si>
    <t>NÚMERO DE CHASIS</t>
  </si>
  <si>
    <t>CILINDRAJE</t>
  </si>
  <si>
    <t>SERIE No.</t>
  </si>
  <si>
    <t>TIPO CARROCERÍA</t>
  </si>
  <si>
    <t>LICENCIA TRÁNSITO No.</t>
  </si>
  <si>
    <t>No, DE PASAJEROS</t>
  </si>
  <si>
    <t>TIPO COMBUSTIBLE:</t>
  </si>
  <si>
    <t>GCW738</t>
  </si>
  <si>
    <t>KICKS</t>
  </si>
  <si>
    <t>WAGON</t>
  </si>
  <si>
    <t>NISSAN</t>
  </si>
  <si>
    <t>GRIS</t>
  </si>
  <si>
    <t>HR16-761680T</t>
  </si>
  <si>
    <t>3N8CP5HD3ZL604501</t>
  </si>
  <si>
    <t>GASOLINA</t>
  </si>
  <si>
    <t>POLIZA SOAT</t>
  </si>
  <si>
    <t>CERTIFICADO REVISIÓN TECNICO-MECÁNICA Y DE GASES</t>
  </si>
  <si>
    <t>INCIDENTES O ACCIDENTES DE TRÁNSITO</t>
  </si>
  <si>
    <t>Número de poliza</t>
  </si>
  <si>
    <t>Inicio de
 vigencia</t>
  </si>
  <si>
    <t>Fin de
 vigencia</t>
  </si>
  <si>
    <t>Centro Diagnóstico Autorizado</t>
  </si>
  <si>
    <t>Fecha del evento</t>
  </si>
  <si>
    <t>Nombre del Conductor que reporta</t>
  </si>
  <si>
    <t>Tipo de evento:  Incidente ó Accidente</t>
  </si>
  <si>
    <t>DETALLE DE MANTENIMIENTO PREVENTIVO Y CORRECTIVO</t>
  </si>
  <si>
    <t>Fecha Novedad de Falla Inspección Diaria Vehicular - I.D.V. ó Revisión Preventiva</t>
  </si>
  <si>
    <t>Kilometraje (en la fecha de la novedad)</t>
  </si>
  <si>
    <t>Tipo de novedad reportada en I.D.V. ó Revisión Preventiva</t>
  </si>
  <si>
    <t>Contrato No.</t>
  </si>
  <si>
    <t>Proveedor</t>
  </si>
  <si>
    <t>Kilometraje de la autorización de servicios</t>
  </si>
  <si>
    <t>Fecha factura</t>
  </si>
  <si>
    <t>Factura No.</t>
  </si>
  <si>
    <t>Tipo de mantenimiento</t>
  </si>
  <si>
    <t>Repuestos y Mano de obra</t>
  </si>
  <si>
    <t>Cant</t>
  </si>
  <si>
    <t>Valor Unitario Repuesto</t>
  </si>
  <si>
    <t>Subtotal Repuestos
=(P*Q)</t>
  </si>
  <si>
    <t xml:space="preserve">IVA
=(R*S) </t>
  </si>
  <si>
    <t>Valor total repuesto
=(R+S)</t>
  </si>
  <si>
    <t>Valor Unitario Mano de Obra</t>
  </si>
  <si>
    <t>Subtotal Mano de obra
=(P*U)</t>
  </si>
  <si>
    <t>IVA
(V*W)</t>
  </si>
  <si>
    <t>Valor total Mano de Obra
=(V+W)</t>
  </si>
  <si>
    <t>Total Facturado
=(T+X)</t>
  </si>
  <si>
    <t>TOTAL
FACTURA</t>
  </si>
  <si>
    <t>DOCUMENTOS 
SOPORTE</t>
  </si>
  <si>
    <t>CAMBIO DE ACEITE MOTOR Y FILTROS(AIRE-ACEITE), CAMBIO FILTRO ACONDICIONADO, CAMBIO PLUMILLAS, REVISIÓN SUSPENSIÓN</t>
  </si>
  <si>
    <t>TALLERES AUTORIZADOS S.A.</t>
  </si>
  <si>
    <t>T011-466058</t>
  </si>
  <si>
    <t>PREVENTIVO</t>
  </si>
  <si>
    <t>ALINEACION DIRECCION</t>
  </si>
  <si>
    <t>SOPORTE</t>
  </si>
  <si>
    <t>CAMBIO ACEITE MOTOR</t>
  </si>
  <si>
    <t>CORRECTIVO</t>
  </si>
  <si>
    <t>BOVEDA DEL RADIADOR</t>
  </si>
  <si>
    <t>ARTICULACION TRANSVERSAL</t>
  </si>
  <si>
    <t>REVISION LUCES</t>
  </si>
  <si>
    <t>ARREGLO CAPO</t>
  </si>
  <si>
    <t>BOMPER DELLANTERO PINTURA</t>
  </si>
  <si>
    <t>REVISAR FRENOS / PURGAR</t>
  </si>
  <si>
    <t>ARREGLO PLASTIC</t>
  </si>
  <si>
    <t>SINCRONIZAR MOTOR</t>
  </si>
  <si>
    <t xml:space="preserve">FAROLA DELANTERA </t>
  </si>
  <si>
    <t>EQUILIBRIO RUEDA</t>
  </si>
  <si>
    <t xml:space="preserve">GUIA AIRE </t>
  </si>
  <si>
    <t>ACEITE MOTOR</t>
  </si>
  <si>
    <t xml:space="preserve">SOPORTE LAMPARA </t>
  </si>
  <si>
    <t>REFRIGERANTE RADIADOR</t>
  </si>
  <si>
    <t>EMPAQUE LATERAL</t>
  </si>
  <si>
    <t>LIQUIDO DE FRENOS</t>
  </si>
  <si>
    <t>LIMPIADOR CAMARAS</t>
  </si>
  <si>
    <t>SEGURO PLASTICO</t>
  </si>
  <si>
    <t>LIMPIADOR FRENO</t>
  </si>
  <si>
    <t>ARANDELA CARTER</t>
  </si>
  <si>
    <t>REVISION 5000 KMS</t>
  </si>
  <si>
    <t xml:space="preserve">FILTRO ACEITE </t>
  </si>
  <si>
    <t>FILTRO AIRE</t>
  </si>
  <si>
    <t>FILTRO AIRE ACONDICIONADO</t>
  </si>
  <si>
    <t>KIT TIJERAS</t>
  </si>
  <si>
    <t>JUEGO PASTILLAS FRENO</t>
  </si>
  <si>
    <t>SHAMPU LIMPIABRISAS</t>
  </si>
  <si>
    <t>KIT PLUMILLAS</t>
  </si>
  <si>
    <t>CAMBIO DE BATERIA, NO MANTIENE CARGA</t>
  </si>
  <si>
    <t>UNION TEMPORAL EL NORTE</t>
  </si>
  <si>
    <t>FVUN 180</t>
  </si>
  <si>
    <t xml:space="preserve">BATERIA </t>
  </si>
  <si>
    <t>REVISION 10.000 KMS</t>
  </si>
  <si>
    <t>CAMBIO DE ACEITE MOTOR Y FILTROS (AIRE Y ACEITE)</t>
  </si>
  <si>
    <t>FVUN 182</t>
  </si>
  <si>
    <t xml:space="preserve">ACEITE MOTOR X1 CUARTO </t>
  </si>
  <si>
    <t>FILTRO ACEITE</t>
  </si>
  <si>
    <t>CAMBIO FILTROS ACEITE Y AIRE</t>
  </si>
  <si>
    <t>CAMBIO DE ACEITE MOTOR, ENTRE OTROS</t>
  </si>
  <si>
    <t>REVISION 15.000 KMS</t>
  </si>
  <si>
    <t>REVISION 20.000 KMS</t>
  </si>
  <si>
    <t>REVISION 25.000KMS</t>
  </si>
  <si>
    <t>REVISION 30.000 KMS</t>
  </si>
  <si>
    <t>REVISION 35.000</t>
  </si>
  <si>
    <t>Nota: Si este documento se encuentra impreso se considera Copia no Controlada. La versión vigente está publicada en la intranet de la Personería de Bogotá, D. C.</t>
  </si>
  <si>
    <t>REVISION 40.000 KMS</t>
  </si>
  <si>
    <t>OBG281</t>
  </si>
  <si>
    <t>TALLERES EL NORTE</t>
  </si>
  <si>
    <t>ACEITE HID ACD PLUS ATF TYPE VI</t>
  </si>
  <si>
    <t>INVERSIONES EL NORTE SAS</t>
  </si>
  <si>
    <t>ACEITE HIDRAULICO</t>
  </si>
  <si>
    <t xml:space="preserve">ACEITE HIDRAULICO DIRECCION </t>
  </si>
  <si>
    <t>ACEITE MOTOR AC DELCO SELE 20W50</t>
  </si>
  <si>
    <t>ACEITE SINTETICO 10W40</t>
  </si>
  <si>
    <t xml:space="preserve">PREVENTIVO </t>
  </si>
  <si>
    <t>ACEITE SINTETICO MOTOR</t>
  </si>
  <si>
    <t>ACEITE TRANS ACD GEAR SAE 80W90 GL-5 MT-1</t>
  </si>
  <si>
    <t>ADITIVO COMBUSTIBLE</t>
  </si>
  <si>
    <t>ADITIVO SUPERCOTE (COMBUSTIBLE)</t>
  </si>
  <si>
    <t xml:space="preserve">AJUSTE DE SUSPENSIÓN </t>
  </si>
  <si>
    <t>AJUSTE GENERAL DE SUSPENSIÓN</t>
  </si>
  <si>
    <t>ALARMA VEHICULO 2 CONTROLES</t>
  </si>
  <si>
    <t>ALARMA Y DOS CONTROLES</t>
  </si>
  <si>
    <t xml:space="preserve">ALINEACION </t>
  </si>
  <si>
    <t>ALINEACION DEL. TRAS.</t>
  </si>
  <si>
    <t>ALINEACION DELANTERA Y TRASERA</t>
  </si>
  <si>
    <t xml:space="preserve">ALINEACION LUCES </t>
  </si>
  <si>
    <t>AMARRE 70x9,0 NEGRO</t>
  </si>
  <si>
    <t>ARREGLO CREMALLERA</t>
  </si>
  <si>
    <t>ARREGLO CUNA ROSCAS</t>
  </si>
  <si>
    <t>ARREGLO ESCAPE</t>
  </si>
  <si>
    <t>ARREGLO TAPIZADO GENERAL</t>
  </si>
  <si>
    <t>ARREGLO Y MANTENIMIENTO ESCAPE</t>
  </si>
  <si>
    <t>AUTOMATICO ARRANQUE</t>
  </si>
  <si>
    <t>BALANCEO</t>
  </si>
  <si>
    <t xml:space="preserve">BASE AMORTIGUADOR DELANTERO </t>
  </si>
  <si>
    <t>BASE AMORTIGUADOR TRASERO</t>
  </si>
  <si>
    <t>BASES AMORTIGUADOR</t>
  </si>
  <si>
    <t>BATERIA</t>
  </si>
  <si>
    <t>BENDIX MOTOR DE ARRANQUE</t>
  </si>
  <si>
    <t>BIELETA INFERIOR</t>
  </si>
  <si>
    <t>BLOQUEO PUERTAS</t>
  </si>
  <si>
    <t>BOBINA ENCENDIDO</t>
  </si>
  <si>
    <t xml:space="preserve">BOMBA DE AGUA </t>
  </si>
  <si>
    <t>BOMBILLO EXPLORADORA</t>
  </si>
  <si>
    <t>BOMBILLO FAROLA</t>
  </si>
  <si>
    <t xml:space="preserve">BOMBILLO H16 </t>
  </si>
  <si>
    <t xml:space="preserve">BOMBILLO HALOGENO H7 12 VOLTIOS </t>
  </si>
  <si>
    <t>BOMBILLO STOP</t>
  </si>
  <si>
    <t>BOMBILLO UNIDAD DELANTERA</t>
  </si>
  <si>
    <t>BUJE MUELLE</t>
  </si>
  <si>
    <t>BUJES BARRA ESTABILIZADORA</t>
  </si>
  <si>
    <t>BUJES MOTOR DE ARRANQUE</t>
  </si>
  <si>
    <t>BUJES TIJERA INFERIOR</t>
  </si>
  <si>
    <t>CABLE CONTROL CAMBIOS</t>
  </si>
  <si>
    <t>CALIBRAR VALVULAS</t>
  </si>
  <si>
    <t>CAMBIO ACEITE HIDRAULICO</t>
  </si>
  <si>
    <t>CAMBIO AMORTIGUADOR (TRASERO)</t>
  </si>
  <si>
    <t>CAMBIO AMORTIGUADOR DELANTERO</t>
  </si>
  <si>
    <t>CAMBIO AMORTIGUADORES</t>
  </si>
  <si>
    <t>CAMBIO BASES AMORTIGUADORES</t>
  </si>
  <si>
    <t>CAMBIO BOMBA AGUA</t>
  </si>
  <si>
    <t>CAMBIO BOMBILLOS</t>
  </si>
  <si>
    <t>CAMBIO BUJES BARRA ESTABILIZADORA</t>
  </si>
  <si>
    <t xml:space="preserve">CAMBIO BUJES TENSORES </t>
  </si>
  <si>
    <t>CAMBIO CERRADURA</t>
  </si>
  <si>
    <t>CAMBIO CILINDRO DE FRENO</t>
  </si>
  <si>
    <t>CAMBIO CORREAS</t>
  </si>
  <si>
    <t>CAMBIO DEPOSITO REFRIGERANTE</t>
  </si>
  <si>
    <t>CAMBIO EMPAQUES PUERTAS</t>
  </si>
  <si>
    <t xml:space="preserve">CAMBIO FILTRO ACEITE, COMBUST, AIRE  </t>
  </si>
  <si>
    <t>CAMBIO FILTRO AIRE ACONDICIONADO</t>
  </si>
  <si>
    <t xml:space="preserve">CAMBIO FILTROS AIRE </t>
  </si>
  <si>
    <t>CAMBIO GUAYA FRENO DE MANO</t>
  </si>
  <si>
    <t>CAMBIO KIT EMBRAGUE</t>
  </si>
  <si>
    <t>CAMBIO LIQUIDO REFRIGERANTE</t>
  </si>
  <si>
    <t>CAMBIO MUÑECOS</t>
  </si>
  <si>
    <t>CAMBIO O INSTALACION ALARMA</t>
  </si>
  <si>
    <t>CAMBIO PARTES TAPISADO S.CONDUCTOR</t>
  </si>
  <si>
    <t>CAMBIO PASTILLAS</t>
  </si>
  <si>
    <t>CAMBIO RETENES INTERNO Y EXTERNO</t>
  </si>
  <si>
    <t>CAMBIO RIATA Y M/TO CINTURON</t>
  </si>
  <si>
    <t>CAMBIO RODAMIENTO TRASERO</t>
  </si>
  <si>
    <t>CAMBIO ROTULA INFERIOR</t>
  </si>
  <si>
    <t>CAMBIO SOPORTE BASTIDOR</t>
  </si>
  <si>
    <t>CAMBIO SOPORTE CAJA</t>
  </si>
  <si>
    <t>CAMBIO SOPORTE TRASERO CARROCERIA</t>
  </si>
  <si>
    <t>CAMBIO TENSOR</t>
  </si>
  <si>
    <t>CAMBIO TERMOSTATO</t>
  </si>
  <si>
    <t>CAMBIO TIJERA</t>
  </si>
  <si>
    <t>CAMBIO VALVULA IAC</t>
  </si>
  <si>
    <t>CERRADURA IZQUIERDA</t>
  </si>
  <si>
    <t>CERRADURA TRACERA IZQUIERDA</t>
  </si>
  <si>
    <t>CERRADURA TRASERA IZQ.</t>
  </si>
  <si>
    <t>CHAPA TRINQUETE PUERTA</t>
  </si>
  <si>
    <t>CILINDRO FRENO</t>
  </si>
  <si>
    <t>CORONA ALTERNADOR</t>
  </si>
  <si>
    <t xml:space="preserve">CORREA A/A </t>
  </si>
  <si>
    <t xml:space="preserve">CORREA AIRE ACONDICIONADO </t>
  </si>
  <si>
    <t>CORREA ALTERNADOR</t>
  </si>
  <si>
    <t>CORREA DE ACCESORIOS</t>
  </si>
  <si>
    <t>CORREA HIDRAULICA</t>
  </si>
  <si>
    <t>CORREGIR FUGA DE ACEITE</t>
  </si>
  <si>
    <t>CUBIERTA MULTIPLE ESCAPE</t>
  </si>
  <si>
    <t>D/M  ALTERNADOR</t>
  </si>
  <si>
    <t xml:space="preserve">D/M AVISOS </t>
  </si>
  <si>
    <t>D/M BOMBA HIDRAULICA</t>
  </si>
  <si>
    <t>D/M CAJA VELOCIDADES</t>
  </si>
  <si>
    <t>D/M CUNA</t>
  </si>
  <si>
    <t>D/M MOTOR DE ARRANQUE</t>
  </si>
  <si>
    <t>D/M TAPIZADO TIMON DIRECCION</t>
  </si>
  <si>
    <t>D/M TIJERA</t>
  </si>
  <si>
    <t>D/M UNIDAD DELANTERA PARA BRILLAR</t>
  </si>
  <si>
    <t>DEPOSITO HIDRAULICO</t>
  </si>
  <si>
    <t>DEPOSITO REFRIGERANTE</t>
  </si>
  <si>
    <t xml:space="preserve">DESMANCHADO EXTERIOR </t>
  </si>
  <si>
    <t>DESMONTE RADIADOR ARREGLO FUGAS Y SONDEO</t>
  </si>
  <si>
    <t>DESMONTE TANQUE COMBUSTIBLE</t>
  </si>
  <si>
    <t>DESMONTE TIJERA INFERIOR</t>
  </si>
  <si>
    <t>EMPAQUE</t>
  </si>
  <si>
    <t>EMPAQUE BOMBA COMBUSTIBLE</t>
  </si>
  <si>
    <t>EMPAQUE PUERTA DELANTERA</t>
  </si>
  <si>
    <t xml:space="preserve">EMPAQUE PUERTA DELATERA </t>
  </si>
  <si>
    <t xml:space="preserve">EMPAQUE TAPA VALVULAS </t>
  </si>
  <si>
    <t>EMPAQUES AIRE ACONDICIONADO</t>
  </si>
  <si>
    <t>EMPAQUETADURA BOMBA HIDRAULICA</t>
  </si>
  <si>
    <t>EMPAQUETADURA CAJA DIRECCION</t>
  </si>
  <si>
    <t>ENGRASE RODAMIENTOS</t>
  </si>
  <si>
    <t>ESCOBILLA ALTERNADOR</t>
  </si>
  <si>
    <t>ESCOBILLAS ALTERNADOR</t>
  </si>
  <si>
    <t>ESPIRAL SUSPENCION DELANTERA</t>
  </si>
  <si>
    <t>FILTRO A/A</t>
  </si>
  <si>
    <t>FILTRO COMBUSTIBLE</t>
  </si>
  <si>
    <t>FILTRO TRAMPA AGUA</t>
  </si>
  <si>
    <t>GAS R 134</t>
  </si>
  <si>
    <t>GRASA</t>
  </si>
  <si>
    <t>GRASA DE LITIO</t>
  </si>
  <si>
    <t>GUARDAPOLVO AMORTIGUADOR</t>
  </si>
  <si>
    <t>GUAYA DERECHA FRENO DE MANO</t>
  </si>
  <si>
    <t>GUAYA IZQUIERDA FRENO DE MANO</t>
  </si>
  <si>
    <t>INDUCTORES</t>
  </si>
  <si>
    <t xml:space="preserve">INSTALACION DE ALTA </t>
  </si>
  <si>
    <t>INSTALAR SALPICADERAS</t>
  </si>
  <si>
    <t>JUEGO AMORTIGUADOR TRASERO</t>
  </si>
  <si>
    <t>JUEGO AMORTIGUADORES DELANTEROS</t>
  </si>
  <si>
    <t>JUEGO AMORTIGUADORES TRAS</t>
  </si>
  <si>
    <t>JUEGO DE AMORTIGUADORES DEL.</t>
  </si>
  <si>
    <t>JUEGO DE AMORTIGUADORES DELANTEROS</t>
  </si>
  <si>
    <t xml:space="preserve">JUEGO DE AMORTIGUADORES TRASEROS </t>
  </si>
  <si>
    <t>JUEGO DE BUJIAS</t>
  </si>
  <si>
    <t>JUEGO DE CALIPER DELANTERO</t>
  </si>
  <si>
    <t>JUEGO DE FORROS EN PANA</t>
  </si>
  <si>
    <t>JUEGO DE PINES</t>
  </si>
  <si>
    <t>JUEGO DE PLUMILLAS</t>
  </si>
  <si>
    <t>JUEGO DE SALPICADERAS</t>
  </si>
  <si>
    <t>JUEGO PLUMILLA LIMPIA PARABRISA 18"</t>
  </si>
  <si>
    <t>JUEGO PLUMILLAS 20 PULGADAS</t>
  </si>
  <si>
    <t xml:space="preserve">KIT CORREA DE REPARTICION </t>
  </si>
  <si>
    <t xml:space="preserve">KIT CORREA REPARTICION </t>
  </si>
  <si>
    <t>KIT DE EMBRAGUE</t>
  </si>
  <si>
    <t>KIT EMBRAGUE</t>
  </si>
  <si>
    <t xml:space="preserve">KIT SINCRONIZACION </t>
  </si>
  <si>
    <t>KIT TENSOR CORREA ACE.</t>
  </si>
  <si>
    <t>LAVADO EXTERIOR</t>
  </si>
  <si>
    <t>LAVADO GENERAL</t>
  </si>
  <si>
    <t>LAVADO GENERAL Y DESMANCHADO</t>
  </si>
  <si>
    <t>LAVADO GENERAL Y MOTOR</t>
  </si>
  <si>
    <t>LAVADO GRAL Y MOTOR. GRAFITADA</t>
  </si>
  <si>
    <t>LAVADO MOTOR</t>
  </si>
  <si>
    <t>LAVADO TAPIZADO CAMBIO DE PARTES TAPIZADO</t>
  </si>
  <si>
    <t>LAVADOR DE INYECTORES</t>
  </si>
  <si>
    <t>LAVAR DEPOSITO AUX. RADIADOR</t>
  </si>
  <si>
    <t>LIMPIADOR CUERPO DE ACELERACION</t>
  </si>
  <si>
    <t>LIMPIADOR DE CONTACTOS</t>
  </si>
  <si>
    <t>LIMPIADOR DE FRENOS 400 M</t>
  </si>
  <si>
    <t>LIMPIADOR PARA CUERPO DE ACELERACION</t>
  </si>
  <si>
    <t>LIMPIEZA Y BRILLADO UNIDAD DELANTERA</t>
  </si>
  <si>
    <t>LIQUIDO REFRIGERANTE</t>
  </si>
  <si>
    <t>LIQUIDO REFRIGERANTE NALC</t>
  </si>
  <si>
    <t>M/D EMPAQUE MULTIPLE DE ADMISION</t>
  </si>
  <si>
    <t>MANGUERA SALIDA A/A</t>
  </si>
  <si>
    <t>MANGUERA SALIDA TANQUE</t>
  </si>
  <si>
    <t>MANTENIMIENTO ARRANQUE</t>
  </si>
  <si>
    <t>MANTENIMIENTO CINTURONES DE SEGURIDAD</t>
  </si>
  <si>
    <t>MANTENIMIENTO SWITCH PRINCIPAL Y COPILOTO</t>
  </si>
  <si>
    <t>MODULO BLOQUEO CENTRAL</t>
  </si>
  <si>
    <t>MOLDURA EXT TRAS IZQ</t>
  </si>
  <si>
    <t>MOLDURA PUERTA TRASERA DER.</t>
  </si>
  <si>
    <t>MUÑECO VARILLA ESTABILIZADORA</t>
  </si>
  <si>
    <t>PARCHE RADIAL, DESPINCHE</t>
  </si>
  <si>
    <t>PASTILLAS DE FRENO</t>
  </si>
  <si>
    <t>PASTILLAS DELANTERAS</t>
  </si>
  <si>
    <t>PLUMILLA LIMPIABRISA DELANTERA</t>
  </si>
  <si>
    <t>PLUMILLA LIMPIABRISA TRASERA</t>
  </si>
  <si>
    <t>PORTA ESCOBILLAS ALTERNADOR</t>
  </si>
  <si>
    <t>PORTA ESCOBILLAS ARRANQUE</t>
  </si>
  <si>
    <t>PORTAMANGUERA RUEDA DEL</t>
  </si>
  <si>
    <t>PORTAMANGUERA RUEDA DELANTERA</t>
  </si>
  <si>
    <t>PUENTE BASTIDOR TRASERO</t>
  </si>
  <si>
    <t>PUNTILLAS LUZ PUERTA</t>
  </si>
  <si>
    <t>PURGA SISTEMA DE FRENOS</t>
  </si>
  <si>
    <t>PURGA SISTEMA DE FRENOS Y CAMBIO DE LIQUIDO</t>
  </si>
  <si>
    <t xml:space="preserve">RECTIFICAR DISCOS </t>
  </si>
  <si>
    <t>REGULADOR ALTERNADOR</t>
  </si>
  <si>
    <t>REGULADOR VOLTAJE</t>
  </si>
  <si>
    <t>REMACHE POP</t>
  </si>
  <si>
    <t>REP. ALTERNADOR (cambio de regulador, escobillas, diodos, corona, rotor, rodamiento)</t>
  </si>
  <si>
    <t>REPARACION ARRANQUE</t>
  </si>
  <si>
    <t>REPARACION CAJA DIRECCION</t>
  </si>
  <si>
    <t>REPARACION CONDENSADOR A/A</t>
  </si>
  <si>
    <t>REPARACION Y  AJUSTE CAJA DIRECCION, INCLUYE D/M</t>
  </si>
  <si>
    <t>RETEN CIGÜEÑAL Y CAMBIO</t>
  </si>
  <si>
    <t>RETEN DELANTERO RUEDA</t>
  </si>
  <si>
    <t>RETEN RUEDA</t>
  </si>
  <si>
    <t>RETEN TRASERO</t>
  </si>
  <si>
    <t>RETENEDOR EJE SALIDA</t>
  </si>
  <si>
    <t>RETENEDOR RUEDAS DELANTERAS</t>
  </si>
  <si>
    <t xml:space="preserve">RETENEDOR RUEDAS DELANTERAS </t>
  </si>
  <si>
    <t>REV SISTEMA REFRIGERACION</t>
  </si>
  <si>
    <t>REVISION CINTURONES DE SEGURIDAD</t>
  </si>
  <si>
    <t xml:space="preserve">REVISION DE LUCES </t>
  </si>
  <si>
    <t xml:space="preserve">REVISION ELECTRICA </t>
  </si>
  <si>
    <t>REVISION FRENOS</t>
  </si>
  <si>
    <t>REVISION GENERAL DE FRENOS</t>
  </si>
  <si>
    <t>REVISION GENERAL, GRADUACION Y AJUSTE DE FRENOS</t>
  </si>
  <si>
    <t>REVISION SISTEMA DE CARGA , CARGA DE BATERIA</t>
  </si>
  <si>
    <t>REVISION Y ENGRASE DE RODAMIENTOS TRASEROS</t>
  </si>
  <si>
    <t>REVISION Y RECARGA A/A</t>
  </si>
  <si>
    <t>RODAMIENTO ALTERNADOR</t>
  </si>
  <si>
    <t>RODAMIENTO BASE DE AMORTIGUADOR</t>
  </si>
  <si>
    <t>RODAMIENTO RUEDA TRASERA</t>
  </si>
  <si>
    <t>RODAMIENTO SALIDA EJE</t>
  </si>
  <si>
    <t>RODAMIENTO TRASERO</t>
  </si>
  <si>
    <t>RODAMIENTO TRASERO INTERNO</t>
  </si>
  <si>
    <t>RODAMIENTOS A/A</t>
  </si>
  <si>
    <t xml:space="preserve">RODAMIENTOS ALTERNADOR </t>
  </si>
  <si>
    <t>RODAMIENTOS BOMBA HIDRAULICA</t>
  </si>
  <si>
    <t>RODAMIENTOS DELATEROS</t>
  </si>
  <si>
    <t>ROTULA INFERIOR</t>
  </si>
  <si>
    <t>SELLADOR GRIS LOCTITE</t>
  </si>
  <si>
    <t>SENSOR AIR BAG DEL</t>
  </si>
  <si>
    <t xml:space="preserve">SERVICIO DE PRENSA </t>
  </si>
  <si>
    <t>SERVICIO DE SCANER</t>
  </si>
  <si>
    <t>SOLDADURA EXOSTO</t>
  </si>
  <si>
    <t>SOPORTE BASTIDOR DER</t>
  </si>
  <si>
    <t>SOPORTE CABINA</t>
  </si>
  <si>
    <t>SOPORTE CAJA</t>
  </si>
  <si>
    <t>SOPORTE MOTOR</t>
  </si>
  <si>
    <t>SOPORTE TRASERO CARROCERIA</t>
  </si>
  <si>
    <t>TAPA CORREA REPARTICION</t>
  </si>
  <si>
    <t>TAPA LATERAL REJILLA</t>
  </si>
  <si>
    <t>TAPA RADIADOR</t>
  </si>
  <si>
    <t>TAPETES UNIVERSAL</t>
  </si>
  <si>
    <t>TEMPLETE TRASERO DERECHO</t>
  </si>
  <si>
    <t>TENSOR ALTERNADOR</t>
  </si>
  <si>
    <t>TENSOR CORREA MULTISERVICIOS</t>
  </si>
  <si>
    <t>TERMINALES BARRA ESTABILIZADORA</t>
  </si>
  <si>
    <t>TERMOSTATO</t>
  </si>
  <si>
    <t>TIJERA INFERIOR IZQUIERDA</t>
  </si>
  <si>
    <t xml:space="preserve">TORQUE SUSPENSION </t>
  </si>
  <si>
    <t>TUERCA</t>
  </si>
  <si>
    <t>VALVULA IAC</t>
  </si>
  <si>
    <t>VARILLA ACEITE</t>
  </si>
  <si>
    <t>VARSOL</t>
  </si>
  <si>
    <t>VENTILADOR</t>
  </si>
  <si>
    <t>KIT FELPA PARA BATERIA</t>
  </si>
  <si>
    <t>BORNE BATERIA TIPO PESADO</t>
  </si>
  <si>
    <t>ACEITE HIDRAULICO CAJA</t>
  </si>
  <si>
    <t>ADITIVO COMBUSTIBLE  DIESEL</t>
  </si>
  <si>
    <t>ALINEACION DE DIRECCION</t>
  </si>
  <si>
    <t>ANILLO SELLADOR TAPA TRASERA</t>
  </si>
  <si>
    <t xml:space="preserve">JUEGO PASTILLAS </t>
  </si>
  <si>
    <t>PITO 12 V.</t>
  </si>
  <si>
    <t>RADIO PIONER DHE -85</t>
  </si>
  <si>
    <t>RETORQUEAR SUSPENSION</t>
  </si>
  <si>
    <t xml:space="preserve">REVISION GENERAL DE FRENOS </t>
  </si>
  <si>
    <t>SOPORTE BOMPER</t>
  </si>
  <si>
    <t>ROTACION DE LLANTAS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</si>
</sst>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\ * #,##0.00_-;\-&quot;$&quot;\ * #,##0.00_-;_-&quot;$&quot;\ * &quot;-&quot;??_-;_-@_-"/>
    <numFmt numFmtId="165" formatCode="_(&quot;$&quot;\ * #,##0.00_);_(&quot;$&quot;\ * \(#,##0.00\);_(&quot;$&quot;\ * &quot;-&quot;??_);_(@_)"/>
    <numFmt numFmtId="166" formatCode="[$$-240A]\ #,##0"/>
    <numFmt numFmtId="169" formatCode="_-[$$-240A]\ * #,##0.00_-;\-[$$-240A]\ * #,##0.00_-;_-[$$-240A]\ * &quot;-&quot;??_-;_-@_-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18"/>
      <color theme="1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12"/>
      <color theme="0" tint="-0.249977111117893"/>
      <name val="Arial"/>
      <family val="2"/>
    </font>
    <font>
      <sz val="8"/>
      <color rgb="FFFF0000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3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23" fillId="0" borderId="0" applyNumberFormat="0" applyFill="0" applyBorder="0" applyAlignment="0" applyProtection="0"/>
  </cellStyleXfs>
  <cellXfs count="156">
    <xf numFmtId="0" fontId="0" fillId="0" borderId="0" xfId="0"/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11" fillId="4" borderId="1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 wrapText="1"/>
      <protection locked="0"/>
    </xf>
    <xf numFmtId="14" fontId="16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9" fillId="5" borderId="1" xfId="0" applyFont="1" applyFill="1" applyBorder="1" applyAlignment="1">
      <alignment horizontal="left" wrapText="1"/>
    </xf>
    <xf numFmtId="0" fontId="19" fillId="0" borderId="1" xfId="0" applyFont="1" applyBorder="1" applyAlignment="1">
      <alignment horizontal="left"/>
    </xf>
    <xf numFmtId="0" fontId="19" fillId="5" borderId="1" xfId="0" applyFont="1" applyFill="1" applyBorder="1" applyAlignment="1">
      <alignment vertical="top" wrapText="1"/>
    </xf>
    <xf numFmtId="0" fontId="19" fillId="0" borderId="1" xfId="0" applyFont="1" applyBorder="1" applyAlignment="1">
      <alignment horizontal="left" wrapText="1"/>
    </xf>
    <xf numFmtId="3" fontId="11" fillId="0" borderId="1" xfId="0" applyNumberFormat="1" applyFont="1" applyBorder="1" applyAlignment="1" applyProtection="1">
      <alignment horizontal="center" vertical="center" wrapText="1"/>
      <protection locked="0"/>
    </xf>
    <xf numFmtId="3" fontId="15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 applyProtection="1">
      <alignment horizontal="center" vertical="center" wrapText="1"/>
      <protection locked="0"/>
    </xf>
    <xf numFmtId="1" fontId="10" fillId="0" borderId="1" xfId="0" applyNumberFormat="1" applyFont="1" applyBorder="1" applyAlignment="1">
      <alignment horizontal="center" vertical="center"/>
    </xf>
    <xf numFmtId="1" fontId="10" fillId="0" borderId="1" xfId="1" applyNumberFormat="1" applyFont="1" applyFill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22" fillId="7" borderId="6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3" fontId="11" fillId="3" borderId="4" xfId="0" applyNumberFormat="1" applyFont="1" applyFill="1" applyBorder="1" applyAlignment="1">
      <alignment horizontal="center" vertical="center" wrapText="1"/>
    </xf>
    <xf numFmtId="14" fontId="11" fillId="3" borderId="4" xfId="0" applyNumberFormat="1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" fontId="11" fillId="3" borderId="4" xfId="0" applyNumberFormat="1" applyFont="1" applyFill="1" applyBorder="1" applyAlignment="1">
      <alignment horizontal="center" vertical="center" wrapText="1"/>
    </xf>
    <xf numFmtId="1" fontId="10" fillId="0" borderId="5" xfId="1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" fontId="10" fillId="0" borderId="0" xfId="1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166" fontId="10" fillId="0" borderId="0" xfId="1" applyNumberFormat="1" applyFont="1" applyBorder="1" applyAlignment="1">
      <alignment horizontal="center" vertical="center"/>
    </xf>
    <xf numFmtId="166" fontId="10" fillId="6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10" fillId="0" borderId="0" xfId="1" applyFont="1" applyFill="1" applyBorder="1" applyAlignment="1">
      <alignment horizontal="center" vertical="center"/>
    </xf>
    <xf numFmtId="165" fontId="10" fillId="0" borderId="0" xfId="1" applyFont="1" applyBorder="1" applyAlignment="1">
      <alignment horizontal="center" vertical="center"/>
    </xf>
    <xf numFmtId="165" fontId="10" fillId="6" borderId="0" xfId="0" applyNumberFormat="1" applyFont="1" applyFill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3" fontId="9" fillId="0" borderId="1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1" fontId="10" fillId="0" borderId="11" xfId="1" applyNumberFormat="1" applyFont="1" applyFill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1" fontId="10" fillId="0" borderId="14" xfId="1" applyNumberFormat="1" applyFont="1" applyFill="1" applyBorder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166" fontId="10" fillId="0" borderId="14" xfId="1" applyNumberFormat="1" applyFont="1" applyFill="1" applyBorder="1" applyAlignment="1">
      <alignment horizontal="center" vertical="center"/>
    </xf>
    <xf numFmtId="166" fontId="10" fillId="0" borderId="14" xfId="1" applyNumberFormat="1" applyFont="1" applyBorder="1" applyAlignment="1">
      <alignment horizontal="center" vertical="center"/>
    </xf>
    <xf numFmtId="166" fontId="10" fillId="6" borderId="14" xfId="0" applyNumberFormat="1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 wrapText="1"/>
      <protection locked="0"/>
    </xf>
    <xf numFmtId="166" fontId="0" fillId="0" borderId="14" xfId="0" applyNumberFormat="1" applyBorder="1" applyAlignment="1">
      <alignment horizontal="center" vertical="center"/>
    </xf>
    <xf numFmtId="0" fontId="24" fillId="0" borderId="14" xfId="2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14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169" fontId="0" fillId="0" borderId="5" xfId="0" applyNumberFormat="1" applyBorder="1" applyAlignment="1">
      <alignment horizontal="center" vertical="center"/>
    </xf>
    <xf numFmtId="169" fontId="10" fillId="0" borderId="5" xfId="1" applyNumberFormat="1" applyFont="1" applyFill="1" applyBorder="1" applyAlignment="1">
      <alignment horizontal="center" vertical="center"/>
    </xf>
    <xf numFmtId="169" fontId="10" fillId="0" borderId="5" xfId="1" applyNumberFormat="1" applyFont="1" applyBorder="1" applyAlignment="1">
      <alignment horizontal="center" vertical="center"/>
    </xf>
    <xf numFmtId="169" fontId="10" fillId="6" borderId="9" xfId="0" applyNumberFormat="1" applyFont="1" applyFill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0" fontId="24" fillId="0" borderId="6" xfId="2" applyFont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10" fillId="0" borderId="1" xfId="1" applyNumberFormat="1" applyFont="1" applyFill="1" applyBorder="1" applyAlignment="1">
      <alignment horizontal="center" vertical="center"/>
    </xf>
    <xf numFmtId="169" fontId="10" fillId="0" borderId="1" xfId="1" applyNumberFormat="1" applyFont="1" applyBorder="1" applyAlignment="1">
      <alignment horizontal="center" vertical="center"/>
    </xf>
    <xf numFmtId="169" fontId="10" fillId="6" borderId="1" xfId="0" applyNumberFormat="1" applyFont="1" applyFill="1" applyBorder="1" applyAlignment="1">
      <alignment horizontal="center" vertical="center"/>
    </xf>
    <xf numFmtId="169" fontId="0" fillId="0" borderId="11" xfId="0" applyNumberFormat="1" applyBorder="1" applyAlignment="1">
      <alignment horizontal="center" vertical="center"/>
    </xf>
    <xf numFmtId="169" fontId="10" fillId="0" borderId="11" xfId="1" applyNumberFormat="1" applyFont="1" applyFill="1" applyBorder="1" applyAlignment="1">
      <alignment horizontal="center" vertical="center"/>
    </xf>
    <xf numFmtId="169" fontId="10" fillId="0" borderId="11" xfId="1" applyNumberFormat="1" applyFont="1" applyBorder="1" applyAlignment="1">
      <alignment horizontal="center" vertical="center"/>
    </xf>
    <xf numFmtId="169" fontId="10" fillId="6" borderId="11" xfId="0" applyNumberFormat="1" applyFont="1" applyFill="1" applyBorder="1" applyAlignment="1">
      <alignment horizontal="center" vertical="center"/>
    </xf>
    <xf numFmtId="169" fontId="0" fillId="0" borderId="14" xfId="0" applyNumberFormat="1" applyBorder="1" applyAlignment="1">
      <alignment horizontal="center" vertical="center"/>
    </xf>
    <xf numFmtId="0" fontId="23" fillId="0" borderId="14" xfId="2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9" fontId="10" fillId="6" borderId="2" xfId="0" applyNumberFormat="1" applyFont="1" applyFill="1" applyBorder="1" applyAlignment="1">
      <alignment horizontal="center" vertical="center"/>
    </xf>
    <xf numFmtId="169" fontId="0" fillId="0" borderId="6" xfId="0" applyNumberFormat="1" applyBorder="1" applyAlignment="1">
      <alignment horizontal="center" vertical="center"/>
    </xf>
    <xf numFmtId="0" fontId="23" fillId="0" borderId="6" xfId="2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4" fontId="10" fillId="0" borderId="5" xfId="0" applyNumberFormat="1" applyFont="1" applyBorder="1" applyAlignment="1">
      <alignment horizontal="center" vertical="center"/>
    </xf>
    <xf numFmtId="14" fontId="10" fillId="0" borderId="17" xfId="0" applyNumberFormat="1" applyFont="1" applyBorder="1" applyAlignment="1">
      <alignment horizontal="center" vertical="center"/>
    </xf>
    <xf numFmtId="3" fontId="9" fillId="0" borderId="17" xfId="0" applyNumberFormat="1" applyFont="1" applyBorder="1" applyAlignment="1">
      <alignment horizontal="center" vertical="center"/>
    </xf>
    <xf numFmtId="3" fontId="9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4" fontId="5" fillId="0" borderId="17" xfId="0" applyNumberFormat="1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3" fontId="9" fillId="0" borderId="14" xfId="0" applyNumberFormat="1" applyFont="1" applyBorder="1" applyAlignment="1">
      <alignment horizontal="center" vertical="center"/>
    </xf>
    <xf numFmtId="14" fontId="10" fillId="0" borderId="14" xfId="0" applyNumberFormat="1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4" fontId="10" fillId="0" borderId="19" xfId="0" applyNumberFormat="1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</cellXfs>
  <cellStyles count="3">
    <cellStyle name="Hyperlink" xfId="2" xr:uid="{00000000-000B-0000-0000-000008000000}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ersoneriabogota-my.sharepoint.com/:b:/g/personal/sgdrecfisicos_personeriabogota_gov_co/ET2pNMZBnGNDiClNpnypKzEB_rV9UhO3n3g60J9U2rHI8Q?e=Z9Z1bI" TargetMode="External"/><Relationship Id="rId2" Type="http://schemas.openxmlformats.org/officeDocument/2006/relationships/hyperlink" Target="https://personeriabogota-my.sharepoint.com/:b:/g/personal/sgdrecfisicos_personeriabogota_gov_co/EQRhUCb9cPtNs2zaCXIjG6EBKJNzMa49KSH2oegw-fsDlg?e=maIvay" TargetMode="External"/><Relationship Id="rId1" Type="http://schemas.openxmlformats.org/officeDocument/2006/relationships/hyperlink" Target="https://personeriabogota-my.sharepoint.com/personal/sgdrecfisicos_personeriabogota_gov_co/_layouts/15/onedrive.aspx?sortField=Modified&amp;isAscending=false&amp;id=%2Fpersonal%2Fsgdrecfisicos%5Fpersoneriabogota%5Fgov%5Fco%2FDocuments%2F09%20Gesti%C3%B3n%20Administrativa%2F2023%2F2023%2D1%2FDocumentos%20de%20Gesti%C3%B3n%2FVEHICULOS%2FHOJA%20DE%20VIDA%20VEH%C3%8DCULOS%2FSOPORTES%20HOJAS%20DE%20VIDA%20VEH%C3%8DCULOS%2FSOPORTES%20UNIFICADOS%2FNISSAN%2FAUT%5FGCW738%5F76574%5FFACTURA%20T011%2D466058%2Epdf&amp;parent=%2Fpersonal%2Fsgdrecfisicos%5Fpersoneriabogota%5Fgov%5Fco%2FDocuments%2F09%20Gesti%C3%B3n%20Administrativa%2F2023%2F2023%2D1%2FDocumentos%20de%20Gesti%C3%B3n%2FVEHICULOS%2FHOJA%20DE%20VIDA%20VEH%C3%8DCULOS%2FSOPORTES%20HOJAS%20DE%20VIDA%20VEH%C3%8DCULOS%2FSOPORTES%20UNIFICADOS%2FNISSA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WD719"/>
  <sheetViews>
    <sheetView showGridLines="0" showRowColHeaders="0" tabSelected="1" topLeftCell="A29" zoomScale="80" zoomScaleNormal="80" workbookViewId="0">
      <selection activeCell="H19" sqref="G19:H38"/>
    </sheetView>
  </sheetViews>
  <sheetFormatPr defaultColWidth="0" defaultRowHeight="15" zeroHeight="1"/>
  <cols>
    <col min="1" max="2" width="1.85546875" style="7" customWidth="1"/>
    <col min="3" max="3" width="21.5703125" style="7" customWidth="1"/>
    <col min="4" max="4" width="16.5703125" style="7" customWidth="1"/>
    <col min="5" max="5" width="16" style="7" customWidth="1"/>
    <col min="6" max="6" width="9.85546875" style="7" customWidth="1"/>
    <col min="7" max="7" width="14.85546875" style="7" customWidth="1"/>
    <col min="8" max="8" width="12.5703125" style="52" customWidth="1"/>
    <col min="9" max="9" width="13.140625" style="7" customWidth="1"/>
    <col min="10" max="10" width="18.85546875" style="7" customWidth="1"/>
    <col min="11" max="11" width="15.140625" style="7" customWidth="1"/>
    <col min="12" max="12" width="13.42578125" style="7" customWidth="1"/>
    <col min="13" max="13" width="14.85546875" style="7" customWidth="1"/>
    <col min="14" max="14" width="9.42578125" style="53" customWidth="1"/>
    <col min="15" max="15" width="15.5703125" style="7" bestFit="1" customWidth="1"/>
    <col min="16" max="16" width="15.7109375" style="7" customWidth="1"/>
    <col min="17" max="17" width="16.28515625" style="7" customWidth="1"/>
    <col min="18" max="18" width="18" style="7" customWidth="1"/>
    <col min="19" max="19" width="14.140625" style="7" customWidth="1"/>
    <col min="20" max="20" width="14" style="7" customWidth="1"/>
    <col min="21" max="21" width="13.42578125" style="7" customWidth="1"/>
    <col min="22" max="22" width="15.7109375" style="7" customWidth="1"/>
    <col min="23" max="23" width="17" style="7" customWidth="1"/>
    <col min="24" max="24" width="16.28515625" style="7" customWidth="1"/>
    <col min="25" max="25" width="15.7109375" style="7" customWidth="1"/>
    <col min="26" max="26" width="11.42578125" style="7" bestFit="1" customWidth="1"/>
    <col min="27" max="249" width="11.42578125" style="7" hidden="1"/>
    <col min="250" max="250" width="1.85546875" style="7" hidden="1"/>
    <col min="251" max="251" width="8" style="7" hidden="1"/>
    <col min="252" max="252" width="9.5703125" style="7" hidden="1"/>
    <col min="253" max="254" width="8" style="7" hidden="1"/>
    <col min="255" max="257" width="1.85546875" style="7" hidden="1"/>
    <col min="258" max="258" width="13.42578125" style="7" hidden="1"/>
    <col min="259" max="259" width="16.85546875" style="7" hidden="1"/>
    <col min="260" max="260" width="9.7109375" style="7" hidden="1"/>
    <col min="261" max="261" width="9.85546875" style="7" hidden="1"/>
    <col min="262" max="262" width="7.7109375" style="7" hidden="1"/>
    <col min="263" max="263" width="12.85546875" style="7" hidden="1"/>
    <col min="264" max="264" width="13.85546875" style="7" hidden="1"/>
    <col min="265" max="265" width="9.85546875" style="7" hidden="1"/>
    <col min="266" max="266" width="14.7109375" style="7" hidden="1"/>
    <col min="267" max="267" width="16.42578125" style="7" hidden="1"/>
    <col min="268" max="270" width="13.85546875" style="7" hidden="1"/>
    <col min="271" max="271" width="12.85546875" style="7" hidden="1"/>
    <col min="272" max="272" width="14.140625" style="7" hidden="1"/>
    <col min="273" max="273" width="12.28515625" style="7" hidden="1"/>
    <col min="274" max="275" width="14.42578125" style="7" hidden="1"/>
    <col min="276" max="276" width="12.85546875" style="7" hidden="1"/>
    <col min="277" max="277" width="12.28515625" style="7" hidden="1"/>
    <col min="278" max="278" width="16.7109375" style="7" hidden="1"/>
    <col min="279" max="505" width="11.42578125" style="7" hidden="1"/>
    <col min="506" max="506" width="1.85546875" style="7" hidden="1"/>
    <col min="507" max="507" width="8" style="7" hidden="1"/>
    <col min="508" max="508" width="9.5703125" style="7" hidden="1"/>
    <col min="509" max="510" width="8" style="7" hidden="1"/>
    <col min="511" max="513" width="1.85546875" style="7" hidden="1"/>
    <col min="514" max="514" width="13.42578125" style="7" hidden="1"/>
    <col min="515" max="515" width="16.85546875" style="7" hidden="1"/>
    <col min="516" max="516" width="9.7109375" style="7" hidden="1"/>
    <col min="517" max="517" width="9.85546875" style="7" hidden="1"/>
    <col min="518" max="518" width="7.7109375" style="7" hidden="1"/>
    <col min="519" max="519" width="12.85546875" style="7" hidden="1"/>
    <col min="520" max="520" width="13.85546875" style="7" hidden="1"/>
    <col min="521" max="521" width="9.85546875" style="7" hidden="1"/>
    <col min="522" max="522" width="14.7109375" style="7" hidden="1"/>
    <col min="523" max="523" width="16.42578125" style="7" hidden="1"/>
    <col min="524" max="526" width="13.85546875" style="7" hidden="1"/>
    <col min="527" max="527" width="12.85546875" style="7" hidden="1"/>
    <col min="528" max="528" width="14.140625" style="7" hidden="1"/>
    <col min="529" max="529" width="12.28515625" style="7" hidden="1"/>
    <col min="530" max="531" width="14.42578125" style="7" hidden="1"/>
    <col min="532" max="532" width="12.85546875" style="7" hidden="1"/>
    <col min="533" max="533" width="12.28515625" style="7" hidden="1"/>
    <col min="534" max="534" width="16.7109375" style="7" hidden="1"/>
    <col min="535" max="761" width="11.42578125" style="7" hidden="1"/>
    <col min="762" max="762" width="1.85546875" style="7" hidden="1"/>
    <col min="763" max="763" width="8" style="7" hidden="1"/>
    <col min="764" max="764" width="9.5703125" style="7" hidden="1"/>
    <col min="765" max="766" width="8" style="7" hidden="1"/>
    <col min="767" max="769" width="1.85546875" style="7" hidden="1"/>
    <col min="770" max="770" width="13.42578125" style="7" hidden="1"/>
    <col min="771" max="771" width="16.85546875" style="7" hidden="1"/>
    <col min="772" max="772" width="9.7109375" style="7" hidden="1"/>
    <col min="773" max="773" width="9.85546875" style="7" hidden="1"/>
    <col min="774" max="774" width="7.7109375" style="7" hidden="1"/>
    <col min="775" max="775" width="12.85546875" style="7" hidden="1"/>
    <col min="776" max="776" width="13.85546875" style="7" hidden="1"/>
    <col min="777" max="777" width="9.85546875" style="7" hidden="1"/>
    <col min="778" max="778" width="14.7109375" style="7" hidden="1"/>
    <col min="779" max="779" width="16.42578125" style="7" hidden="1"/>
    <col min="780" max="782" width="13.85546875" style="7" hidden="1"/>
    <col min="783" max="783" width="12.85546875" style="7" hidden="1"/>
    <col min="784" max="784" width="14.140625" style="7" hidden="1"/>
    <col min="785" max="785" width="12.28515625" style="7" hidden="1"/>
    <col min="786" max="787" width="14.42578125" style="7" hidden="1"/>
    <col min="788" max="788" width="12.85546875" style="7" hidden="1"/>
    <col min="789" max="789" width="12.28515625" style="7" hidden="1"/>
    <col min="790" max="790" width="16.7109375" style="7" hidden="1"/>
    <col min="791" max="1017" width="11.42578125" style="7" hidden="1"/>
    <col min="1018" max="1018" width="1.85546875" style="7" hidden="1"/>
    <col min="1019" max="1019" width="8" style="7" hidden="1"/>
    <col min="1020" max="1020" width="9.5703125" style="7" hidden="1"/>
    <col min="1021" max="1022" width="8" style="7" hidden="1"/>
    <col min="1023" max="1025" width="1.85546875" style="7" hidden="1"/>
    <col min="1026" max="1026" width="13.42578125" style="7" hidden="1"/>
    <col min="1027" max="1027" width="16.85546875" style="7" hidden="1"/>
    <col min="1028" max="1028" width="9.7109375" style="7" hidden="1"/>
    <col min="1029" max="1029" width="9.85546875" style="7" hidden="1"/>
    <col min="1030" max="1030" width="7.7109375" style="7" hidden="1"/>
    <col min="1031" max="1031" width="12.85546875" style="7" hidden="1"/>
    <col min="1032" max="1032" width="13.85546875" style="7" hidden="1"/>
    <col min="1033" max="1033" width="9.85546875" style="7" hidden="1"/>
    <col min="1034" max="1034" width="14.7109375" style="7" hidden="1"/>
    <col min="1035" max="1035" width="16.42578125" style="7" hidden="1"/>
    <col min="1036" max="1038" width="13.85546875" style="7" hidden="1"/>
    <col min="1039" max="1039" width="12.85546875" style="7" hidden="1"/>
    <col min="1040" max="1040" width="14.140625" style="7" hidden="1"/>
    <col min="1041" max="1041" width="12.28515625" style="7" hidden="1"/>
    <col min="1042" max="1043" width="14.42578125" style="7" hidden="1"/>
    <col min="1044" max="1044" width="12.85546875" style="7" hidden="1"/>
    <col min="1045" max="1045" width="12.28515625" style="7" hidden="1"/>
    <col min="1046" max="1046" width="16.7109375" style="7" hidden="1"/>
    <col min="1047" max="1273" width="11.42578125" style="7" hidden="1"/>
    <col min="1274" max="1274" width="1.85546875" style="7" hidden="1"/>
    <col min="1275" max="1275" width="8" style="7" hidden="1"/>
    <col min="1276" max="1276" width="9.5703125" style="7" hidden="1"/>
    <col min="1277" max="1278" width="8" style="7" hidden="1"/>
    <col min="1279" max="1281" width="1.85546875" style="7" hidden="1"/>
    <col min="1282" max="1282" width="13.42578125" style="7" hidden="1"/>
    <col min="1283" max="1283" width="16.85546875" style="7" hidden="1"/>
    <col min="1284" max="1284" width="9.7109375" style="7" hidden="1"/>
    <col min="1285" max="1285" width="9.85546875" style="7" hidden="1"/>
    <col min="1286" max="1286" width="7.7109375" style="7" hidden="1"/>
    <col min="1287" max="1287" width="12.85546875" style="7" hidden="1"/>
    <col min="1288" max="1288" width="13.85546875" style="7" hidden="1"/>
    <col min="1289" max="1289" width="9.85546875" style="7" hidden="1"/>
    <col min="1290" max="1290" width="14.7109375" style="7" hidden="1"/>
    <col min="1291" max="1291" width="16.42578125" style="7" hidden="1"/>
    <col min="1292" max="1294" width="13.85546875" style="7" hidden="1"/>
    <col min="1295" max="1295" width="12.85546875" style="7" hidden="1"/>
    <col min="1296" max="1296" width="14.140625" style="7" hidden="1"/>
    <col min="1297" max="1297" width="12.28515625" style="7" hidden="1"/>
    <col min="1298" max="1299" width="14.42578125" style="7" hidden="1"/>
    <col min="1300" max="1300" width="12.85546875" style="7" hidden="1"/>
    <col min="1301" max="1301" width="12.28515625" style="7" hidden="1"/>
    <col min="1302" max="1302" width="16.7109375" style="7" hidden="1"/>
    <col min="1303" max="1529" width="11.42578125" style="7" hidden="1"/>
    <col min="1530" max="1530" width="1.85546875" style="7" hidden="1"/>
    <col min="1531" max="1531" width="8" style="7" hidden="1"/>
    <col min="1532" max="1532" width="9.5703125" style="7" hidden="1"/>
    <col min="1533" max="1534" width="8" style="7" hidden="1"/>
    <col min="1535" max="1537" width="1.85546875" style="7" hidden="1"/>
    <col min="1538" max="1538" width="13.42578125" style="7" hidden="1"/>
    <col min="1539" max="1539" width="16.85546875" style="7" hidden="1"/>
    <col min="1540" max="1540" width="9.7109375" style="7" hidden="1"/>
    <col min="1541" max="1541" width="9.85546875" style="7" hidden="1"/>
    <col min="1542" max="1542" width="7.7109375" style="7" hidden="1"/>
    <col min="1543" max="1543" width="12.85546875" style="7" hidden="1"/>
    <col min="1544" max="1544" width="13.85546875" style="7" hidden="1"/>
    <col min="1545" max="1545" width="9.85546875" style="7" hidden="1"/>
    <col min="1546" max="1546" width="14.7109375" style="7" hidden="1"/>
    <col min="1547" max="1547" width="16.42578125" style="7" hidden="1"/>
    <col min="1548" max="1550" width="13.85546875" style="7" hidden="1"/>
    <col min="1551" max="1551" width="12.85546875" style="7" hidden="1"/>
    <col min="1552" max="1552" width="14.140625" style="7" hidden="1"/>
    <col min="1553" max="1553" width="12.28515625" style="7" hidden="1"/>
    <col min="1554" max="1555" width="14.42578125" style="7" hidden="1"/>
    <col min="1556" max="1556" width="12.85546875" style="7" hidden="1"/>
    <col min="1557" max="1557" width="12.28515625" style="7" hidden="1"/>
    <col min="1558" max="1558" width="16.7109375" style="7" hidden="1"/>
    <col min="1559" max="1785" width="11.42578125" style="7" hidden="1"/>
    <col min="1786" max="1786" width="1.85546875" style="7" hidden="1"/>
    <col min="1787" max="1787" width="8" style="7" hidden="1"/>
    <col min="1788" max="1788" width="9.5703125" style="7" hidden="1"/>
    <col min="1789" max="1790" width="8" style="7" hidden="1"/>
    <col min="1791" max="1793" width="1.85546875" style="7" hidden="1"/>
    <col min="1794" max="1794" width="13.42578125" style="7" hidden="1"/>
    <col min="1795" max="1795" width="16.85546875" style="7" hidden="1"/>
    <col min="1796" max="1796" width="9.7109375" style="7" hidden="1"/>
    <col min="1797" max="1797" width="9.85546875" style="7" hidden="1"/>
    <col min="1798" max="1798" width="7.7109375" style="7" hidden="1"/>
    <col min="1799" max="1799" width="12.85546875" style="7" hidden="1"/>
    <col min="1800" max="1800" width="13.85546875" style="7" hidden="1"/>
    <col min="1801" max="1801" width="9.85546875" style="7" hidden="1"/>
    <col min="1802" max="1802" width="14.7109375" style="7" hidden="1"/>
    <col min="1803" max="1803" width="16.42578125" style="7" hidden="1"/>
    <col min="1804" max="1806" width="13.85546875" style="7" hidden="1"/>
    <col min="1807" max="1807" width="12.85546875" style="7" hidden="1"/>
    <col min="1808" max="1808" width="14.140625" style="7" hidden="1"/>
    <col min="1809" max="1809" width="12.28515625" style="7" hidden="1"/>
    <col min="1810" max="1811" width="14.42578125" style="7" hidden="1"/>
    <col min="1812" max="1812" width="12.85546875" style="7" hidden="1"/>
    <col min="1813" max="1813" width="12.28515625" style="7" hidden="1"/>
    <col min="1814" max="1814" width="16.7109375" style="7" hidden="1"/>
    <col min="1815" max="2041" width="11.42578125" style="7" hidden="1"/>
    <col min="2042" max="2042" width="1.85546875" style="7" hidden="1"/>
    <col min="2043" max="2043" width="8" style="7" hidden="1"/>
    <col min="2044" max="2044" width="9.5703125" style="7" hidden="1"/>
    <col min="2045" max="2046" width="8" style="7" hidden="1"/>
    <col min="2047" max="2049" width="1.85546875" style="7" hidden="1"/>
    <col min="2050" max="2050" width="13.42578125" style="7" hidden="1"/>
    <col min="2051" max="2051" width="16.85546875" style="7" hidden="1"/>
    <col min="2052" max="2052" width="9.7109375" style="7" hidden="1"/>
    <col min="2053" max="2053" width="9.85546875" style="7" hidden="1"/>
    <col min="2054" max="2054" width="7.7109375" style="7" hidden="1"/>
    <col min="2055" max="2055" width="12.85546875" style="7" hidden="1"/>
    <col min="2056" max="2056" width="13.85546875" style="7" hidden="1"/>
    <col min="2057" max="2057" width="9.85546875" style="7" hidden="1"/>
    <col min="2058" max="2058" width="14.7109375" style="7" hidden="1"/>
    <col min="2059" max="2059" width="16.42578125" style="7" hidden="1"/>
    <col min="2060" max="2062" width="13.85546875" style="7" hidden="1"/>
    <col min="2063" max="2063" width="12.85546875" style="7" hidden="1"/>
    <col min="2064" max="2064" width="14.140625" style="7" hidden="1"/>
    <col min="2065" max="2065" width="12.28515625" style="7" hidden="1"/>
    <col min="2066" max="2067" width="14.42578125" style="7" hidden="1"/>
    <col min="2068" max="2068" width="12.85546875" style="7" hidden="1"/>
    <col min="2069" max="2069" width="12.28515625" style="7" hidden="1"/>
    <col min="2070" max="2070" width="16.7109375" style="7" hidden="1"/>
    <col min="2071" max="2297" width="11.42578125" style="7" hidden="1"/>
    <col min="2298" max="2298" width="1.85546875" style="7" hidden="1"/>
    <col min="2299" max="2299" width="8" style="7" hidden="1"/>
    <col min="2300" max="2300" width="9.5703125" style="7" hidden="1"/>
    <col min="2301" max="2302" width="8" style="7" hidden="1"/>
    <col min="2303" max="2305" width="1.85546875" style="7" hidden="1"/>
    <col min="2306" max="2306" width="13.42578125" style="7" hidden="1"/>
    <col min="2307" max="2307" width="16.85546875" style="7" hidden="1"/>
    <col min="2308" max="2308" width="9.7109375" style="7" hidden="1"/>
    <col min="2309" max="2309" width="9.85546875" style="7" hidden="1"/>
    <col min="2310" max="2310" width="7.7109375" style="7" hidden="1"/>
    <col min="2311" max="2311" width="12.85546875" style="7" hidden="1"/>
    <col min="2312" max="2312" width="13.85546875" style="7" hidden="1"/>
    <col min="2313" max="2313" width="9.85546875" style="7" hidden="1"/>
    <col min="2314" max="2314" width="14.7109375" style="7" hidden="1"/>
    <col min="2315" max="2315" width="16.42578125" style="7" hidden="1"/>
    <col min="2316" max="2318" width="13.85546875" style="7" hidden="1"/>
    <col min="2319" max="2319" width="12.85546875" style="7" hidden="1"/>
    <col min="2320" max="2320" width="14.140625" style="7" hidden="1"/>
    <col min="2321" max="2321" width="12.28515625" style="7" hidden="1"/>
    <col min="2322" max="2323" width="14.42578125" style="7" hidden="1"/>
    <col min="2324" max="2324" width="12.85546875" style="7" hidden="1"/>
    <col min="2325" max="2325" width="12.28515625" style="7" hidden="1"/>
    <col min="2326" max="2326" width="16.7109375" style="7" hidden="1"/>
    <col min="2327" max="2553" width="11.42578125" style="7" hidden="1"/>
    <col min="2554" max="2554" width="1.85546875" style="7" hidden="1"/>
    <col min="2555" max="2555" width="8" style="7" hidden="1"/>
    <col min="2556" max="2556" width="9.5703125" style="7" hidden="1"/>
    <col min="2557" max="2558" width="8" style="7" hidden="1"/>
    <col min="2559" max="2561" width="1.85546875" style="7" hidden="1"/>
    <col min="2562" max="2562" width="13.42578125" style="7" hidden="1"/>
    <col min="2563" max="2563" width="16.85546875" style="7" hidden="1"/>
    <col min="2564" max="2564" width="9.7109375" style="7" hidden="1"/>
    <col min="2565" max="2565" width="9.85546875" style="7" hidden="1"/>
    <col min="2566" max="2566" width="7.7109375" style="7" hidden="1"/>
    <col min="2567" max="2567" width="12.85546875" style="7" hidden="1"/>
    <col min="2568" max="2568" width="13.85546875" style="7" hidden="1"/>
    <col min="2569" max="2569" width="9.85546875" style="7" hidden="1"/>
    <col min="2570" max="2570" width="14.7109375" style="7" hidden="1"/>
    <col min="2571" max="2571" width="16.42578125" style="7" hidden="1"/>
    <col min="2572" max="2574" width="13.85546875" style="7" hidden="1"/>
    <col min="2575" max="2575" width="12.85546875" style="7" hidden="1"/>
    <col min="2576" max="2576" width="14.140625" style="7" hidden="1"/>
    <col min="2577" max="2577" width="12.28515625" style="7" hidden="1"/>
    <col min="2578" max="2579" width="14.42578125" style="7" hidden="1"/>
    <col min="2580" max="2580" width="12.85546875" style="7" hidden="1"/>
    <col min="2581" max="2581" width="12.28515625" style="7" hidden="1"/>
    <col min="2582" max="2582" width="16.7109375" style="7" hidden="1"/>
    <col min="2583" max="2809" width="11.42578125" style="7" hidden="1"/>
    <col min="2810" max="2810" width="1.85546875" style="7" hidden="1"/>
    <col min="2811" max="2811" width="8" style="7" hidden="1"/>
    <col min="2812" max="2812" width="9.5703125" style="7" hidden="1"/>
    <col min="2813" max="2814" width="8" style="7" hidden="1"/>
    <col min="2815" max="2817" width="1.85546875" style="7" hidden="1"/>
    <col min="2818" max="2818" width="13.42578125" style="7" hidden="1"/>
    <col min="2819" max="2819" width="16.85546875" style="7" hidden="1"/>
    <col min="2820" max="2820" width="9.7109375" style="7" hidden="1"/>
    <col min="2821" max="2821" width="9.85546875" style="7" hidden="1"/>
    <col min="2822" max="2822" width="7.7109375" style="7" hidden="1"/>
    <col min="2823" max="2823" width="12.85546875" style="7" hidden="1"/>
    <col min="2824" max="2824" width="13.85546875" style="7" hidden="1"/>
    <col min="2825" max="2825" width="9.85546875" style="7" hidden="1"/>
    <col min="2826" max="2826" width="14.7109375" style="7" hidden="1"/>
    <col min="2827" max="2827" width="16.42578125" style="7" hidden="1"/>
    <col min="2828" max="2830" width="13.85546875" style="7" hidden="1"/>
    <col min="2831" max="2831" width="12.85546875" style="7" hidden="1"/>
    <col min="2832" max="2832" width="14.140625" style="7" hidden="1"/>
    <col min="2833" max="2833" width="12.28515625" style="7" hidden="1"/>
    <col min="2834" max="2835" width="14.42578125" style="7" hidden="1"/>
    <col min="2836" max="2836" width="12.85546875" style="7" hidden="1"/>
    <col min="2837" max="2837" width="12.28515625" style="7" hidden="1"/>
    <col min="2838" max="2838" width="16.7109375" style="7" hidden="1"/>
    <col min="2839" max="3065" width="11.42578125" style="7" hidden="1"/>
    <col min="3066" max="3066" width="1.85546875" style="7" hidden="1"/>
    <col min="3067" max="3067" width="8" style="7" hidden="1"/>
    <col min="3068" max="3068" width="9.5703125" style="7" hidden="1"/>
    <col min="3069" max="3070" width="8" style="7" hidden="1"/>
    <col min="3071" max="3073" width="1.85546875" style="7" hidden="1"/>
    <col min="3074" max="3074" width="13.42578125" style="7" hidden="1"/>
    <col min="3075" max="3075" width="16.85546875" style="7" hidden="1"/>
    <col min="3076" max="3076" width="9.7109375" style="7" hidden="1"/>
    <col min="3077" max="3077" width="9.85546875" style="7" hidden="1"/>
    <col min="3078" max="3078" width="7.7109375" style="7" hidden="1"/>
    <col min="3079" max="3079" width="12.85546875" style="7" hidden="1"/>
    <col min="3080" max="3080" width="13.85546875" style="7" hidden="1"/>
    <col min="3081" max="3081" width="9.85546875" style="7" hidden="1"/>
    <col min="3082" max="3082" width="14.7109375" style="7" hidden="1"/>
    <col min="3083" max="3083" width="16.42578125" style="7" hidden="1"/>
    <col min="3084" max="3086" width="13.85546875" style="7" hidden="1"/>
    <col min="3087" max="3087" width="12.85546875" style="7" hidden="1"/>
    <col min="3088" max="3088" width="14.140625" style="7" hidden="1"/>
    <col min="3089" max="3089" width="12.28515625" style="7" hidden="1"/>
    <col min="3090" max="3091" width="14.42578125" style="7" hidden="1"/>
    <col min="3092" max="3092" width="12.85546875" style="7" hidden="1"/>
    <col min="3093" max="3093" width="12.28515625" style="7" hidden="1"/>
    <col min="3094" max="3094" width="16.7109375" style="7" hidden="1"/>
    <col min="3095" max="3321" width="11.42578125" style="7" hidden="1"/>
    <col min="3322" max="3322" width="1.85546875" style="7" hidden="1"/>
    <col min="3323" max="3323" width="8" style="7" hidden="1"/>
    <col min="3324" max="3324" width="9.5703125" style="7" hidden="1"/>
    <col min="3325" max="3326" width="8" style="7" hidden="1"/>
    <col min="3327" max="3329" width="1.85546875" style="7" hidden="1"/>
    <col min="3330" max="3330" width="13.42578125" style="7" hidden="1"/>
    <col min="3331" max="3331" width="16.85546875" style="7" hidden="1"/>
    <col min="3332" max="3332" width="9.7109375" style="7" hidden="1"/>
    <col min="3333" max="3333" width="9.85546875" style="7" hidden="1"/>
    <col min="3334" max="3334" width="7.7109375" style="7" hidden="1"/>
    <col min="3335" max="3335" width="12.85546875" style="7" hidden="1"/>
    <col min="3336" max="3336" width="13.85546875" style="7" hidden="1"/>
    <col min="3337" max="3337" width="9.85546875" style="7" hidden="1"/>
    <col min="3338" max="3338" width="14.7109375" style="7" hidden="1"/>
    <col min="3339" max="3339" width="16.42578125" style="7" hidden="1"/>
    <col min="3340" max="3342" width="13.85546875" style="7" hidden="1"/>
    <col min="3343" max="3343" width="12.85546875" style="7" hidden="1"/>
    <col min="3344" max="3344" width="14.140625" style="7" hidden="1"/>
    <col min="3345" max="3345" width="12.28515625" style="7" hidden="1"/>
    <col min="3346" max="3347" width="14.42578125" style="7" hidden="1"/>
    <col min="3348" max="3348" width="12.85546875" style="7" hidden="1"/>
    <col min="3349" max="3349" width="12.28515625" style="7" hidden="1"/>
    <col min="3350" max="3350" width="16.7109375" style="7" hidden="1"/>
    <col min="3351" max="3577" width="11.42578125" style="7" hidden="1"/>
    <col min="3578" max="3578" width="1.85546875" style="7" hidden="1"/>
    <col min="3579" max="3579" width="8" style="7" hidden="1"/>
    <col min="3580" max="3580" width="9.5703125" style="7" hidden="1"/>
    <col min="3581" max="3582" width="8" style="7" hidden="1"/>
    <col min="3583" max="3585" width="1.85546875" style="7" hidden="1"/>
    <col min="3586" max="3586" width="13.42578125" style="7" hidden="1"/>
    <col min="3587" max="3587" width="16.85546875" style="7" hidden="1"/>
    <col min="3588" max="3588" width="9.7109375" style="7" hidden="1"/>
    <col min="3589" max="3589" width="9.85546875" style="7" hidden="1"/>
    <col min="3590" max="3590" width="7.7109375" style="7" hidden="1"/>
    <col min="3591" max="3591" width="12.85546875" style="7" hidden="1"/>
    <col min="3592" max="3592" width="13.85546875" style="7" hidden="1"/>
    <col min="3593" max="3593" width="9.85546875" style="7" hidden="1"/>
    <col min="3594" max="3594" width="14.7109375" style="7" hidden="1"/>
    <col min="3595" max="3595" width="16.42578125" style="7" hidden="1"/>
    <col min="3596" max="3598" width="13.85546875" style="7" hidden="1"/>
    <col min="3599" max="3599" width="12.85546875" style="7" hidden="1"/>
    <col min="3600" max="3600" width="14.140625" style="7" hidden="1"/>
    <col min="3601" max="3601" width="12.28515625" style="7" hidden="1"/>
    <col min="3602" max="3603" width="14.42578125" style="7" hidden="1"/>
    <col min="3604" max="3604" width="12.85546875" style="7" hidden="1"/>
    <col min="3605" max="3605" width="12.28515625" style="7" hidden="1"/>
    <col min="3606" max="3606" width="16.7109375" style="7" hidden="1"/>
    <col min="3607" max="3833" width="11.42578125" style="7" hidden="1"/>
    <col min="3834" max="3834" width="1.85546875" style="7" hidden="1"/>
    <col min="3835" max="3835" width="8" style="7" hidden="1"/>
    <col min="3836" max="3836" width="9.5703125" style="7" hidden="1"/>
    <col min="3837" max="3838" width="8" style="7" hidden="1"/>
    <col min="3839" max="3841" width="1.85546875" style="7" hidden="1"/>
    <col min="3842" max="3842" width="13.42578125" style="7" hidden="1"/>
    <col min="3843" max="3843" width="16.85546875" style="7" hidden="1"/>
    <col min="3844" max="3844" width="9.7109375" style="7" hidden="1"/>
    <col min="3845" max="3845" width="9.85546875" style="7" hidden="1"/>
    <col min="3846" max="3846" width="7.7109375" style="7" hidden="1"/>
    <col min="3847" max="3847" width="12.85546875" style="7" hidden="1"/>
    <col min="3848" max="3848" width="13.85546875" style="7" hidden="1"/>
    <col min="3849" max="3849" width="9.85546875" style="7" hidden="1"/>
    <col min="3850" max="3850" width="14.7109375" style="7" hidden="1"/>
    <col min="3851" max="3851" width="16.42578125" style="7" hidden="1"/>
    <col min="3852" max="3854" width="13.85546875" style="7" hidden="1"/>
    <col min="3855" max="3855" width="12.85546875" style="7" hidden="1"/>
    <col min="3856" max="3856" width="14.140625" style="7" hidden="1"/>
    <col min="3857" max="3857" width="12.28515625" style="7" hidden="1"/>
    <col min="3858" max="3859" width="14.42578125" style="7" hidden="1"/>
    <col min="3860" max="3860" width="12.85546875" style="7" hidden="1"/>
    <col min="3861" max="3861" width="12.28515625" style="7" hidden="1"/>
    <col min="3862" max="3862" width="16.7109375" style="7" hidden="1"/>
    <col min="3863" max="4089" width="11.42578125" style="7" hidden="1"/>
    <col min="4090" max="4090" width="1.85546875" style="7" hidden="1"/>
    <col min="4091" max="4091" width="8" style="7" hidden="1"/>
    <col min="4092" max="4092" width="9.5703125" style="7" hidden="1"/>
    <col min="4093" max="4094" width="8" style="7" hidden="1"/>
    <col min="4095" max="4097" width="1.85546875" style="7" hidden="1"/>
    <col min="4098" max="4098" width="13.42578125" style="7" hidden="1"/>
    <col min="4099" max="4099" width="16.85546875" style="7" hidden="1"/>
    <col min="4100" max="4100" width="9.7109375" style="7" hidden="1"/>
    <col min="4101" max="4101" width="9.85546875" style="7" hidden="1"/>
    <col min="4102" max="4102" width="7.7109375" style="7" hidden="1"/>
    <col min="4103" max="4103" width="12.85546875" style="7" hidden="1"/>
    <col min="4104" max="4104" width="13.85546875" style="7" hidden="1"/>
    <col min="4105" max="4105" width="9.85546875" style="7" hidden="1"/>
    <col min="4106" max="4106" width="14.7109375" style="7" hidden="1"/>
    <col min="4107" max="4107" width="16.42578125" style="7" hidden="1"/>
    <col min="4108" max="4110" width="13.85546875" style="7" hidden="1"/>
    <col min="4111" max="4111" width="12.85546875" style="7" hidden="1"/>
    <col min="4112" max="4112" width="14.140625" style="7" hidden="1"/>
    <col min="4113" max="4113" width="12.28515625" style="7" hidden="1"/>
    <col min="4114" max="4115" width="14.42578125" style="7" hidden="1"/>
    <col min="4116" max="4116" width="12.85546875" style="7" hidden="1"/>
    <col min="4117" max="4117" width="12.28515625" style="7" hidden="1"/>
    <col min="4118" max="4118" width="16.7109375" style="7" hidden="1"/>
    <col min="4119" max="4345" width="11.42578125" style="7" hidden="1"/>
    <col min="4346" max="4346" width="1.85546875" style="7" hidden="1"/>
    <col min="4347" max="4347" width="8" style="7" hidden="1"/>
    <col min="4348" max="4348" width="9.5703125" style="7" hidden="1"/>
    <col min="4349" max="4350" width="8" style="7" hidden="1"/>
    <col min="4351" max="4353" width="1.85546875" style="7" hidden="1"/>
    <col min="4354" max="4354" width="13.42578125" style="7" hidden="1"/>
    <col min="4355" max="4355" width="16.85546875" style="7" hidden="1"/>
    <col min="4356" max="4356" width="9.7109375" style="7" hidden="1"/>
    <col min="4357" max="4357" width="9.85546875" style="7" hidden="1"/>
    <col min="4358" max="4358" width="7.7109375" style="7" hidden="1"/>
    <col min="4359" max="4359" width="12.85546875" style="7" hidden="1"/>
    <col min="4360" max="4360" width="13.85546875" style="7" hidden="1"/>
    <col min="4361" max="4361" width="9.85546875" style="7" hidden="1"/>
    <col min="4362" max="4362" width="14.7109375" style="7" hidden="1"/>
    <col min="4363" max="4363" width="16.42578125" style="7" hidden="1"/>
    <col min="4364" max="4366" width="13.85546875" style="7" hidden="1"/>
    <col min="4367" max="4367" width="12.85546875" style="7" hidden="1"/>
    <col min="4368" max="4368" width="14.140625" style="7" hidden="1"/>
    <col min="4369" max="4369" width="12.28515625" style="7" hidden="1"/>
    <col min="4370" max="4371" width="14.42578125" style="7" hidden="1"/>
    <col min="4372" max="4372" width="12.85546875" style="7" hidden="1"/>
    <col min="4373" max="4373" width="12.28515625" style="7" hidden="1"/>
    <col min="4374" max="4374" width="16.7109375" style="7" hidden="1"/>
    <col min="4375" max="4601" width="11.42578125" style="7" hidden="1"/>
    <col min="4602" max="4602" width="1.85546875" style="7" hidden="1"/>
    <col min="4603" max="4603" width="8" style="7" hidden="1"/>
    <col min="4604" max="4604" width="9.5703125" style="7" hidden="1"/>
    <col min="4605" max="4606" width="8" style="7" hidden="1"/>
    <col min="4607" max="4609" width="1.85546875" style="7" hidden="1"/>
    <col min="4610" max="4610" width="13.42578125" style="7" hidden="1"/>
    <col min="4611" max="4611" width="16.85546875" style="7" hidden="1"/>
    <col min="4612" max="4612" width="9.7109375" style="7" hidden="1"/>
    <col min="4613" max="4613" width="9.85546875" style="7" hidden="1"/>
    <col min="4614" max="4614" width="7.7109375" style="7" hidden="1"/>
    <col min="4615" max="4615" width="12.85546875" style="7" hidden="1"/>
    <col min="4616" max="4616" width="13.85546875" style="7" hidden="1"/>
    <col min="4617" max="4617" width="9.85546875" style="7" hidden="1"/>
    <col min="4618" max="4618" width="14.7109375" style="7" hidden="1"/>
    <col min="4619" max="4619" width="16.42578125" style="7" hidden="1"/>
    <col min="4620" max="4622" width="13.85546875" style="7" hidden="1"/>
    <col min="4623" max="4623" width="12.85546875" style="7" hidden="1"/>
    <col min="4624" max="4624" width="14.140625" style="7" hidden="1"/>
    <col min="4625" max="4625" width="12.28515625" style="7" hidden="1"/>
    <col min="4626" max="4627" width="14.42578125" style="7" hidden="1"/>
    <col min="4628" max="4628" width="12.85546875" style="7" hidden="1"/>
    <col min="4629" max="4629" width="12.28515625" style="7" hidden="1"/>
    <col min="4630" max="4630" width="16.7109375" style="7" hidden="1"/>
    <col min="4631" max="4857" width="11.42578125" style="7" hidden="1"/>
    <col min="4858" max="4858" width="1.85546875" style="7" hidden="1"/>
    <col min="4859" max="4859" width="8" style="7" hidden="1"/>
    <col min="4860" max="4860" width="9.5703125" style="7" hidden="1"/>
    <col min="4861" max="4862" width="8" style="7" hidden="1"/>
    <col min="4863" max="4865" width="1.85546875" style="7" hidden="1"/>
    <col min="4866" max="4866" width="13.42578125" style="7" hidden="1"/>
    <col min="4867" max="4867" width="16.85546875" style="7" hidden="1"/>
    <col min="4868" max="4868" width="9.7109375" style="7" hidden="1"/>
    <col min="4869" max="4869" width="9.85546875" style="7" hidden="1"/>
    <col min="4870" max="4870" width="7.7109375" style="7" hidden="1"/>
    <col min="4871" max="4871" width="12.85546875" style="7" hidden="1"/>
    <col min="4872" max="4872" width="13.85546875" style="7" hidden="1"/>
    <col min="4873" max="4873" width="9.85546875" style="7" hidden="1"/>
    <col min="4874" max="4874" width="14.7109375" style="7" hidden="1"/>
    <col min="4875" max="4875" width="16.42578125" style="7" hidden="1"/>
    <col min="4876" max="4878" width="13.85546875" style="7" hidden="1"/>
    <col min="4879" max="4879" width="12.85546875" style="7" hidden="1"/>
    <col min="4880" max="4880" width="14.140625" style="7" hidden="1"/>
    <col min="4881" max="4881" width="12.28515625" style="7" hidden="1"/>
    <col min="4882" max="4883" width="14.42578125" style="7" hidden="1"/>
    <col min="4884" max="4884" width="12.85546875" style="7" hidden="1"/>
    <col min="4885" max="4885" width="12.28515625" style="7" hidden="1"/>
    <col min="4886" max="4886" width="16.7109375" style="7" hidden="1"/>
    <col min="4887" max="5113" width="11.42578125" style="7" hidden="1"/>
    <col min="5114" max="5114" width="1.85546875" style="7" hidden="1"/>
    <col min="5115" max="5115" width="8" style="7" hidden="1"/>
    <col min="5116" max="5116" width="9.5703125" style="7" hidden="1"/>
    <col min="5117" max="5118" width="8" style="7" hidden="1"/>
    <col min="5119" max="5121" width="1.85546875" style="7" hidden="1"/>
    <col min="5122" max="5122" width="13.42578125" style="7" hidden="1"/>
    <col min="5123" max="5123" width="16.85546875" style="7" hidden="1"/>
    <col min="5124" max="5124" width="9.7109375" style="7" hidden="1"/>
    <col min="5125" max="5125" width="9.85546875" style="7" hidden="1"/>
    <col min="5126" max="5126" width="7.7109375" style="7" hidden="1"/>
    <col min="5127" max="5127" width="12.85546875" style="7" hidden="1"/>
    <col min="5128" max="5128" width="13.85546875" style="7" hidden="1"/>
    <col min="5129" max="5129" width="9.85546875" style="7" hidden="1"/>
    <col min="5130" max="5130" width="14.7109375" style="7" hidden="1"/>
    <col min="5131" max="5131" width="16.42578125" style="7" hidden="1"/>
    <col min="5132" max="5134" width="13.85546875" style="7" hidden="1"/>
    <col min="5135" max="5135" width="12.85546875" style="7" hidden="1"/>
    <col min="5136" max="5136" width="14.140625" style="7" hidden="1"/>
    <col min="5137" max="5137" width="12.28515625" style="7" hidden="1"/>
    <col min="5138" max="5139" width="14.42578125" style="7" hidden="1"/>
    <col min="5140" max="5140" width="12.85546875" style="7" hidden="1"/>
    <col min="5141" max="5141" width="12.28515625" style="7" hidden="1"/>
    <col min="5142" max="5142" width="16.7109375" style="7" hidden="1"/>
    <col min="5143" max="5369" width="11.42578125" style="7" hidden="1"/>
    <col min="5370" max="5370" width="1.85546875" style="7" hidden="1"/>
    <col min="5371" max="5371" width="8" style="7" hidden="1"/>
    <col min="5372" max="5372" width="9.5703125" style="7" hidden="1"/>
    <col min="5373" max="5374" width="8" style="7" hidden="1"/>
    <col min="5375" max="5377" width="1.85546875" style="7" hidden="1"/>
    <col min="5378" max="5378" width="13.42578125" style="7" hidden="1"/>
    <col min="5379" max="5379" width="16.85546875" style="7" hidden="1"/>
    <col min="5380" max="5380" width="9.7109375" style="7" hidden="1"/>
    <col min="5381" max="5381" width="9.85546875" style="7" hidden="1"/>
    <col min="5382" max="5382" width="7.7109375" style="7" hidden="1"/>
    <col min="5383" max="5383" width="12.85546875" style="7" hidden="1"/>
    <col min="5384" max="5384" width="13.85546875" style="7" hidden="1"/>
    <col min="5385" max="5385" width="9.85546875" style="7" hidden="1"/>
    <col min="5386" max="5386" width="14.7109375" style="7" hidden="1"/>
    <col min="5387" max="5387" width="16.42578125" style="7" hidden="1"/>
    <col min="5388" max="5390" width="13.85546875" style="7" hidden="1"/>
    <col min="5391" max="5391" width="12.85546875" style="7" hidden="1"/>
    <col min="5392" max="5392" width="14.140625" style="7" hidden="1"/>
    <col min="5393" max="5393" width="12.28515625" style="7" hidden="1"/>
    <col min="5394" max="5395" width="14.42578125" style="7" hidden="1"/>
    <col min="5396" max="5396" width="12.85546875" style="7" hidden="1"/>
    <col min="5397" max="5397" width="12.28515625" style="7" hidden="1"/>
    <col min="5398" max="5398" width="16.7109375" style="7" hidden="1"/>
    <col min="5399" max="5625" width="11.42578125" style="7" hidden="1"/>
    <col min="5626" max="5626" width="1.85546875" style="7" hidden="1"/>
    <col min="5627" max="5627" width="8" style="7" hidden="1"/>
    <col min="5628" max="5628" width="9.5703125" style="7" hidden="1"/>
    <col min="5629" max="5630" width="8" style="7" hidden="1"/>
    <col min="5631" max="5633" width="1.85546875" style="7" hidden="1"/>
    <col min="5634" max="5634" width="13.42578125" style="7" hidden="1"/>
    <col min="5635" max="5635" width="16.85546875" style="7" hidden="1"/>
    <col min="5636" max="5636" width="9.7109375" style="7" hidden="1"/>
    <col min="5637" max="5637" width="9.85546875" style="7" hidden="1"/>
    <col min="5638" max="5638" width="7.7109375" style="7" hidden="1"/>
    <col min="5639" max="5639" width="12.85546875" style="7" hidden="1"/>
    <col min="5640" max="5640" width="13.85546875" style="7" hidden="1"/>
    <col min="5641" max="5641" width="9.85546875" style="7" hidden="1"/>
    <col min="5642" max="5642" width="14.7109375" style="7" hidden="1"/>
    <col min="5643" max="5643" width="16.42578125" style="7" hidden="1"/>
    <col min="5644" max="5646" width="13.85546875" style="7" hidden="1"/>
    <col min="5647" max="5647" width="12.85546875" style="7" hidden="1"/>
    <col min="5648" max="5648" width="14.140625" style="7" hidden="1"/>
    <col min="5649" max="5649" width="12.28515625" style="7" hidden="1"/>
    <col min="5650" max="5651" width="14.42578125" style="7" hidden="1"/>
    <col min="5652" max="5652" width="12.85546875" style="7" hidden="1"/>
    <col min="5653" max="5653" width="12.28515625" style="7" hidden="1"/>
    <col min="5654" max="5654" width="16.7109375" style="7" hidden="1"/>
    <col min="5655" max="5881" width="11.42578125" style="7" hidden="1"/>
    <col min="5882" max="5882" width="1.85546875" style="7" hidden="1"/>
    <col min="5883" max="5883" width="8" style="7" hidden="1"/>
    <col min="5884" max="5884" width="9.5703125" style="7" hidden="1"/>
    <col min="5885" max="5886" width="8" style="7" hidden="1"/>
    <col min="5887" max="5889" width="1.85546875" style="7" hidden="1"/>
    <col min="5890" max="5890" width="13.42578125" style="7" hidden="1"/>
    <col min="5891" max="5891" width="16.85546875" style="7" hidden="1"/>
    <col min="5892" max="5892" width="9.7109375" style="7" hidden="1"/>
    <col min="5893" max="5893" width="9.85546875" style="7" hidden="1"/>
    <col min="5894" max="5894" width="7.7109375" style="7" hidden="1"/>
    <col min="5895" max="5895" width="12.85546875" style="7" hidden="1"/>
    <col min="5896" max="5896" width="13.85546875" style="7" hidden="1"/>
    <col min="5897" max="5897" width="9.85546875" style="7" hidden="1"/>
    <col min="5898" max="5898" width="14.7109375" style="7" hidden="1"/>
    <col min="5899" max="5899" width="16.42578125" style="7" hidden="1"/>
    <col min="5900" max="5902" width="13.85546875" style="7" hidden="1"/>
    <col min="5903" max="5903" width="12.85546875" style="7" hidden="1"/>
    <col min="5904" max="5904" width="14.140625" style="7" hidden="1"/>
    <col min="5905" max="5905" width="12.28515625" style="7" hidden="1"/>
    <col min="5906" max="5907" width="14.42578125" style="7" hidden="1"/>
    <col min="5908" max="5908" width="12.85546875" style="7" hidden="1"/>
    <col min="5909" max="5909" width="12.28515625" style="7" hidden="1"/>
    <col min="5910" max="5910" width="16.7109375" style="7" hidden="1"/>
    <col min="5911" max="6137" width="11.42578125" style="7" hidden="1"/>
    <col min="6138" max="6138" width="1.85546875" style="7" hidden="1"/>
    <col min="6139" max="6139" width="8" style="7" hidden="1"/>
    <col min="6140" max="6140" width="9.5703125" style="7" hidden="1"/>
    <col min="6141" max="6142" width="8" style="7" hidden="1"/>
    <col min="6143" max="6145" width="1.85546875" style="7" hidden="1"/>
    <col min="6146" max="6146" width="13.42578125" style="7" hidden="1"/>
    <col min="6147" max="6147" width="16.85546875" style="7" hidden="1"/>
    <col min="6148" max="6148" width="9.7109375" style="7" hidden="1"/>
    <col min="6149" max="6149" width="9.85546875" style="7" hidden="1"/>
    <col min="6150" max="6150" width="7.7109375" style="7" hidden="1"/>
    <col min="6151" max="6151" width="12.85546875" style="7" hidden="1"/>
    <col min="6152" max="6152" width="13.85546875" style="7" hidden="1"/>
    <col min="6153" max="6153" width="9.85546875" style="7" hidden="1"/>
    <col min="6154" max="6154" width="14.7109375" style="7" hidden="1"/>
    <col min="6155" max="6155" width="16.42578125" style="7" hidden="1"/>
    <col min="6156" max="6158" width="13.85546875" style="7" hidden="1"/>
    <col min="6159" max="6159" width="12.85546875" style="7" hidden="1"/>
    <col min="6160" max="6160" width="14.140625" style="7" hidden="1"/>
    <col min="6161" max="6161" width="12.28515625" style="7" hidden="1"/>
    <col min="6162" max="6163" width="14.42578125" style="7" hidden="1"/>
    <col min="6164" max="6164" width="12.85546875" style="7" hidden="1"/>
    <col min="6165" max="6165" width="12.28515625" style="7" hidden="1"/>
    <col min="6166" max="6166" width="16.7109375" style="7" hidden="1"/>
    <col min="6167" max="6393" width="11.42578125" style="7" hidden="1"/>
    <col min="6394" max="6394" width="1.85546875" style="7" hidden="1"/>
    <col min="6395" max="6395" width="8" style="7" hidden="1"/>
    <col min="6396" max="6396" width="9.5703125" style="7" hidden="1"/>
    <col min="6397" max="6398" width="8" style="7" hidden="1"/>
    <col min="6399" max="6401" width="1.85546875" style="7" hidden="1"/>
    <col min="6402" max="6402" width="13.42578125" style="7" hidden="1"/>
    <col min="6403" max="6403" width="16.85546875" style="7" hidden="1"/>
    <col min="6404" max="6404" width="9.7109375" style="7" hidden="1"/>
    <col min="6405" max="6405" width="9.85546875" style="7" hidden="1"/>
    <col min="6406" max="6406" width="7.7109375" style="7" hidden="1"/>
    <col min="6407" max="6407" width="12.85546875" style="7" hidden="1"/>
    <col min="6408" max="6408" width="13.85546875" style="7" hidden="1"/>
    <col min="6409" max="6409" width="9.85546875" style="7" hidden="1"/>
    <col min="6410" max="6410" width="14.7109375" style="7" hidden="1"/>
    <col min="6411" max="6411" width="16.42578125" style="7" hidden="1"/>
    <col min="6412" max="6414" width="13.85546875" style="7" hidden="1"/>
    <col min="6415" max="6415" width="12.85546875" style="7" hidden="1"/>
    <col min="6416" max="6416" width="14.140625" style="7" hidden="1"/>
    <col min="6417" max="6417" width="12.28515625" style="7" hidden="1"/>
    <col min="6418" max="6419" width="14.42578125" style="7" hidden="1"/>
    <col min="6420" max="6420" width="12.85546875" style="7" hidden="1"/>
    <col min="6421" max="6421" width="12.28515625" style="7" hidden="1"/>
    <col min="6422" max="6422" width="16.7109375" style="7" hidden="1"/>
    <col min="6423" max="6649" width="11.42578125" style="7" hidden="1"/>
    <col min="6650" max="6650" width="1.85546875" style="7" hidden="1"/>
    <col min="6651" max="6651" width="8" style="7" hidden="1"/>
    <col min="6652" max="6652" width="9.5703125" style="7" hidden="1"/>
    <col min="6653" max="6654" width="8" style="7" hidden="1"/>
    <col min="6655" max="6657" width="1.85546875" style="7" hidden="1"/>
    <col min="6658" max="6658" width="13.42578125" style="7" hidden="1"/>
    <col min="6659" max="6659" width="16.85546875" style="7" hidden="1"/>
    <col min="6660" max="6660" width="9.7109375" style="7" hidden="1"/>
    <col min="6661" max="6661" width="9.85546875" style="7" hidden="1"/>
    <col min="6662" max="6662" width="7.7109375" style="7" hidden="1"/>
    <col min="6663" max="6663" width="12.85546875" style="7" hidden="1"/>
    <col min="6664" max="6664" width="13.85546875" style="7" hidden="1"/>
    <col min="6665" max="6665" width="9.85546875" style="7" hidden="1"/>
    <col min="6666" max="6666" width="14.7109375" style="7" hidden="1"/>
    <col min="6667" max="6667" width="16.42578125" style="7" hidden="1"/>
    <col min="6668" max="6670" width="13.85546875" style="7" hidden="1"/>
    <col min="6671" max="6671" width="12.85546875" style="7" hidden="1"/>
    <col min="6672" max="6672" width="14.140625" style="7" hidden="1"/>
    <col min="6673" max="6673" width="12.28515625" style="7" hidden="1"/>
    <col min="6674" max="6675" width="14.42578125" style="7" hidden="1"/>
    <col min="6676" max="6676" width="12.85546875" style="7" hidden="1"/>
    <col min="6677" max="6677" width="12.28515625" style="7" hidden="1"/>
    <col min="6678" max="6678" width="16.7109375" style="7" hidden="1"/>
    <col min="6679" max="6905" width="11.42578125" style="7" hidden="1"/>
    <col min="6906" max="6906" width="1.85546875" style="7" hidden="1"/>
    <col min="6907" max="6907" width="8" style="7" hidden="1"/>
    <col min="6908" max="6908" width="9.5703125" style="7" hidden="1"/>
    <col min="6909" max="6910" width="8" style="7" hidden="1"/>
    <col min="6911" max="6913" width="1.85546875" style="7" hidden="1"/>
    <col min="6914" max="6914" width="13.42578125" style="7" hidden="1"/>
    <col min="6915" max="6915" width="16.85546875" style="7" hidden="1"/>
    <col min="6916" max="6916" width="9.7109375" style="7" hidden="1"/>
    <col min="6917" max="6917" width="9.85546875" style="7" hidden="1"/>
    <col min="6918" max="6918" width="7.7109375" style="7" hidden="1"/>
    <col min="6919" max="6919" width="12.85546875" style="7" hidden="1"/>
    <col min="6920" max="6920" width="13.85546875" style="7" hidden="1"/>
    <col min="6921" max="6921" width="9.85546875" style="7" hidden="1"/>
    <col min="6922" max="6922" width="14.7109375" style="7" hidden="1"/>
    <col min="6923" max="6923" width="16.42578125" style="7" hidden="1"/>
    <col min="6924" max="6926" width="13.85546875" style="7" hidden="1"/>
    <col min="6927" max="6927" width="12.85546875" style="7" hidden="1"/>
    <col min="6928" max="6928" width="14.140625" style="7" hidden="1"/>
    <col min="6929" max="6929" width="12.28515625" style="7" hidden="1"/>
    <col min="6930" max="6931" width="14.42578125" style="7" hidden="1"/>
    <col min="6932" max="6932" width="12.85546875" style="7" hidden="1"/>
    <col min="6933" max="6933" width="12.28515625" style="7" hidden="1"/>
    <col min="6934" max="6934" width="16.7109375" style="7" hidden="1"/>
    <col min="6935" max="7161" width="11.42578125" style="7" hidden="1"/>
    <col min="7162" max="7162" width="1.85546875" style="7" hidden="1"/>
    <col min="7163" max="7163" width="8" style="7" hidden="1"/>
    <col min="7164" max="7164" width="9.5703125" style="7" hidden="1"/>
    <col min="7165" max="7166" width="8" style="7" hidden="1"/>
    <col min="7167" max="7169" width="1.85546875" style="7" hidden="1"/>
    <col min="7170" max="7170" width="13.42578125" style="7" hidden="1"/>
    <col min="7171" max="7171" width="16.85546875" style="7" hidden="1"/>
    <col min="7172" max="7172" width="9.7109375" style="7" hidden="1"/>
    <col min="7173" max="7173" width="9.85546875" style="7" hidden="1"/>
    <col min="7174" max="7174" width="7.7109375" style="7" hidden="1"/>
    <col min="7175" max="7175" width="12.85546875" style="7" hidden="1"/>
    <col min="7176" max="7176" width="13.85546875" style="7" hidden="1"/>
    <col min="7177" max="7177" width="9.85546875" style="7" hidden="1"/>
    <col min="7178" max="7178" width="14.7109375" style="7" hidden="1"/>
    <col min="7179" max="7179" width="16.42578125" style="7" hidden="1"/>
    <col min="7180" max="7182" width="13.85546875" style="7" hidden="1"/>
    <col min="7183" max="7183" width="12.85546875" style="7" hidden="1"/>
    <col min="7184" max="7184" width="14.140625" style="7" hidden="1"/>
    <col min="7185" max="7185" width="12.28515625" style="7" hidden="1"/>
    <col min="7186" max="7187" width="14.42578125" style="7" hidden="1"/>
    <col min="7188" max="7188" width="12.85546875" style="7" hidden="1"/>
    <col min="7189" max="7189" width="12.28515625" style="7" hidden="1"/>
    <col min="7190" max="7190" width="16.7109375" style="7" hidden="1"/>
    <col min="7191" max="7417" width="11.42578125" style="7" hidden="1"/>
    <col min="7418" max="7418" width="1.85546875" style="7" hidden="1"/>
    <col min="7419" max="7419" width="8" style="7" hidden="1"/>
    <col min="7420" max="7420" width="9.5703125" style="7" hidden="1"/>
    <col min="7421" max="7422" width="8" style="7" hidden="1"/>
    <col min="7423" max="7425" width="1.85546875" style="7" hidden="1"/>
    <col min="7426" max="7426" width="13.42578125" style="7" hidden="1"/>
    <col min="7427" max="7427" width="16.85546875" style="7" hidden="1"/>
    <col min="7428" max="7428" width="9.7109375" style="7" hidden="1"/>
    <col min="7429" max="7429" width="9.85546875" style="7" hidden="1"/>
    <col min="7430" max="7430" width="7.7109375" style="7" hidden="1"/>
    <col min="7431" max="7431" width="12.85546875" style="7" hidden="1"/>
    <col min="7432" max="7432" width="13.85546875" style="7" hidden="1"/>
    <col min="7433" max="7433" width="9.85546875" style="7" hidden="1"/>
    <col min="7434" max="7434" width="14.7109375" style="7" hidden="1"/>
    <col min="7435" max="7435" width="16.42578125" style="7" hidden="1"/>
    <col min="7436" max="7438" width="13.85546875" style="7" hidden="1"/>
    <col min="7439" max="7439" width="12.85546875" style="7" hidden="1"/>
    <col min="7440" max="7440" width="14.140625" style="7" hidden="1"/>
    <col min="7441" max="7441" width="12.28515625" style="7" hidden="1"/>
    <col min="7442" max="7443" width="14.42578125" style="7" hidden="1"/>
    <col min="7444" max="7444" width="12.85546875" style="7" hidden="1"/>
    <col min="7445" max="7445" width="12.28515625" style="7" hidden="1"/>
    <col min="7446" max="7446" width="16.7109375" style="7" hidden="1"/>
    <col min="7447" max="7673" width="11.42578125" style="7" hidden="1"/>
    <col min="7674" max="7674" width="1.85546875" style="7" hidden="1"/>
    <col min="7675" max="7675" width="8" style="7" hidden="1"/>
    <col min="7676" max="7676" width="9.5703125" style="7" hidden="1"/>
    <col min="7677" max="7678" width="8" style="7" hidden="1"/>
    <col min="7679" max="7681" width="1.85546875" style="7" hidden="1"/>
    <col min="7682" max="7682" width="13.42578125" style="7" hidden="1"/>
    <col min="7683" max="7683" width="16.85546875" style="7" hidden="1"/>
    <col min="7684" max="7684" width="9.7109375" style="7" hidden="1"/>
    <col min="7685" max="7685" width="9.85546875" style="7" hidden="1"/>
    <col min="7686" max="7686" width="7.7109375" style="7" hidden="1"/>
    <col min="7687" max="7687" width="12.85546875" style="7" hidden="1"/>
    <col min="7688" max="7688" width="13.85546875" style="7" hidden="1"/>
    <col min="7689" max="7689" width="9.85546875" style="7" hidden="1"/>
    <col min="7690" max="7690" width="14.7109375" style="7" hidden="1"/>
    <col min="7691" max="7691" width="16.42578125" style="7" hidden="1"/>
    <col min="7692" max="7694" width="13.85546875" style="7" hidden="1"/>
    <col min="7695" max="7695" width="12.85546875" style="7" hidden="1"/>
    <col min="7696" max="7696" width="14.140625" style="7" hidden="1"/>
    <col min="7697" max="7697" width="12.28515625" style="7" hidden="1"/>
    <col min="7698" max="7699" width="14.42578125" style="7" hidden="1"/>
    <col min="7700" max="7700" width="12.85546875" style="7" hidden="1"/>
    <col min="7701" max="7701" width="12.28515625" style="7" hidden="1"/>
    <col min="7702" max="7702" width="16.7109375" style="7" hidden="1"/>
    <col min="7703" max="7929" width="11.42578125" style="7" hidden="1"/>
    <col min="7930" max="7930" width="1.85546875" style="7" hidden="1"/>
    <col min="7931" max="7931" width="8" style="7" hidden="1"/>
    <col min="7932" max="7932" width="9.5703125" style="7" hidden="1"/>
    <col min="7933" max="7934" width="8" style="7" hidden="1"/>
    <col min="7935" max="7937" width="1.85546875" style="7" hidden="1"/>
    <col min="7938" max="7938" width="13.42578125" style="7" hidden="1"/>
    <col min="7939" max="7939" width="16.85546875" style="7" hidden="1"/>
    <col min="7940" max="7940" width="9.7109375" style="7" hidden="1"/>
    <col min="7941" max="7941" width="9.85546875" style="7" hidden="1"/>
    <col min="7942" max="7942" width="7.7109375" style="7" hidden="1"/>
    <col min="7943" max="7943" width="12.85546875" style="7" hidden="1"/>
    <col min="7944" max="7944" width="13.85546875" style="7" hidden="1"/>
    <col min="7945" max="7945" width="9.85546875" style="7" hidden="1"/>
    <col min="7946" max="7946" width="14.7109375" style="7" hidden="1"/>
    <col min="7947" max="7947" width="16.42578125" style="7" hidden="1"/>
    <col min="7948" max="7950" width="13.85546875" style="7" hidden="1"/>
    <col min="7951" max="7951" width="12.85546875" style="7" hidden="1"/>
    <col min="7952" max="7952" width="14.140625" style="7" hidden="1"/>
    <col min="7953" max="7953" width="12.28515625" style="7" hidden="1"/>
    <col min="7954" max="7955" width="14.42578125" style="7" hidden="1"/>
    <col min="7956" max="7956" width="12.85546875" style="7" hidden="1"/>
    <col min="7957" max="7957" width="12.28515625" style="7" hidden="1"/>
    <col min="7958" max="7958" width="16.7109375" style="7" hidden="1"/>
    <col min="7959" max="8185" width="11.42578125" style="7" hidden="1"/>
    <col min="8186" max="8186" width="1.85546875" style="7" hidden="1"/>
    <col min="8187" max="8187" width="8" style="7" hidden="1"/>
    <col min="8188" max="8188" width="9.5703125" style="7" hidden="1"/>
    <col min="8189" max="8190" width="8" style="7" hidden="1"/>
    <col min="8191" max="8193" width="1.85546875" style="7" hidden="1"/>
    <col min="8194" max="8194" width="13.42578125" style="7" hidden="1"/>
    <col min="8195" max="8195" width="16.85546875" style="7" hidden="1"/>
    <col min="8196" max="8196" width="9.7109375" style="7" hidden="1"/>
    <col min="8197" max="8197" width="9.85546875" style="7" hidden="1"/>
    <col min="8198" max="8198" width="7.7109375" style="7" hidden="1"/>
    <col min="8199" max="8199" width="12.85546875" style="7" hidden="1"/>
    <col min="8200" max="8200" width="13.85546875" style="7" hidden="1"/>
    <col min="8201" max="8201" width="9.85546875" style="7" hidden="1"/>
    <col min="8202" max="8202" width="14.7109375" style="7" hidden="1"/>
    <col min="8203" max="8203" width="16.42578125" style="7" hidden="1"/>
    <col min="8204" max="8206" width="13.85546875" style="7" hidden="1"/>
    <col min="8207" max="8207" width="12.85546875" style="7" hidden="1"/>
    <col min="8208" max="8208" width="14.140625" style="7" hidden="1"/>
    <col min="8209" max="8209" width="12.28515625" style="7" hidden="1"/>
    <col min="8210" max="8211" width="14.42578125" style="7" hidden="1"/>
    <col min="8212" max="8212" width="12.85546875" style="7" hidden="1"/>
    <col min="8213" max="8213" width="12.28515625" style="7" hidden="1"/>
    <col min="8214" max="8214" width="16.7109375" style="7" hidden="1"/>
    <col min="8215" max="8441" width="11.42578125" style="7" hidden="1"/>
    <col min="8442" max="8442" width="1.85546875" style="7" hidden="1"/>
    <col min="8443" max="8443" width="8" style="7" hidden="1"/>
    <col min="8444" max="8444" width="9.5703125" style="7" hidden="1"/>
    <col min="8445" max="8446" width="8" style="7" hidden="1"/>
    <col min="8447" max="8449" width="1.85546875" style="7" hidden="1"/>
    <col min="8450" max="8450" width="13.42578125" style="7" hidden="1"/>
    <col min="8451" max="8451" width="16.85546875" style="7" hidden="1"/>
    <col min="8452" max="8452" width="9.7109375" style="7" hidden="1"/>
    <col min="8453" max="8453" width="9.85546875" style="7" hidden="1"/>
    <col min="8454" max="8454" width="7.7109375" style="7" hidden="1"/>
    <col min="8455" max="8455" width="12.85546875" style="7" hidden="1"/>
    <col min="8456" max="8456" width="13.85546875" style="7" hidden="1"/>
    <col min="8457" max="8457" width="9.85546875" style="7" hidden="1"/>
    <col min="8458" max="8458" width="14.7109375" style="7" hidden="1"/>
    <col min="8459" max="8459" width="16.42578125" style="7" hidden="1"/>
    <col min="8460" max="8462" width="13.85546875" style="7" hidden="1"/>
    <col min="8463" max="8463" width="12.85546875" style="7" hidden="1"/>
    <col min="8464" max="8464" width="14.140625" style="7" hidden="1"/>
    <col min="8465" max="8465" width="12.28515625" style="7" hidden="1"/>
    <col min="8466" max="8467" width="14.42578125" style="7" hidden="1"/>
    <col min="8468" max="8468" width="12.85546875" style="7" hidden="1"/>
    <col min="8469" max="8469" width="12.28515625" style="7" hidden="1"/>
    <col min="8470" max="8470" width="16.7109375" style="7" hidden="1"/>
    <col min="8471" max="8697" width="11.42578125" style="7" hidden="1"/>
    <col min="8698" max="8698" width="1.85546875" style="7" hidden="1"/>
    <col min="8699" max="8699" width="8" style="7" hidden="1"/>
    <col min="8700" max="8700" width="9.5703125" style="7" hidden="1"/>
    <col min="8701" max="8702" width="8" style="7" hidden="1"/>
    <col min="8703" max="8705" width="1.85546875" style="7" hidden="1"/>
    <col min="8706" max="8706" width="13.42578125" style="7" hidden="1"/>
    <col min="8707" max="8707" width="16.85546875" style="7" hidden="1"/>
    <col min="8708" max="8708" width="9.7109375" style="7" hidden="1"/>
    <col min="8709" max="8709" width="9.85546875" style="7" hidden="1"/>
    <col min="8710" max="8710" width="7.7109375" style="7" hidden="1"/>
    <col min="8711" max="8711" width="12.85546875" style="7" hidden="1"/>
    <col min="8712" max="8712" width="13.85546875" style="7" hidden="1"/>
    <col min="8713" max="8713" width="9.85546875" style="7" hidden="1"/>
    <col min="8714" max="8714" width="14.7109375" style="7" hidden="1"/>
    <col min="8715" max="8715" width="16.42578125" style="7" hidden="1"/>
    <col min="8716" max="8718" width="13.85546875" style="7" hidden="1"/>
    <col min="8719" max="8719" width="12.85546875" style="7" hidden="1"/>
    <col min="8720" max="8720" width="14.140625" style="7" hidden="1"/>
    <col min="8721" max="8721" width="12.28515625" style="7" hidden="1"/>
    <col min="8722" max="8723" width="14.42578125" style="7" hidden="1"/>
    <col min="8724" max="8724" width="12.85546875" style="7" hidden="1"/>
    <col min="8725" max="8725" width="12.28515625" style="7" hidden="1"/>
    <col min="8726" max="8726" width="16.7109375" style="7" hidden="1"/>
    <col min="8727" max="8953" width="11.42578125" style="7" hidden="1"/>
    <col min="8954" max="8954" width="1.85546875" style="7" hidden="1"/>
    <col min="8955" max="8955" width="8" style="7" hidden="1"/>
    <col min="8956" max="8956" width="9.5703125" style="7" hidden="1"/>
    <col min="8957" max="8958" width="8" style="7" hidden="1"/>
    <col min="8959" max="8961" width="1.85546875" style="7" hidden="1"/>
    <col min="8962" max="8962" width="13.42578125" style="7" hidden="1"/>
    <col min="8963" max="8963" width="16.85546875" style="7" hidden="1"/>
    <col min="8964" max="8964" width="9.7109375" style="7" hidden="1"/>
    <col min="8965" max="8965" width="9.85546875" style="7" hidden="1"/>
    <col min="8966" max="8966" width="7.7109375" style="7" hidden="1"/>
    <col min="8967" max="8967" width="12.85546875" style="7" hidden="1"/>
    <col min="8968" max="8968" width="13.85546875" style="7" hidden="1"/>
    <col min="8969" max="8969" width="9.85546875" style="7" hidden="1"/>
    <col min="8970" max="8970" width="14.7109375" style="7" hidden="1"/>
    <col min="8971" max="8971" width="16.42578125" style="7" hidden="1"/>
    <col min="8972" max="8974" width="13.85546875" style="7" hidden="1"/>
    <col min="8975" max="8975" width="12.85546875" style="7" hidden="1"/>
    <col min="8976" max="8976" width="14.140625" style="7" hidden="1"/>
    <col min="8977" max="8977" width="12.28515625" style="7" hidden="1"/>
    <col min="8978" max="8979" width="14.42578125" style="7" hidden="1"/>
    <col min="8980" max="8980" width="12.85546875" style="7" hidden="1"/>
    <col min="8981" max="8981" width="12.28515625" style="7" hidden="1"/>
    <col min="8982" max="8982" width="16.7109375" style="7" hidden="1"/>
    <col min="8983" max="9209" width="11.42578125" style="7" hidden="1"/>
    <col min="9210" max="9210" width="1.85546875" style="7" hidden="1"/>
    <col min="9211" max="9211" width="8" style="7" hidden="1"/>
    <col min="9212" max="9212" width="9.5703125" style="7" hidden="1"/>
    <col min="9213" max="9214" width="8" style="7" hidden="1"/>
    <col min="9215" max="9217" width="1.85546875" style="7" hidden="1"/>
    <col min="9218" max="9218" width="13.42578125" style="7" hidden="1"/>
    <col min="9219" max="9219" width="16.85546875" style="7" hidden="1"/>
    <col min="9220" max="9220" width="9.7109375" style="7" hidden="1"/>
    <col min="9221" max="9221" width="9.85546875" style="7" hidden="1"/>
    <col min="9222" max="9222" width="7.7109375" style="7" hidden="1"/>
    <col min="9223" max="9223" width="12.85546875" style="7" hidden="1"/>
    <col min="9224" max="9224" width="13.85546875" style="7" hidden="1"/>
    <col min="9225" max="9225" width="9.85546875" style="7" hidden="1"/>
    <col min="9226" max="9226" width="14.7109375" style="7" hidden="1"/>
    <col min="9227" max="9227" width="16.42578125" style="7" hidden="1"/>
    <col min="9228" max="9230" width="13.85546875" style="7" hidden="1"/>
    <col min="9231" max="9231" width="12.85546875" style="7" hidden="1"/>
    <col min="9232" max="9232" width="14.140625" style="7" hidden="1"/>
    <col min="9233" max="9233" width="12.28515625" style="7" hidden="1"/>
    <col min="9234" max="9235" width="14.42578125" style="7" hidden="1"/>
    <col min="9236" max="9236" width="12.85546875" style="7" hidden="1"/>
    <col min="9237" max="9237" width="12.28515625" style="7" hidden="1"/>
    <col min="9238" max="9238" width="16.7109375" style="7" hidden="1"/>
    <col min="9239" max="9465" width="11.42578125" style="7" hidden="1"/>
    <col min="9466" max="9466" width="1.85546875" style="7" hidden="1"/>
    <col min="9467" max="9467" width="8" style="7" hidden="1"/>
    <col min="9468" max="9468" width="9.5703125" style="7" hidden="1"/>
    <col min="9469" max="9470" width="8" style="7" hidden="1"/>
    <col min="9471" max="9473" width="1.85546875" style="7" hidden="1"/>
    <col min="9474" max="9474" width="13.42578125" style="7" hidden="1"/>
    <col min="9475" max="9475" width="16.85546875" style="7" hidden="1"/>
    <col min="9476" max="9476" width="9.7109375" style="7" hidden="1"/>
    <col min="9477" max="9477" width="9.85546875" style="7" hidden="1"/>
    <col min="9478" max="9478" width="7.7109375" style="7" hidden="1"/>
    <col min="9479" max="9479" width="12.85546875" style="7" hidden="1"/>
    <col min="9480" max="9480" width="13.85546875" style="7" hidden="1"/>
    <col min="9481" max="9481" width="9.85546875" style="7" hidden="1"/>
    <col min="9482" max="9482" width="14.7109375" style="7" hidden="1"/>
    <col min="9483" max="9483" width="16.42578125" style="7" hidden="1"/>
    <col min="9484" max="9486" width="13.85546875" style="7" hidden="1"/>
    <col min="9487" max="9487" width="12.85546875" style="7" hidden="1"/>
    <col min="9488" max="9488" width="14.140625" style="7" hidden="1"/>
    <col min="9489" max="9489" width="12.28515625" style="7" hidden="1"/>
    <col min="9490" max="9491" width="14.42578125" style="7" hidden="1"/>
    <col min="9492" max="9492" width="12.85546875" style="7" hidden="1"/>
    <col min="9493" max="9493" width="12.28515625" style="7" hidden="1"/>
    <col min="9494" max="9494" width="16.7109375" style="7" hidden="1"/>
    <col min="9495" max="9721" width="11.42578125" style="7" hidden="1"/>
    <col min="9722" max="9722" width="1.85546875" style="7" hidden="1"/>
    <col min="9723" max="9723" width="8" style="7" hidden="1"/>
    <col min="9724" max="9724" width="9.5703125" style="7" hidden="1"/>
    <col min="9725" max="9726" width="8" style="7" hidden="1"/>
    <col min="9727" max="9729" width="1.85546875" style="7" hidden="1"/>
    <col min="9730" max="9730" width="13.42578125" style="7" hidden="1"/>
    <col min="9731" max="9731" width="16.85546875" style="7" hidden="1"/>
    <col min="9732" max="9732" width="9.7109375" style="7" hidden="1"/>
    <col min="9733" max="9733" width="9.85546875" style="7" hidden="1"/>
    <col min="9734" max="9734" width="7.7109375" style="7" hidden="1"/>
    <col min="9735" max="9735" width="12.85546875" style="7" hidden="1"/>
    <col min="9736" max="9736" width="13.85546875" style="7" hidden="1"/>
    <col min="9737" max="9737" width="9.85546875" style="7" hidden="1"/>
    <col min="9738" max="9738" width="14.7109375" style="7" hidden="1"/>
    <col min="9739" max="9739" width="16.42578125" style="7" hidden="1"/>
    <col min="9740" max="9742" width="13.85546875" style="7" hidden="1"/>
    <col min="9743" max="9743" width="12.85546875" style="7" hidden="1"/>
    <col min="9744" max="9744" width="14.140625" style="7" hidden="1"/>
    <col min="9745" max="9745" width="12.28515625" style="7" hidden="1"/>
    <col min="9746" max="9747" width="14.42578125" style="7" hidden="1"/>
    <col min="9748" max="9748" width="12.85546875" style="7" hidden="1"/>
    <col min="9749" max="9749" width="12.28515625" style="7" hidden="1"/>
    <col min="9750" max="9750" width="16.7109375" style="7" hidden="1"/>
    <col min="9751" max="9977" width="11.42578125" style="7" hidden="1"/>
    <col min="9978" max="9978" width="1.85546875" style="7" hidden="1"/>
    <col min="9979" max="9979" width="8" style="7" hidden="1"/>
    <col min="9980" max="9980" width="9.5703125" style="7" hidden="1"/>
    <col min="9981" max="9982" width="8" style="7" hidden="1"/>
    <col min="9983" max="9985" width="1.85546875" style="7" hidden="1"/>
    <col min="9986" max="9986" width="13.42578125" style="7" hidden="1"/>
    <col min="9987" max="9987" width="16.85546875" style="7" hidden="1"/>
    <col min="9988" max="9988" width="9.7109375" style="7" hidden="1"/>
    <col min="9989" max="9989" width="9.85546875" style="7" hidden="1"/>
    <col min="9990" max="9990" width="7.7109375" style="7" hidden="1"/>
    <col min="9991" max="9991" width="12.85546875" style="7" hidden="1"/>
    <col min="9992" max="9992" width="13.85546875" style="7" hidden="1"/>
    <col min="9993" max="9993" width="9.85546875" style="7" hidden="1"/>
    <col min="9994" max="9994" width="14.7109375" style="7" hidden="1"/>
    <col min="9995" max="9995" width="16.42578125" style="7" hidden="1"/>
    <col min="9996" max="9998" width="13.85546875" style="7" hidden="1"/>
    <col min="9999" max="9999" width="12.85546875" style="7" hidden="1"/>
    <col min="10000" max="10000" width="14.140625" style="7" hidden="1"/>
    <col min="10001" max="10001" width="12.28515625" style="7" hidden="1"/>
    <col min="10002" max="10003" width="14.42578125" style="7" hidden="1"/>
    <col min="10004" max="10004" width="12.85546875" style="7" hidden="1"/>
    <col min="10005" max="10005" width="12.28515625" style="7" hidden="1"/>
    <col min="10006" max="10006" width="16.7109375" style="7" hidden="1"/>
    <col min="10007" max="10233" width="11.42578125" style="7" hidden="1"/>
    <col min="10234" max="10234" width="1.85546875" style="7" hidden="1"/>
    <col min="10235" max="10235" width="8" style="7" hidden="1"/>
    <col min="10236" max="10236" width="9.5703125" style="7" hidden="1"/>
    <col min="10237" max="10238" width="8" style="7" hidden="1"/>
    <col min="10239" max="10241" width="1.85546875" style="7" hidden="1"/>
    <col min="10242" max="10242" width="13.42578125" style="7" hidden="1"/>
    <col min="10243" max="10243" width="16.85546875" style="7" hidden="1"/>
    <col min="10244" max="10244" width="9.7109375" style="7" hidden="1"/>
    <col min="10245" max="10245" width="9.85546875" style="7" hidden="1"/>
    <col min="10246" max="10246" width="7.7109375" style="7" hidden="1"/>
    <col min="10247" max="10247" width="12.85546875" style="7" hidden="1"/>
    <col min="10248" max="10248" width="13.85546875" style="7" hidden="1"/>
    <col min="10249" max="10249" width="9.85546875" style="7" hidden="1"/>
    <col min="10250" max="10250" width="14.7109375" style="7" hidden="1"/>
    <col min="10251" max="10251" width="16.42578125" style="7" hidden="1"/>
    <col min="10252" max="10254" width="13.85546875" style="7" hidden="1"/>
    <col min="10255" max="10255" width="12.85546875" style="7" hidden="1"/>
    <col min="10256" max="10256" width="14.140625" style="7" hidden="1"/>
    <col min="10257" max="10257" width="12.28515625" style="7" hidden="1"/>
    <col min="10258" max="10259" width="14.42578125" style="7" hidden="1"/>
    <col min="10260" max="10260" width="12.85546875" style="7" hidden="1"/>
    <col min="10261" max="10261" width="12.28515625" style="7" hidden="1"/>
    <col min="10262" max="10262" width="16.7109375" style="7" hidden="1"/>
    <col min="10263" max="10489" width="11.42578125" style="7" hidden="1"/>
    <col min="10490" max="10490" width="1.85546875" style="7" hidden="1"/>
    <col min="10491" max="10491" width="8" style="7" hidden="1"/>
    <col min="10492" max="10492" width="9.5703125" style="7" hidden="1"/>
    <col min="10493" max="10494" width="8" style="7" hidden="1"/>
    <col min="10495" max="10497" width="1.85546875" style="7" hidden="1"/>
    <col min="10498" max="10498" width="13.42578125" style="7" hidden="1"/>
    <col min="10499" max="10499" width="16.85546875" style="7" hidden="1"/>
    <col min="10500" max="10500" width="9.7109375" style="7" hidden="1"/>
    <col min="10501" max="10501" width="9.85546875" style="7" hidden="1"/>
    <col min="10502" max="10502" width="7.7109375" style="7" hidden="1"/>
    <col min="10503" max="10503" width="12.85546875" style="7" hidden="1"/>
    <col min="10504" max="10504" width="13.85546875" style="7" hidden="1"/>
    <col min="10505" max="10505" width="9.85546875" style="7" hidden="1"/>
    <col min="10506" max="10506" width="14.7109375" style="7" hidden="1"/>
    <col min="10507" max="10507" width="16.42578125" style="7" hidden="1"/>
    <col min="10508" max="10510" width="13.85546875" style="7" hidden="1"/>
    <col min="10511" max="10511" width="12.85546875" style="7" hidden="1"/>
    <col min="10512" max="10512" width="14.140625" style="7" hidden="1"/>
    <col min="10513" max="10513" width="12.28515625" style="7" hidden="1"/>
    <col min="10514" max="10515" width="14.42578125" style="7" hidden="1"/>
    <col min="10516" max="10516" width="12.85546875" style="7" hidden="1"/>
    <col min="10517" max="10517" width="12.28515625" style="7" hidden="1"/>
    <col min="10518" max="10518" width="16.7109375" style="7" hidden="1"/>
    <col min="10519" max="10745" width="11.42578125" style="7" hidden="1"/>
    <col min="10746" max="10746" width="1.85546875" style="7" hidden="1"/>
    <col min="10747" max="10747" width="8" style="7" hidden="1"/>
    <col min="10748" max="10748" width="9.5703125" style="7" hidden="1"/>
    <col min="10749" max="10750" width="8" style="7" hidden="1"/>
    <col min="10751" max="10753" width="1.85546875" style="7" hidden="1"/>
    <col min="10754" max="10754" width="13.42578125" style="7" hidden="1"/>
    <col min="10755" max="10755" width="16.85546875" style="7" hidden="1"/>
    <col min="10756" max="10756" width="9.7109375" style="7" hidden="1"/>
    <col min="10757" max="10757" width="9.85546875" style="7" hidden="1"/>
    <col min="10758" max="10758" width="7.7109375" style="7" hidden="1"/>
    <col min="10759" max="10759" width="12.85546875" style="7" hidden="1"/>
    <col min="10760" max="10760" width="13.85546875" style="7" hidden="1"/>
    <col min="10761" max="10761" width="9.85546875" style="7" hidden="1"/>
    <col min="10762" max="10762" width="14.7109375" style="7" hidden="1"/>
    <col min="10763" max="10763" width="16.42578125" style="7" hidden="1"/>
    <col min="10764" max="10766" width="13.85546875" style="7" hidden="1"/>
    <col min="10767" max="10767" width="12.85546875" style="7" hidden="1"/>
    <col min="10768" max="10768" width="14.140625" style="7" hidden="1"/>
    <col min="10769" max="10769" width="12.28515625" style="7" hidden="1"/>
    <col min="10770" max="10771" width="14.42578125" style="7" hidden="1"/>
    <col min="10772" max="10772" width="12.85546875" style="7" hidden="1"/>
    <col min="10773" max="10773" width="12.28515625" style="7" hidden="1"/>
    <col min="10774" max="10774" width="16.7109375" style="7" hidden="1"/>
    <col min="10775" max="11001" width="11.42578125" style="7" hidden="1"/>
    <col min="11002" max="11002" width="1.85546875" style="7" hidden="1"/>
    <col min="11003" max="11003" width="8" style="7" hidden="1"/>
    <col min="11004" max="11004" width="9.5703125" style="7" hidden="1"/>
    <col min="11005" max="11006" width="8" style="7" hidden="1"/>
    <col min="11007" max="11009" width="1.85546875" style="7" hidden="1"/>
    <col min="11010" max="11010" width="13.42578125" style="7" hidden="1"/>
    <col min="11011" max="11011" width="16.85546875" style="7" hidden="1"/>
    <col min="11012" max="11012" width="9.7109375" style="7" hidden="1"/>
    <col min="11013" max="11013" width="9.85546875" style="7" hidden="1"/>
    <col min="11014" max="11014" width="7.7109375" style="7" hidden="1"/>
    <col min="11015" max="11015" width="12.85546875" style="7" hidden="1"/>
    <col min="11016" max="11016" width="13.85546875" style="7" hidden="1"/>
    <col min="11017" max="11017" width="9.85546875" style="7" hidden="1"/>
    <col min="11018" max="11018" width="14.7109375" style="7" hidden="1"/>
    <col min="11019" max="11019" width="16.42578125" style="7" hidden="1"/>
    <col min="11020" max="11022" width="13.85546875" style="7" hidden="1"/>
    <col min="11023" max="11023" width="12.85546875" style="7" hidden="1"/>
    <col min="11024" max="11024" width="14.140625" style="7" hidden="1"/>
    <col min="11025" max="11025" width="12.28515625" style="7" hidden="1"/>
    <col min="11026" max="11027" width="14.42578125" style="7" hidden="1"/>
    <col min="11028" max="11028" width="12.85546875" style="7" hidden="1"/>
    <col min="11029" max="11029" width="12.28515625" style="7" hidden="1"/>
    <col min="11030" max="11030" width="16.7109375" style="7" hidden="1"/>
    <col min="11031" max="11257" width="11.42578125" style="7" hidden="1"/>
    <col min="11258" max="11258" width="1.85546875" style="7" hidden="1"/>
    <col min="11259" max="11259" width="8" style="7" hidden="1"/>
    <col min="11260" max="11260" width="9.5703125" style="7" hidden="1"/>
    <col min="11261" max="11262" width="8" style="7" hidden="1"/>
    <col min="11263" max="11265" width="1.85546875" style="7" hidden="1"/>
    <col min="11266" max="11266" width="13.42578125" style="7" hidden="1"/>
    <col min="11267" max="11267" width="16.85546875" style="7" hidden="1"/>
    <col min="11268" max="11268" width="9.7109375" style="7" hidden="1"/>
    <col min="11269" max="11269" width="9.85546875" style="7" hidden="1"/>
    <col min="11270" max="11270" width="7.7109375" style="7" hidden="1"/>
    <col min="11271" max="11271" width="12.85546875" style="7" hidden="1"/>
    <col min="11272" max="11272" width="13.85546875" style="7" hidden="1"/>
    <col min="11273" max="11273" width="9.85546875" style="7" hidden="1"/>
    <col min="11274" max="11274" width="14.7109375" style="7" hidden="1"/>
    <col min="11275" max="11275" width="16.42578125" style="7" hidden="1"/>
    <col min="11276" max="11278" width="13.85546875" style="7" hidden="1"/>
    <col min="11279" max="11279" width="12.85546875" style="7" hidden="1"/>
    <col min="11280" max="11280" width="14.140625" style="7" hidden="1"/>
    <col min="11281" max="11281" width="12.28515625" style="7" hidden="1"/>
    <col min="11282" max="11283" width="14.42578125" style="7" hidden="1"/>
    <col min="11284" max="11284" width="12.85546875" style="7" hidden="1"/>
    <col min="11285" max="11285" width="12.28515625" style="7" hidden="1"/>
    <col min="11286" max="11286" width="16.7109375" style="7" hidden="1"/>
    <col min="11287" max="11513" width="11.42578125" style="7" hidden="1"/>
    <col min="11514" max="11514" width="1.85546875" style="7" hidden="1"/>
    <col min="11515" max="11515" width="8" style="7" hidden="1"/>
    <col min="11516" max="11516" width="9.5703125" style="7" hidden="1"/>
    <col min="11517" max="11518" width="8" style="7" hidden="1"/>
    <col min="11519" max="11521" width="1.85546875" style="7" hidden="1"/>
    <col min="11522" max="11522" width="13.42578125" style="7" hidden="1"/>
    <col min="11523" max="11523" width="16.85546875" style="7" hidden="1"/>
    <col min="11524" max="11524" width="9.7109375" style="7" hidden="1"/>
    <col min="11525" max="11525" width="9.85546875" style="7" hidden="1"/>
    <col min="11526" max="11526" width="7.7109375" style="7" hidden="1"/>
    <col min="11527" max="11527" width="12.85546875" style="7" hidden="1"/>
    <col min="11528" max="11528" width="13.85546875" style="7" hidden="1"/>
    <col min="11529" max="11529" width="9.85546875" style="7" hidden="1"/>
    <col min="11530" max="11530" width="14.7109375" style="7" hidden="1"/>
    <col min="11531" max="11531" width="16.42578125" style="7" hidden="1"/>
    <col min="11532" max="11534" width="13.85546875" style="7" hidden="1"/>
    <col min="11535" max="11535" width="12.85546875" style="7" hidden="1"/>
    <col min="11536" max="11536" width="14.140625" style="7" hidden="1"/>
    <col min="11537" max="11537" width="12.28515625" style="7" hidden="1"/>
    <col min="11538" max="11539" width="14.42578125" style="7" hidden="1"/>
    <col min="11540" max="11540" width="12.85546875" style="7" hidden="1"/>
    <col min="11541" max="11541" width="12.28515625" style="7" hidden="1"/>
    <col min="11542" max="11542" width="16.7109375" style="7" hidden="1"/>
    <col min="11543" max="11769" width="11.42578125" style="7" hidden="1"/>
    <col min="11770" max="11770" width="1.85546875" style="7" hidden="1"/>
    <col min="11771" max="11771" width="8" style="7" hidden="1"/>
    <col min="11772" max="11772" width="9.5703125" style="7" hidden="1"/>
    <col min="11773" max="11774" width="8" style="7" hidden="1"/>
    <col min="11775" max="11777" width="1.85546875" style="7" hidden="1"/>
    <col min="11778" max="11778" width="13.42578125" style="7" hidden="1"/>
    <col min="11779" max="11779" width="16.85546875" style="7" hidden="1"/>
    <col min="11780" max="11780" width="9.7109375" style="7" hidden="1"/>
    <col min="11781" max="11781" width="9.85546875" style="7" hidden="1"/>
    <col min="11782" max="11782" width="7.7109375" style="7" hidden="1"/>
    <col min="11783" max="11783" width="12.85546875" style="7" hidden="1"/>
    <col min="11784" max="11784" width="13.85546875" style="7" hidden="1"/>
    <col min="11785" max="11785" width="9.85546875" style="7" hidden="1"/>
    <col min="11786" max="11786" width="14.7109375" style="7" hidden="1"/>
    <col min="11787" max="11787" width="16.42578125" style="7" hidden="1"/>
    <col min="11788" max="11790" width="13.85546875" style="7" hidden="1"/>
    <col min="11791" max="11791" width="12.85546875" style="7" hidden="1"/>
    <col min="11792" max="11792" width="14.140625" style="7" hidden="1"/>
    <col min="11793" max="11793" width="12.28515625" style="7" hidden="1"/>
    <col min="11794" max="11795" width="14.42578125" style="7" hidden="1"/>
    <col min="11796" max="11796" width="12.85546875" style="7" hidden="1"/>
    <col min="11797" max="11797" width="12.28515625" style="7" hidden="1"/>
    <col min="11798" max="11798" width="16.7109375" style="7" hidden="1"/>
    <col min="11799" max="12025" width="11.42578125" style="7" hidden="1"/>
    <col min="12026" max="12026" width="1.85546875" style="7" hidden="1"/>
    <col min="12027" max="12027" width="8" style="7" hidden="1"/>
    <col min="12028" max="12028" width="9.5703125" style="7" hidden="1"/>
    <col min="12029" max="12030" width="8" style="7" hidden="1"/>
    <col min="12031" max="12033" width="1.85546875" style="7" hidden="1"/>
    <col min="12034" max="12034" width="13.42578125" style="7" hidden="1"/>
    <col min="12035" max="12035" width="16.85546875" style="7" hidden="1"/>
    <col min="12036" max="12036" width="9.7109375" style="7" hidden="1"/>
    <col min="12037" max="12037" width="9.85546875" style="7" hidden="1"/>
    <col min="12038" max="12038" width="7.7109375" style="7" hidden="1"/>
    <col min="12039" max="12039" width="12.85546875" style="7" hidden="1"/>
    <col min="12040" max="12040" width="13.85546875" style="7" hidden="1"/>
    <col min="12041" max="12041" width="9.85546875" style="7" hidden="1"/>
    <col min="12042" max="12042" width="14.7109375" style="7" hidden="1"/>
    <col min="12043" max="12043" width="16.42578125" style="7" hidden="1"/>
    <col min="12044" max="12046" width="13.85546875" style="7" hidden="1"/>
    <col min="12047" max="12047" width="12.85546875" style="7" hidden="1"/>
    <col min="12048" max="12048" width="14.140625" style="7" hidden="1"/>
    <col min="12049" max="12049" width="12.28515625" style="7" hidden="1"/>
    <col min="12050" max="12051" width="14.42578125" style="7" hidden="1"/>
    <col min="12052" max="12052" width="12.85546875" style="7" hidden="1"/>
    <col min="12053" max="12053" width="12.28515625" style="7" hidden="1"/>
    <col min="12054" max="12054" width="16.7109375" style="7" hidden="1"/>
    <col min="12055" max="12281" width="11.42578125" style="7" hidden="1"/>
    <col min="12282" max="12282" width="1.85546875" style="7" hidden="1"/>
    <col min="12283" max="12283" width="8" style="7" hidden="1"/>
    <col min="12284" max="12284" width="9.5703125" style="7" hidden="1"/>
    <col min="12285" max="12286" width="8" style="7" hidden="1"/>
    <col min="12287" max="12289" width="1.85546875" style="7" hidden="1"/>
    <col min="12290" max="12290" width="13.42578125" style="7" hidden="1"/>
    <col min="12291" max="12291" width="16.85546875" style="7" hidden="1"/>
    <col min="12292" max="12292" width="9.7109375" style="7" hidden="1"/>
    <col min="12293" max="12293" width="9.85546875" style="7" hidden="1"/>
    <col min="12294" max="12294" width="7.7109375" style="7" hidden="1"/>
    <col min="12295" max="12295" width="12.85546875" style="7" hidden="1"/>
    <col min="12296" max="12296" width="13.85546875" style="7" hidden="1"/>
    <col min="12297" max="12297" width="9.85546875" style="7" hidden="1"/>
    <col min="12298" max="12298" width="14.7109375" style="7" hidden="1"/>
    <col min="12299" max="12299" width="16.42578125" style="7" hidden="1"/>
    <col min="12300" max="12302" width="13.85546875" style="7" hidden="1"/>
    <col min="12303" max="12303" width="12.85546875" style="7" hidden="1"/>
    <col min="12304" max="12304" width="14.140625" style="7" hidden="1"/>
    <col min="12305" max="12305" width="12.28515625" style="7" hidden="1"/>
    <col min="12306" max="12307" width="14.42578125" style="7" hidden="1"/>
    <col min="12308" max="12308" width="12.85546875" style="7" hidden="1"/>
    <col min="12309" max="12309" width="12.28515625" style="7" hidden="1"/>
    <col min="12310" max="12310" width="16.7109375" style="7" hidden="1"/>
    <col min="12311" max="12537" width="11.42578125" style="7" hidden="1"/>
    <col min="12538" max="12538" width="1.85546875" style="7" hidden="1"/>
    <col min="12539" max="12539" width="8" style="7" hidden="1"/>
    <col min="12540" max="12540" width="9.5703125" style="7" hidden="1"/>
    <col min="12541" max="12542" width="8" style="7" hidden="1"/>
    <col min="12543" max="12545" width="1.85546875" style="7" hidden="1"/>
    <col min="12546" max="12546" width="13.42578125" style="7" hidden="1"/>
    <col min="12547" max="12547" width="16.85546875" style="7" hidden="1"/>
    <col min="12548" max="12548" width="9.7109375" style="7" hidden="1"/>
    <col min="12549" max="12549" width="9.85546875" style="7" hidden="1"/>
    <col min="12550" max="12550" width="7.7109375" style="7" hidden="1"/>
    <col min="12551" max="12551" width="12.85546875" style="7" hidden="1"/>
    <col min="12552" max="12552" width="13.85546875" style="7" hidden="1"/>
    <col min="12553" max="12553" width="9.85546875" style="7" hidden="1"/>
    <col min="12554" max="12554" width="14.7109375" style="7" hidden="1"/>
    <col min="12555" max="12555" width="16.42578125" style="7" hidden="1"/>
    <col min="12556" max="12558" width="13.85546875" style="7" hidden="1"/>
    <col min="12559" max="12559" width="12.85546875" style="7" hidden="1"/>
    <col min="12560" max="12560" width="14.140625" style="7" hidden="1"/>
    <col min="12561" max="12561" width="12.28515625" style="7" hidden="1"/>
    <col min="12562" max="12563" width="14.42578125" style="7" hidden="1"/>
    <col min="12564" max="12564" width="12.85546875" style="7" hidden="1"/>
    <col min="12565" max="12565" width="12.28515625" style="7" hidden="1"/>
    <col min="12566" max="12566" width="16.7109375" style="7" hidden="1"/>
    <col min="12567" max="12793" width="11.42578125" style="7" hidden="1"/>
    <col min="12794" max="12794" width="1.85546875" style="7" hidden="1"/>
    <col min="12795" max="12795" width="8" style="7" hidden="1"/>
    <col min="12796" max="12796" width="9.5703125" style="7" hidden="1"/>
    <col min="12797" max="12798" width="8" style="7" hidden="1"/>
    <col min="12799" max="12801" width="1.85546875" style="7" hidden="1"/>
    <col min="12802" max="12802" width="13.42578125" style="7" hidden="1"/>
    <col min="12803" max="12803" width="16.85546875" style="7" hidden="1"/>
    <col min="12804" max="12804" width="9.7109375" style="7" hidden="1"/>
    <col min="12805" max="12805" width="9.85546875" style="7" hidden="1"/>
    <col min="12806" max="12806" width="7.7109375" style="7" hidden="1"/>
    <col min="12807" max="12807" width="12.85546875" style="7" hidden="1"/>
    <col min="12808" max="12808" width="13.85546875" style="7" hidden="1"/>
    <col min="12809" max="12809" width="9.85546875" style="7" hidden="1"/>
    <col min="12810" max="12810" width="14.7109375" style="7" hidden="1"/>
    <col min="12811" max="12811" width="16.42578125" style="7" hidden="1"/>
    <col min="12812" max="12814" width="13.85546875" style="7" hidden="1"/>
    <col min="12815" max="12815" width="12.85546875" style="7" hidden="1"/>
    <col min="12816" max="12816" width="14.140625" style="7" hidden="1"/>
    <col min="12817" max="12817" width="12.28515625" style="7" hidden="1"/>
    <col min="12818" max="12819" width="14.42578125" style="7" hidden="1"/>
    <col min="12820" max="12820" width="12.85546875" style="7" hidden="1"/>
    <col min="12821" max="12821" width="12.28515625" style="7" hidden="1"/>
    <col min="12822" max="12822" width="16.7109375" style="7" hidden="1"/>
    <col min="12823" max="13049" width="11.42578125" style="7" hidden="1"/>
    <col min="13050" max="13050" width="1.85546875" style="7" hidden="1"/>
    <col min="13051" max="13051" width="8" style="7" hidden="1"/>
    <col min="13052" max="13052" width="9.5703125" style="7" hidden="1"/>
    <col min="13053" max="13054" width="8" style="7" hidden="1"/>
    <col min="13055" max="13057" width="1.85546875" style="7" hidden="1"/>
    <col min="13058" max="13058" width="13.42578125" style="7" hidden="1"/>
    <col min="13059" max="13059" width="16.85546875" style="7" hidden="1"/>
    <col min="13060" max="13060" width="9.7109375" style="7" hidden="1"/>
    <col min="13061" max="13061" width="9.85546875" style="7" hidden="1"/>
    <col min="13062" max="13062" width="7.7109375" style="7" hidden="1"/>
    <col min="13063" max="13063" width="12.85546875" style="7" hidden="1"/>
    <col min="13064" max="13064" width="13.85546875" style="7" hidden="1"/>
    <col min="13065" max="13065" width="9.85546875" style="7" hidden="1"/>
    <col min="13066" max="13066" width="14.7109375" style="7" hidden="1"/>
    <col min="13067" max="13067" width="16.42578125" style="7" hidden="1"/>
    <col min="13068" max="13070" width="13.85546875" style="7" hidden="1"/>
    <col min="13071" max="13071" width="12.85546875" style="7" hidden="1"/>
    <col min="13072" max="13072" width="14.140625" style="7" hidden="1"/>
    <col min="13073" max="13073" width="12.28515625" style="7" hidden="1"/>
    <col min="13074" max="13075" width="14.42578125" style="7" hidden="1"/>
    <col min="13076" max="13076" width="12.85546875" style="7" hidden="1"/>
    <col min="13077" max="13077" width="12.28515625" style="7" hidden="1"/>
    <col min="13078" max="13078" width="16.7109375" style="7" hidden="1"/>
    <col min="13079" max="13305" width="11.42578125" style="7" hidden="1"/>
    <col min="13306" max="13306" width="1.85546875" style="7" hidden="1"/>
    <col min="13307" max="13307" width="8" style="7" hidden="1"/>
    <col min="13308" max="13308" width="9.5703125" style="7" hidden="1"/>
    <col min="13309" max="13310" width="8" style="7" hidden="1"/>
    <col min="13311" max="13313" width="1.85546875" style="7" hidden="1"/>
    <col min="13314" max="13314" width="13.42578125" style="7" hidden="1"/>
    <col min="13315" max="13315" width="16.85546875" style="7" hidden="1"/>
    <col min="13316" max="13316" width="9.7109375" style="7" hidden="1"/>
    <col min="13317" max="13317" width="9.85546875" style="7" hidden="1"/>
    <col min="13318" max="13318" width="7.7109375" style="7" hidden="1"/>
    <col min="13319" max="13319" width="12.85546875" style="7" hidden="1"/>
    <col min="13320" max="13320" width="13.85546875" style="7" hidden="1"/>
    <col min="13321" max="13321" width="9.85546875" style="7" hidden="1"/>
    <col min="13322" max="13322" width="14.7109375" style="7" hidden="1"/>
    <col min="13323" max="13323" width="16.42578125" style="7" hidden="1"/>
    <col min="13324" max="13326" width="13.85546875" style="7" hidden="1"/>
    <col min="13327" max="13327" width="12.85546875" style="7" hidden="1"/>
    <col min="13328" max="13328" width="14.140625" style="7" hidden="1"/>
    <col min="13329" max="13329" width="12.28515625" style="7" hidden="1"/>
    <col min="13330" max="13331" width="14.42578125" style="7" hidden="1"/>
    <col min="13332" max="13332" width="12.85546875" style="7" hidden="1"/>
    <col min="13333" max="13333" width="12.28515625" style="7" hidden="1"/>
    <col min="13334" max="13334" width="16.7109375" style="7" hidden="1"/>
    <col min="13335" max="13561" width="11.42578125" style="7" hidden="1"/>
    <col min="13562" max="13562" width="1.85546875" style="7" hidden="1"/>
    <col min="13563" max="13563" width="8" style="7" hidden="1"/>
    <col min="13564" max="13564" width="9.5703125" style="7" hidden="1"/>
    <col min="13565" max="13566" width="8" style="7" hidden="1"/>
    <col min="13567" max="13569" width="1.85546875" style="7" hidden="1"/>
    <col min="13570" max="13570" width="13.42578125" style="7" hidden="1"/>
    <col min="13571" max="13571" width="16.85546875" style="7" hidden="1"/>
    <col min="13572" max="13572" width="9.7109375" style="7" hidden="1"/>
    <col min="13573" max="13573" width="9.85546875" style="7" hidden="1"/>
    <col min="13574" max="13574" width="7.7109375" style="7" hidden="1"/>
    <col min="13575" max="13575" width="12.85546875" style="7" hidden="1"/>
    <col min="13576" max="13576" width="13.85546875" style="7" hidden="1"/>
    <col min="13577" max="13577" width="9.85546875" style="7" hidden="1"/>
    <col min="13578" max="13578" width="14.7109375" style="7" hidden="1"/>
    <col min="13579" max="13579" width="16.42578125" style="7" hidden="1"/>
    <col min="13580" max="13582" width="13.85546875" style="7" hidden="1"/>
    <col min="13583" max="13583" width="12.85546875" style="7" hidden="1"/>
    <col min="13584" max="13584" width="14.140625" style="7" hidden="1"/>
    <col min="13585" max="13585" width="12.28515625" style="7" hidden="1"/>
    <col min="13586" max="13587" width="14.42578125" style="7" hidden="1"/>
    <col min="13588" max="13588" width="12.85546875" style="7" hidden="1"/>
    <col min="13589" max="13589" width="12.28515625" style="7" hidden="1"/>
    <col min="13590" max="13590" width="16.7109375" style="7" hidden="1"/>
    <col min="13591" max="13817" width="11.42578125" style="7" hidden="1"/>
    <col min="13818" max="13818" width="1.85546875" style="7" hidden="1"/>
    <col min="13819" max="13819" width="8" style="7" hidden="1"/>
    <col min="13820" max="13820" width="9.5703125" style="7" hidden="1"/>
    <col min="13821" max="13822" width="8" style="7" hidden="1"/>
    <col min="13823" max="13825" width="1.85546875" style="7" hidden="1"/>
    <col min="13826" max="13826" width="13.42578125" style="7" hidden="1"/>
    <col min="13827" max="13827" width="16.85546875" style="7" hidden="1"/>
    <col min="13828" max="13828" width="9.7109375" style="7" hidden="1"/>
    <col min="13829" max="13829" width="9.85546875" style="7" hidden="1"/>
    <col min="13830" max="13830" width="7.7109375" style="7" hidden="1"/>
    <col min="13831" max="13831" width="12.85546875" style="7" hidden="1"/>
    <col min="13832" max="13832" width="13.85546875" style="7" hidden="1"/>
    <col min="13833" max="13833" width="9.85546875" style="7" hidden="1"/>
    <col min="13834" max="13834" width="14.7109375" style="7" hidden="1"/>
    <col min="13835" max="13835" width="16.42578125" style="7" hidden="1"/>
    <col min="13836" max="13838" width="13.85546875" style="7" hidden="1"/>
    <col min="13839" max="13839" width="12.85546875" style="7" hidden="1"/>
    <col min="13840" max="13840" width="14.140625" style="7" hidden="1"/>
    <col min="13841" max="13841" width="12.28515625" style="7" hidden="1"/>
    <col min="13842" max="13843" width="14.42578125" style="7" hidden="1"/>
    <col min="13844" max="13844" width="12.85546875" style="7" hidden="1"/>
    <col min="13845" max="13845" width="12.28515625" style="7" hidden="1"/>
    <col min="13846" max="13846" width="16.7109375" style="7" hidden="1"/>
    <col min="13847" max="14073" width="11.42578125" style="7" hidden="1"/>
    <col min="14074" max="14074" width="1.85546875" style="7" hidden="1"/>
    <col min="14075" max="14075" width="8" style="7" hidden="1"/>
    <col min="14076" max="14076" width="9.5703125" style="7" hidden="1"/>
    <col min="14077" max="14078" width="8" style="7" hidden="1"/>
    <col min="14079" max="14081" width="1.85546875" style="7" hidden="1"/>
    <col min="14082" max="14082" width="13.42578125" style="7" hidden="1"/>
    <col min="14083" max="14083" width="16.85546875" style="7" hidden="1"/>
    <col min="14084" max="14084" width="9.7109375" style="7" hidden="1"/>
    <col min="14085" max="14085" width="9.85546875" style="7" hidden="1"/>
    <col min="14086" max="14086" width="7.7109375" style="7" hidden="1"/>
    <col min="14087" max="14087" width="12.85546875" style="7" hidden="1"/>
    <col min="14088" max="14088" width="13.85546875" style="7" hidden="1"/>
    <col min="14089" max="14089" width="9.85546875" style="7" hidden="1"/>
    <col min="14090" max="14090" width="14.7109375" style="7" hidden="1"/>
    <col min="14091" max="14091" width="16.42578125" style="7" hidden="1"/>
    <col min="14092" max="14094" width="13.85546875" style="7" hidden="1"/>
    <col min="14095" max="14095" width="12.85546875" style="7" hidden="1"/>
    <col min="14096" max="14096" width="14.140625" style="7" hidden="1"/>
    <col min="14097" max="14097" width="12.28515625" style="7" hidden="1"/>
    <col min="14098" max="14099" width="14.42578125" style="7" hidden="1"/>
    <col min="14100" max="14100" width="12.85546875" style="7" hidden="1"/>
    <col min="14101" max="14101" width="12.28515625" style="7" hidden="1"/>
    <col min="14102" max="14102" width="16.7109375" style="7" hidden="1"/>
    <col min="14103" max="14329" width="11.42578125" style="7" hidden="1"/>
    <col min="14330" max="14330" width="1.85546875" style="7" hidden="1"/>
    <col min="14331" max="14331" width="8" style="7" hidden="1"/>
    <col min="14332" max="14332" width="9.5703125" style="7" hidden="1"/>
    <col min="14333" max="14334" width="8" style="7" hidden="1"/>
    <col min="14335" max="14337" width="1.85546875" style="7" hidden="1"/>
    <col min="14338" max="14338" width="13.42578125" style="7" hidden="1"/>
    <col min="14339" max="14339" width="16.85546875" style="7" hidden="1"/>
    <col min="14340" max="14340" width="9.7109375" style="7" hidden="1"/>
    <col min="14341" max="14341" width="9.85546875" style="7" hidden="1"/>
    <col min="14342" max="14342" width="7.7109375" style="7" hidden="1"/>
    <col min="14343" max="14343" width="12.85546875" style="7" hidden="1"/>
    <col min="14344" max="14344" width="13.85546875" style="7" hidden="1"/>
    <col min="14345" max="14345" width="9.85546875" style="7" hidden="1"/>
    <col min="14346" max="14346" width="14.7109375" style="7" hidden="1"/>
    <col min="14347" max="14347" width="16.42578125" style="7" hidden="1"/>
    <col min="14348" max="14350" width="13.85546875" style="7" hidden="1"/>
    <col min="14351" max="14351" width="12.85546875" style="7" hidden="1"/>
    <col min="14352" max="14352" width="14.140625" style="7" hidden="1"/>
    <col min="14353" max="14353" width="12.28515625" style="7" hidden="1"/>
    <col min="14354" max="14355" width="14.42578125" style="7" hidden="1"/>
    <col min="14356" max="14356" width="12.85546875" style="7" hidden="1"/>
    <col min="14357" max="14357" width="12.28515625" style="7" hidden="1"/>
    <col min="14358" max="14358" width="16.7109375" style="7" hidden="1"/>
    <col min="14359" max="14585" width="11.42578125" style="7" hidden="1"/>
    <col min="14586" max="14586" width="1.85546875" style="7" hidden="1"/>
    <col min="14587" max="14587" width="8" style="7" hidden="1"/>
    <col min="14588" max="14588" width="9.5703125" style="7" hidden="1"/>
    <col min="14589" max="14590" width="8" style="7" hidden="1"/>
    <col min="14591" max="14593" width="1.85546875" style="7" hidden="1"/>
    <col min="14594" max="14594" width="13.42578125" style="7" hidden="1"/>
    <col min="14595" max="14595" width="16.85546875" style="7" hidden="1"/>
    <col min="14596" max="14596" width="9.7109375" style="7" hidden="1"/>
    <col min="14597" max="14597" width="9.85546875" style="7" hidden="1"/>
    <col min="14598" max="14598" width="7.7109375" style="7" hidden="1"/>
    <col min="14599" max="14599" width="12.85546875" style="7" hidden="1"/>
    <col min="14600" max="14600" width="13.85546875" style="7" hidden="1"/>
    <col min="14601" max="14601" width="9.85546875" style="7" hidden="1"/>
    <col min="14602" max="14602" width="14.7109375" style="7" hidden="1"/>
    <col min="14603" max="14603" width="16.42578125" style="7" hidden="1"/>
    <col min="14604" max="14606" width="13.85546875" style="7" hidden="1"/>
    <col min="14607" max="14607" width="12.85546875" style="7" hidden="1"/>
    <col min="14608" max="14608" width="14.140625" style="7" hidden="1"/>
    <col min="14609" max="14609" width="12.28515625" style="7" hidden="1"/>
    <col min="14610" max="14611" width="14.42578125" style="7" hidden="1"/>
    <col min="14612" max="14612" width="12.85546875" style="7" hidden="1"/>
    <col min="14613" max="14613" width="12.28515625" style="7" hidden="1"/>
    <col min="14614" max="14614" width="16.7109375" style="7" hidden="1"/>
    <col min="14615" max="14841" width="11.42578125" style="7" hidden="1"/>
    <col min="14842" max="14842" width="1.85546875" style="7" hidden="1"/>
    <col min="14843" max="14843" width="8" style="7" hidden="1"/>
    <col min="14844" max="14844" width="9.5703125" style="7" hidden="1"/>
    <col min="14845" max="14846" width="8" style="7" hidden="1"/>
    <col min="14847" max="14849" width="1.85546875" style="7" hidden="1"/>
    <col min="14850" max="14850" width="13.42578125" style="7" hidden="1"/>
    <col min="14851" max="14851" width="16.85546875" style="7" hidden="1"/>
    <col min="14852" max="14852" width="9.7109375" style="7" hidden="1"/>
    <col min="14853" max="14853" width="9.85546875" style="7" hidden="1"/>
    <col min="14854" max="14854" width="7.7109375" style="7" hidden="1"/>
    <col min="14855" max="14855" width="12.85546875" style="7" hidden="1"/>
    <col min="14856" max="14856" width="13.85546875" style="7" hidden="1"/>
    <col min="14857" max="14857" width="9.85546875" style="7" hidden="1"/>
    <col min="14858" max="14858" width="14.7109375" style="7" hidden="1"/>
    <col min="14859" max="14859" width="16.42578125" style="7" hidden="1"/>
    <col min="14860" max="14862" width="13.85546875" style="7" hidden="1"/>
    <col min="14863" max="14863" width="12.85546875" style="7" hidden="1"/>
    <col min="14864" max="14864" width="14.140625" style="7" hidden="1"/>
    <col min="14865" max="14865" width="12.28515625" style="7" hidden="1"/>
    <col min="14866" max="14867" width="14.42578125" style="7" hidden="1"/>
    <col min="14868" max="14868" width="12.85546875" style="7" hidden="1"/>
    <col min="14869" max="14869" width="12.28515625" style="7" hidden="1"/>
    <col min="14870" max="14870" width="16.7109375" style="7" hidden="1"/>
    <col min="14871" max="15097" width="11.42578125" style="7" hidden="1"/>
    <col min="15098" max="15098" width="1.85546875" style="7" hidden="1"/>
    <col min="15099" max="15099" width="8" style="7" hidden="1"/>
    <col min="15100" max="15100" width="9.5703125" style="7" hidden="1"/>
    <col min="15101" max="15102" width="8" style="7" hidden="1"/>
    <col min="15103" max="15105" width="1.85546875" style="7" hidden="1"/>
    <col min="15106" max="15106" width="13.42578125" style="7" hidden="1"/>
    <col min="15107" max="15107" width="16.85546875" style="7" hidden="1"/>
    <col min="15108" max="15108" width="9.7109375" style="7" hidden="1"/>
    <col min="15109" max="15109" width="9.85546875" style="7" hidden="1"/>
    <col min="15110" max="15110" width="7.7109375" style="7" hidden="1"/>
    <col min="15111" max="15111" width="12.85546875" style="7" hidden="1"/>
    <col min="15112" max="15112" width="13.85546875" style="7" hidden="1"/>
    <col min="15113" max="15113" width="9.85546875" style="7" hidden="1"/>
    <col min="15114" max="15114" width="14.7109375" style="7" hidden="1"/>
    <col min="15115" max="15115" width="16.42578125" style="7" hidden="1"/>
    <col min="15116" max="15118" width="13.85546875" style="7" hidden="1"/>
    <col min="15119" max="15119" width="12.85546875" style="7" hidden="1"/>
    <col min="15120" max="15120" width="14.140625" style="7" hidden="1"/>
    <col min="15121" max="15121" width="12.28515625" style="7" hidden="1"/>
    <col min="15122" max="15123" width="14.42578125" style="7" hidden="1"/>
    <col min="15124" max="15124" width="12.85546875" style="7" hidden="1"/>
    <col min="15125" max="15125" width="12.28515625" style="7" hidden="1"/>
    <col min="15126" max="15126" width="16.7109375" style="7" hidden="1"/>
    <col min="15127" max="15353" width="11.42578125" style="7" hidden="1"/>
    <col min="15354" max="15354" width="1.85546875" style="7" hidden="1"/>
    <col min="15355" max="15355" width="8" style="7" hidden="1"/>
    <col min="15356" max="15356" width="9.5703125" style="7" hidden="1"/>
    <col min="15357" max="15358" width="8" style="7" hidden="1"/>
    <col min="15359" max="15361" width="1.85546875" style="7" hidden="1"/>
    <col min="15362" max="15362" width="13.42578125" style="7" hidden="1"/>
    <col min="15363" max="15363" width="16.85546875" style="7" hidden="1"/>
    <col min="15364" max="15364" width="9.7109375" style="7" hidden="1"/>
    <col min="15365" max="15365" width="9.85546875" style="7" hidden="1"/>
    <col min="15366" max="15366" width="7.7109375" style="7" hidden="1"/>
    <col min="15367" max="15367" width="12.85546875" style="7" hidden="1"/>
    <col min="15368" max="15368" width="13.85546875" style="7" hidden="1"/>
    <col min="15369" max="15369" width="9.85546875" style="7" hidden="1"/>
    <col min="15370" max="15370" width="14.7109375" style="7" hidden="1"/>
    <col min="15371" max="15371" width="16.42578125" style="7" hidden="1"/>
    <col min="15372" max="15374" width="13.85546875" style="7" hidden="1"/>
    <col min="15375" max="15375" width="12.85546875" style="7" hidden="1"/>
    <col min="15376" max="15376" width="14.140625" style="7" hidden="1"/>
    <col min="15377" max="15377" width="12.28515625" style="7" hidden="1"/>
    <col min="15378" max="15379" width="14.42578125" style="7" hidden="1"/>
    <col min="15380" max="15380" width="12.85546875" style="7" hidden="1"/>
    <col min="15381" max="15381" width="12.28515625" style="7" hidden="1"/>
    <col min="15382" max="15382" width="16.7109375" style="7" hidden="1"/>
    <col min="15383" max="15609" width="11.42578125" style="7" hidden="1"/>
    <col min="15610" max="15610" width="1.85546875" style="7" hidden="1"/>
    <col min="15611" max="15611" width="8" style="7" hidden="1"/>
    <col min="15612" max="15612" width="9.5703125" style="7" hidden="1"/>
    <col min="15613" max="15614" width="8" style="7" hidden="1"/>
    <col min="15615" max="15617" width="1.85546875" style="7" hidden="1"/>
    <col min="15618" max="15618" width="13.42578125" style="7" hidden="1"/>
    <col min="15619" max="15619" width="16.85546875" style="7" hidden="1"/>
    <col min="15620" max="15620" width="9.7109375" style="7" hidden="1"/>
    <col min="15621" max="15621" width="9.85546875" style="7" hidden="1"/>
    <col min="15622" max="15622" width="7.7109375" style="7" hidden="1"/>
    <col min="15623" max="15623" width="12.85546875" style="7" hidden="1"/>
    <col min="15624" max="15624" width="13.85546875" style="7" hidden="1"/>
    <col min="15625" max="15625" width="9.85546875" style="7" hidden="1"/>
    <col min="15626" max="15626" width="14.7109375" style="7" hidden="1"/>
    <col min="15627" max="15627" width="16.42578125" style="7" hidden="1"/>
    <col min="15628" max="15630" width="13.85546875" style="7" hidden="1"/>
    <col min="15631" max="15631" width="12.85546875" style="7" hidden="1"/>
    <col min="15632" max="15632" width="14.140625" style="7" hidden="1"/>
    <col min="15633" max="15633" width="12.28515625" style="7" hidden="1"/>
    <col min="15634" max="15635" width="14.42578125" style="7" hidden="1"/>
    <col min="15636" max="15636" width="12.85546875" style="7" hidden="1"/>
    <col min="15637" max="15637" width="12.28515625" style="7" hidden="1"/>
    <col min="15638" max="15638" width="16.7109375" style="7" hidden="1"/>
    <col min="15639" max="15865" width="11.42578125" style="7" hidden="1"/>
    <col min="15866" max="15866" width="1.85546875" style="7" hidden="1"/>
    <col min="15867" max="15867" width="8" style="7" hidden="1"/>
    <col min="15868" max="15868" width="9.5703125" style="7" hidden="1"/>
    <col min="15869" max="15870" width="8" style="7" hidden="1"/>
    <col min="15871" max="15873" width="1.85546875" style="7" hidden="1"/>
    <col min="15874" max="15874" width="13.42578125" style="7" hidden="1"/>
    <col min="15875" max="15875" width="16.85546875" style="7" hidden="1"/>
    <col min="15876" max="15876" width="9.7109375" style="7" hidden="1"/>
    <col min="15877" max="15877" width="9.85546875" style="7" hidden="1"/>
    <col min="15878" max="15878" width="7.7109375" style="7" hidden="1"/>
    <col min="15879" max="15879" width="12.85546875" style="7" hidden="1"/>
    <col min="15880" max="15880" width="13.85546875" style="7" hidden="1"/>
    <col min="15881" max="15881" width="9.85546875" style="7" hidden="1"/>
    <col min="15882" max="15882" width="14.7109375" style="7" hidden="1"/>
    <col min="15883" max="15883" width="16.42578125" style="7" hidden="1"/>
    <col min="15884" max="15886" width="13.85546875" style="7" hidden="1"/>
    <col min="15887" max="15887" width="12.85546875" style="7" hidden="1"/>
    <col min="15888" max="15888" width="14.140625" style="7" hidden="1"/>
    <col min="15889" max="15889" width="12.28515625" style="7" hidden="1"/>
    <col min="15890" max="15891" width="14.42578125" style="7" hidden="1"/>
    <col min="15892" max="15892" width="12.85546875" style="7" hidden="1"/>
    <col min="15893" max="15893" width="12.28515625" style="7" hidden="1"/>
    <col min="15894" max="15894" width="16.7109375" style="7" hidden="1"/>
    <col min="15895" max="16121" width="11.42578125" style="7" hidden="1"/>
    <col min="16122" max="16122" width="1.85546875" style="7" hidden="1"/>
    <col min="16123" max="16123" width="8" style="7" hidden="1"/>
    <col min="16124" max="16124" width="9.5703125" style="7" hidden="1"/>
    <col min="16125" max="16126" width="8" style="7" hidden="1"/>
    <col min="16127" max="16129" width="1.85546875" style="7" hidden="1"/>
    <col min="16130" max="16130" width="13.42578125" style="7" hidden="1"/>
    <col min="16131" max="16131" width="16.85546875" style="7" hidden="1"/>
    <col min="16132" max="16132" width="9.7109375" style="7" hidden="1"/>
    <col min="16133" max="16133" width="9.85546875" style="7" hidden="1"/>
    <col min="16134" max="16134" width="7.7109375" style="7" hidden="1"/>
    <col min="16135" max="16135" width="12.85546875" style="7" hidden="1"/>
    <col min="16136" max="16136" width="13.85546875" style="7" hidden="1"/>
    <col min="16137" max="16137" width="9.85546875" style="7" hidden="1"/>
    <col min="16138" max="16138" width="14.7109375" style="7" hidden="1"/>
    <col min="16139" max="16139" width="16.42578125" style="7" hidden="1"/>
    <col min="16140" max="16142" width="13.85546875" style="7" hidden="1"/>
    <col min="16143" max="16143" width="12.85546875" style="7" hidden="1"/>
    <col min="16144" max="16144" width="14.140625" style="7" hidden="1"/>
    <col min="16145" max="16145" width="12.28515625" style="7" hidden="1"/>
    <col min="16146" max="16147" width="14.42578125" style="7" hidden="1"/>
    <col min="16148" max="16148" width="12.85546875" style="7" hidden="1"/>
    <col min="16149" max="16149" width="12.28515625" style="7" hidden="1"/>
    <col min="16150" max="16150" width="16.7109375" style="7" hidden="1"/>
    <col min="16151" max="16384" width="0" style="7" hidden="1"/>
  </cols>
  <sheetData>
    <row r="1" spans="1:23">
      <c r="A1" s="3"/>
      <c r="B1" s="3"/>
      <c r="C1" s="98" t="s">
        <v>0</v>
      </c>
      <c r="D1" s="99"/>
      <c r="E1" s="99"/>
      <c r="F1" s="100" t="s">
        <v>1</v>
      </c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1" t="s">
        <v>2</v>
      </c>
      <c r="V1" s="102"/>
      <c r="W1" s="102"/>
    </row>
    <row r="2" spans="1:23">
      <c r="A2" s="3"/>
      <c r="B2" s="3"/>
      <c r="C2" s="99"/>
      <c r="D2" s="99"/>
      <c r="E2" s="99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2" t="s">
        <v>3</v>
      </c>
      <c r="V2" s="102"/>
      <c r="W2" s="29" t="s">
        <v>4</v>
      </c>
    </row>
    <row r="3" spans="1:23">
      <c r="A3" s="3"/>
      <c r="B3" s="3"/>
      <c r="C3" s="99"/>
      <c r="D3" s="99"/>
      <c r="E3" s="99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2" t="s">
        <v>5</v>
      </c>
      <c r="V3" s="102"/>
      <c r="W3" s="102"/>
    </row>
    <row r="4" spans="1:23">
      <c r="A4" s="3"/>
      <c r="B4" s="3"/>
      <c r="C4" s="99"/>
      <c r="D4" s="99"/>
      <c r="E4" s="99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2"/>
      <c r="V4" s="102"/>
      <c r="W4" s="102"/>
    </row>
    <row r="5" spans="1:23" ht="23.25">
      <c r="A5" s="3"/>
      <c r="B5" s="3"/>
      <c r="C5" s="97" t="s">
        <v>6</v>
      </c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97"/>
      <c r="U5" s="97"/>
      <c r="V5" s="97"/>
      <c r="W5" s="97"/>
    </row>
    <row r="6" spans="1:23" ht="18">
      <c r="A6" s="3"/>
      <c r="B6" s="3"/>
      <c r="C6" s="81" t="s">
        <v>7</v>
      </c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</row>
    <row r="7" spans="1:23" ht="24">
      <c r="A7" s="3"/>
      <c r="B7" s="3"/>
      <c r="C7" s="9" t="s">
        <v>8</v>
      </c>
      <c r="D7" s="9" t="s">
        <v>9</v>
      </c>
      <c r="E7" s="1" t="s">
        <v>10</v>
      </c>
      <c r="F7" s="105" t="s">
        <v>11</v>
      </c>
      <c r="G7" s="105"/>
      <c r="H7" s="105" t="s">
        <v>12</v>
      </c>
      <c r="I7" s="105"/>
      <c r="J7" s="105" t="s">
        <v>13</v>
      </c>
      <c r="K7" s="105"/>
      <c r="L7" s="105" t="s">
        <v>14</v>
      </c>
      <c r="M7" s="105"/>
      <c r="N7" s="22" t="s">
        <v>15</v>
      </c>
      <c r="O7" s="105" t="s">
        <v>16</v>
      </c>
      <c r="P7" s="105"/>
      <c r="Q7" s="105" t="s">
        <v>17</v>
      </c>
      <c r="R7" s="105"/>
      <c r="S7" s="105" t="s">
        <v>18</v>
      </c>
      <c r="T7" s="105"/>
      <c r="U7" s="9" t="s">
        <v>19</v>
      </c>
      <c r="V7" s="105" t="s">
        <v>20</v>
      </c>
      <c r="W7" s="105"/>
    </row>
    <row r="8" spans="1:23">
      <c r="A8" s="3"/>
      <c r="B8" s="3"/>
      <c r="C8" s="2" t="s">
        <v>21</v>
      </c>
      <c r="D8" s="11" t="s">
        <v>22</v>
      </c>
      <c r="E8" s="13" t="s">
        <v>23</v>
      </c>
      <c r="F8" s="92" t="s">
        <v>24</v>
      </c>
      <c r="G8" s="92"/>
      <c r="H8" s="92" t="s">
        <v>25</v>
      </c>
      <c r="I8" s="92"/>
      <c r="J8" s="93" t="s">
        <v>26</v>
      </c>
      <c r="K8" s="93"/>
      <c r="L8" s="92" t="s">
        <v>27</v>
      </c>
      <c r="M8" s="92"/>
      <c r="N8" s="23">
        <v>1598</v>
      </c>
      <c r="O8" s="92" t="str">
        <f>L8</f>
        <v>3N8CP5HD3ZL604501</v>
      </c>
      <c r="P8" s="92"/>
      <c r="Q8" s="103" t="s">
        <v>23</v>
      </c>
      <c r="R8" s="103"/>
      <c r="S8" s="86">
        <v>10018921917</v>
      </c>
      <c r="T8" s="86"/>
      <c r="U8" s="7">
        <v>5</v>
      </c>
      <c r="V8" s="104" t="s">
        <v>28</v>
      </c>
      <c r="W8" s="104"/>
    </row>
    <row r="9" spans="1:23" ht="18">
      <c r="A9" s="3"/>
      <c r="B9" s="3"/>
      <c r="C9" s="81" t="s">
        <v>29</v>
      </c>
      <c r="D9" s="81"/>
      <c r="E9" s="81"/>
      <c r="F9" s="81"/>
      <c r="G9" s="81"/>
      <c r="H9" s="81"/>
      <c r="I9" s="81" t="s">
        <v>30</v>
      </c>
      <c r="J9" s="81"/>
      <c r="K9" s="81"/>
      <c r="L9" s="81"/>
      <c r="M9" s="81"/>
      <c r="N9" s="81"/>
      <c r="O9" s="81"/>
      <c r="P9" s="81"/>
      <c r="Q9" s="81" t="s">
        <v>31</v>
      </c>
      <c r="R9" s="81"/>
      <c r="S9" s="81"/>
      <c r="T9" s="81"/>
      <c r="U9" s="81"/>
      <c r="V9" s="81"/>
      <c r="W9" s="81"/>
    </row>
    <row r="10" spans="1:23" ht="22.5">
      <c r="A10" s="15"/>
      <c r="B10" s="15"/>
      <c r="C10" s="4" t="s">
        <v>32</v>
      </c>
      <c r="D10" s="5" t="s">
        <v>33</v>
      </c>
      <c r="E10" s="5" t="s">
        <v>34</v>
      </c>
      <c r="F10" s="4" t="s">
        <v>32</v>
      </c>
      <c r="G10" s="5" t="s">
        <v>33</v>
      </c>
      <c r="H10" s="20" t="s">
        <v>34</v>
      </c>
      <c r="I10" s="90" t="s">
        <v>35</v>
      </c>
      <c r="J10" s="90"/>
      <c r="K10" s="5" t="s">
        <v>33</v>
      </c>
      <c r="L10" s="5" t="s">
        <v>34</v>
      </c>
      <c r="M10" s="90" t="s">
        <v>35</v>
      </c>
      <c r="N10" s="90"/>
      <c r="O10" s="5" t="s">
        <v>33</v>
      </c>
      <c r="P10" s="5" t="s">
        <v>34</v>
      </c>
      <c r="Q10" s="27" t="s">
        <v>36</v>
      </c>
      <c r="R10" s="90" t="s">
        <v>37</v>
      </c>
      <c r="S10" s="90"/>
      <c r="T10" s="90"/>
      <c r="U10" s="91" t="s">
        <v>38</v>
      </c>
      <c r="V10" s="91"/>
      <c r="W10" s="91"/>
    </row>
    <row r="11" spans="1:23">
      <c r="A11" s="3"/>
      <c r="B11" s="3"/>
      <c r="C11" s="14">
        <v>13593900065640</v>
      </c>
      <c r="D11" s="8">
        <v>43680</v>
      </c>
      <c r="E11" s="8">
        <v>44045</v>
      </c>
      <c r="F11" s="14"/>
      <c r="G11" s="8"/>
      <c r="H11" s="21"/>
      <c r="I11" s="94"/>
      <c r="J11" s="95"/>
      <c r="K11" s="10"/>
      <c r="L11" s="12"/>
      <c r="M11" s="96"/>
      <c r="N11" s="96"/>
      <c r="O11" s="10"/>
      <c r="P11" s="10"/>
      <c r="Q11" s="10"/>
      <c r="R11" s="86"/>
      <c r="S11" s="86"/>
      <c r="T11" s="86"/>
      <c r="U11" s="84"/>
      <c r="V11" s="84"/>
      <c r="W11" s="84"/>
    </row>
    <row r="12" spans="1:23">
      <c r="A12" s="15"/>
      <c r="B12" s="15"/>
      <c r="C12" s="14">
        <v>9201121000557</v>
      </c>
      <c r="D12" s="8">
        <v>44410</v>
      </c>
      <c r="E12" s="8">
        <v>44774</v>
      </c>
      <c r="F12" s="14"/>
      <c r="G12" s="8"/>
      <c r="H12" s="21"/>
      <c r="I12" s="83"/>
      <c r="J12" s="83"/>
      <c r="K12" s="10"/>
      <c r="L12" s="12"/>
      <c r="M12" s="83"/>
      <c r="N12" s="84"/>
      <c r="O12" s="10"/>
      <c r="P12" s="10"/>
      <c r="Q12" s="10"/>
      <c r="R12" s="86"/>
      <c r="S12" s="86"/>
      <c r="T12" s="86"/>
      <c r="U12" s="84"/>
      <c r="V12" s="84"/>
      <c r="W12" s="84"/>
    </row>
    <row r="13" spans="1:23">
      <c r="A13" s="3"/>
      <c r="B13" s="3"/>
      <c r="C13" s="14">
        <v>82977850</v>
      </c>
      <c r="D13" s="8">
        <v>44775</v>
      </c>
      <c r="E13" s="8">
        <v>45139</v>
      </c>
      <c r="F13" s="14"/>
      <c r="G13" s="8"/>
      <c r="H13" s="21"/>
      <c r="I13" s="83"/>
      <c r="J13" s="84"/>
      <c r="K13" s="10"/>
      <c r="L13" s="12"/>
      <c r="M13" s="83"/>
      <c r="N13" s="84"/>
      <c r="O13" s="10"/>
      <c r="P13" s="10"/>
      <c r="Q13" s="10"/>
      <c r="R13" s="86"/>
      <c r="S13" s="86"/>
      <c r="T13" s="86"/>
      <c r="U13" s="84"/>
      <c r="V13" s="84"/>
      <c r="W13" s="84"/>
    </row>
    <row r="14" spans="1:23">
      <c r="A14" s="3"/>
      <c r="B14" s="3"/>
      <c r="C14" s="14"/>
      <c r="D14" s="8"/>
      <c r="E14" s="8"/>
      <c r="F14" s="14"/>
      <c r="G14" s="8"/>
      <c r="H14" s="21"/>
      <c r="I14" s="83"/>
      <c r="J14" s="84"/>
      <c r="K14" s="10"/>
      <c r="L14" s="12"/>
      <c r="M14" s="85"/>
      <c r="N14" s="83"/>
      <c r="O14" s="10"/>
      <c r="P14" s="10"/>
      <c r="Q14" s="10"/>
      <c r="R14" s="86"/>
      <c r="S14" s="86"/>
      <c r="T14" s="86"/>
      <c r="U14" s="84"/>
      <c r="V14" s="84"/>
      <c r="W14" s="84"/>
    </row>
    <row r="15" spans="1:23">
      <c r="A15" s="3"/>
      <c r="B15" s="3"/>
      <c r="C15" s="12"/>
      <c r="D15" s="8"/>
      <c r="E15" s="8"/>
      <c r="F15" s="14"/>
      <c r="G15" s="8"/>
      <c r="H15" s="21"/>
      <c r="I15" s="83"/>
      <c r="J15" s="84"/>
      <c r="K15" s="10"/>
      <c r="L15" s="12"/>
      <c r="M15" s="85"/>
      <c r="N15" s="83"/>
      <c r="O15" s="10"/>
      <c r="P15" s="10"/>
      <c r="Q15" s="10"/>
      <c r="R15" s="86"/>
      <c r="S15" s="86"/>
      <c r="T15" s="86"/>
      <c r="U15" s="84"/>
      <c r="V15" s="84"/>
      <c r="W15" s="84"/>
    </row>
    <row r="16" spans="1:23">
      <c r="A16" s="3"/>
      <c r="B16" s="3"/>
      <c r="C16" s="14"/>
      <c r="D16" s="8"/>
      <c r="E16" s="8"/>
      <c r="F16" s="14"/>
      <c r="G16" s="8"/>
      <c r="H16" s="21"/>
      <c r="I16" s="87"/>
      <c r="J16" s="87"/>
      <c r="K16" s="10"/>
      <c r="L16" s="12"/>
      <c r="M16" s="84"/>
      <c r="N16" s="84"/>
      <c r="O16" s="10"/>
      <c r="P16" s="10"/>
      <c r="Q16" s="10"/>
      <c r="R16" s="86"/>
      <c r="S16" s="86"/>
      <c r="T16" s="86"/>
      <c r="U16" s="84"/>
      <c r="V16" s="84"/>
      <c r="W16" s="84"/>
    </row>
    <row r="17" spans="1:41" ht="18">
      <c r="A17" s="3"/>
      <c r="B17" s="3"/>
      <c r="C17" s="81" t="s">
        <v>39</v>
      </c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</row>
    <row r="18" spans="1:41" ht="72" customHeight="1">
      <c r="A18" s="3"/>
      <c r="B18" s="3"/>
      <c r="C18" s="34" t="s">
        <v>40</v>
      </c>
      <c r="D18" s="34" t="s">
        <v>41</v>
      </c>
      <c r="E18" s="34" t="s">
        <v>42</v>
      </c>
      <c r="F18" s="34" t="s">
        <v>43</v>
      </c>
      <c r="G18" s="34" t="s">
        <v>44</v>
      </c>
      <c r="H18" s="35" t="s">
        <v>45</v>
      </c>
      <c r="I18" s="36" t="s">
        <v>46</v>
      </c>
      <c r="J18" s="34" t="s">
        <v>47</v>
      </c>
      <c r="K18" s="34" t="s">
        <v>48</v>
      </c>
      <c r="L18" s="88" t="s">
        <v>49</v>
      </c>
      <c r="M18" s="89"/>
      <c r="N18" s="38" t="s">
        <v>50</v>
      </c>
      <c r="O18" s="34" t="s">
        <v>51</v>
      </c>
      <c r="P18" s="34" t="s">
        <v>52</v>
      </c>
      <c r="Q18" s="34" t="s">
        <v>53</v>
      </c>
      <c r="R18" s="34" t="s">
        <v>54</v>
      </c>
      <c r="S18" s="34" t="s">
        <v>55</v>
      </c>
      <c r="T18" s="34" t="s">
        <v>56</v>
      </c>
      <c r="U18" s="34" t="s">
        <v>57</v>
      </c>
      <c r="V18" s="34" t="s">
        <v>58</v>
      </c>
      <c r="W18" s="37" t="s">
        <v>59</v>
      </c>
      <c r="X18" s="33" t="s">
        <v>60</v>
      </c>
      <c r="Y18" s="33" t="s">
        <v>61</v>
      </c>
    </row>
    <row r="19" spans="1:41" ht="25.5" customHeight="1">
      <c r="A19" s="3"/>
      <c r="B19" s="3"/>
      <c r="C19" s="72">
        <v>45343</v>
      </c>
      <c r="D19" s="71"/>
      <c r="E19" s="70" t="s">
        <v>62</v>
      </c>
      <c r="F19" s="69"/>
      <c r="G19" s="70" t="s">
        <v>63</v>
      </c>
      <c r="H19" s="108">
        <v>76574</v>
      </c>
      <c r="I19" s="109">
        <v>45351</v>
      </c>
      <c r="J19" s="110" t="s">
        <v>64</v>
      </c>
      <c r="K19" s="60" t="s">
        <v>65</v>
      </c>
      <c r="L19" s="71" t="s">
        <v>66</v>
      </c>
      <c r="M19" s="71"/>
      <c r="N19" s="61">
        <v>1</v>
      </c>
      <c r="O19" s="62">
        <v>0</v>
      </c>
      <c r="P19" s="63">
        <f t="shared" ref="P19:P20" si="0">O19*N19</f>
        <v>0</v>
      </c>
      <c r="Q19" s="63">
        <f t="shared" ref="Q19:Q20" si="1">P19*0.19</f>
        <v>0</v>
      </c>
      <c r="R19" s="63">
        <f t="shared" ref="R19:R20" si="2">P19+Q19</f>
        <v>0</v>
      </c>
      <c r="S19" s="64">
        <v>66000</v>
      </c>
      <c r="T19" s="63">
        <f t="shared" ref="T19:T20" si="3">S19*N19</f>
        <v>66000</v>
      </c>
      <c r="U19" s="63">
        <f t="shared" ref="U19:U20" si="4">T19*0.19</f>
        <v>12540</v>
      </c>
      <c r="V19" s="63">
        <f t="shared" ref="V19:V20" si="5">T19+U19</f>
        <v>78540</v>
      </c>
      <c r="W19" s="65">
        <f t="shared" ref="W19:W20" si="6">R19+V19</f>
        <v>78540</v>
      </c>
      <c r="X19" s="106">
        <f>SUM(W19:W38)</f>
        <v>3344292.6999999997</v>
      </c>
      <c r="Y19" s="107" t="s">
        <v>67</v>
      </c>
    </row>
    <row r="20" spans="1:41" ht="25.5" customHeight="1">
      <c r="A20" s="3"/>
      <c r="B20" s="3"/>
      <c r="C20" s="71"/>
      <c r="D20" s="71"/>
      <c r="E20" s="70"/>
      <c r="F20" s="69"/>
      <c r="G20" s="70"/>
      <c r="H20" s="108"/>
      <c r="I20" s="109"/>
      <c r="J20" s="110"/>
      <c r="K20" s="60" t="s">
        <v>65</v>
      </c>
      <c r="L20" s="71" t="s">
        <v>68</v>
      </c>
      <c r="M20" s="71"/>
      <c r="N20" s="61">
        <v>1</v>
      </c>
      <c r="O20" s="62">
        <v>0</v>
      </c>
      <c r="P20" s="63">
        <f t="shared" si="0"/>
        <v>0</v>
      </c>
      <c r="Q20" s="63">
        <f t="shared" si="1"/>
        <v>0</v>
      </c>
      <c r="R20" s="63">
        <f t="shared" si="2"/>
        <v>0</v>
      </c>
      <c r="S20" s="64">
        <v>23760</v>
      </c>
      <c r="T20" s="63">
        <f t="shared" si="3"/>
        <v>23760</v>
      </c>
      <c r="U20" s="63">
        <f t="shared" si="4"/>
        <v>4514.3999999999996</v>
      </c>
      <c r="V20" s="63">
        <f t="shared" si="5"/>
        <v>28274.400000000001</v>
      </c>
      <c r="W20" s="65">
        <f t="shared" si="6"/>
        <v>28274.400000000001</v>
      </c>
      <c r="X20" s="106"/>
      <c r="Y20" s="107"/>
    </row>
    <row r="21" spans="1:41" ht="25.5" customHeight="1">
      <c r="A21" s="3"/>
      <c r="B21" s="3"/>
      <c r="C21" s="71"/>
      <c r="D21" s="71"/>
      <c r="E21" s="70"/>
      <c r="F21" s="69"/>
      <c r="G21" s="70"/>
      <c r="H21" s="108"/>
      <c r="I21" s="109"/>
      <c r="J21" s="110"/>
      <c r="K21" s="60" t="s">
        <v>69</v>
      </c>
      <c r="L21" s="71" t="s">
        <v>70</v>
      </c>
      <c r="M21" s="71"/>
      <c r="N21" s="61">
        <v>1</v>
      </c>
      <c r="O21" s="62">
        <v>132000</v>
      </c>
      <c r="P21" s="63">
        <f t="shared" ref="P21:P84" si="7">O21*N21</f>
        <v>132000</v>
      </c>
      <c r="Q21" s="63">
        <f t="shared" ref="Q21:Q84" si="8">P21*0.19</f>
        <v>25080</v>
      </c>
      <c r="R21" s="63">
        <f t="shared" ref="R21:R84" si="9">P21+Q21</f>
        <v>157080</v>
      </c>
      <c r="S21" s="64">
        <v>0</v>
      </c>
      <c r="T21" s="63">
        <f t="shared" ref="T21:T84" si="10">S21*N21</f>
        <v>0</v>
      </c>
      <c r="U21" s="63">
        <f t="shared" ref="U21:U84" si="11">T21*0.19</f>
        <v>0</v>
      </c>
      <c r="V21" s="63">
        <f t="shared" ref="V21:V84" si="12">T21+U21</f>
        <v>0</v>
      </c>
      <c r="W21" s="65">
        <f t="shared" ref="W21:W84" si="13">R21+V21</f>
        <v>157080</v>
      </c>
      <c r="X21" s="106"/>
      <c r="Y21" s="107"/>
    </row>
    <row r="22" spans="1:41" s="32" customFormat="1" ht="25.5" customHeight="1">
      <c r="A22" s="31"/>
      <c r="B22" s="3"/>
      <c r="C22" s="71"/>
      <c r="D22" s="71"/>
      <c r="E22" s="70"/>
      <c r="F22" s="69"/>
      <c r="G22" s="70"/>
      <c r="H22" s="108"/>
      <c r="I22" s="109"/>
      <c r="J22" s="110"/>
      <c r="K22" s="60" t="s">
        <v>69</v>
      </c>
      <c r="L22" s="71" t="s">
        <v>71</v>
      </c>
      <c r="M22" s="71"/>
      <c r="N22" s="61">
        <v>2</v>
      </c>
      <c r="O22" s="62">
        <v>171600</v>
      </c>
      <c r="P22" s="63">
        <f t="shared" si="7"/>
        <v>343200</v>
      </c>
      <c r="Q22" s="63">
        <f t="shared" si="8"/>
        <v>65208</v>
      </c>
      <c r="R22" s="63">
        <f t="shared" si="9"/>
        <v>408408</v>
      </c>
      <c r="S22" s="64">
        <v>0</v>
      </c>
      <c r="T22" s="63">
        <f t="shared" si="10"/>
        <v>0</v>
      </c>
      <c r="U22" s="63">
        <f t="shared" si="11"/>
        <v>0</v>
      </c>
      <c r="V22" s="63">
        <f t="shared" si="12"/>
        <v>0</v>
      </c>
      <c r="W22" s="65">
        <f t="shared" si="13"/>
        <v>408408</v>
      </c>
      <c r="X22" s="106"/>
      <c r="Y22" s="107"/>
    </row>
    <row r="23" spans="1:41" ht="25.5" customHeight="1">
      <c r="A23" s="3"/>
      <c r="B23" s="3"/>
      <c r="C23" s="71"/>
      <c r="D23" s="71"/>
      <c r="E23" s="70"/>
      <c r="F23" s="69"/>
      <c r="G23" s="70"/>
      <c r="H23" s="108"/>
      <c r="I23" s="109"/>
      <c r="J23" s="110"/>
      <c r="K23" s="60" t="s">
        <v>65</v>
      </c>
      <c r="L23" s="71" t="s">
        <v>72</v>
      </c>
      <c r="M23" s="71"/>
      <c r="N23" s="61">
        <v>1</v>
      </c>
      <c r="O23" s="62">
        <v>0</v>
      </c>
      <c r="P23" s="63">
        <f t="shared" si="7"/>
        <v>0</v>
      </c>
      <c r="Q23" s="63">
        <f t="shared" si="8"/>
        <v>0</v>
      </c>
      <c r="R23" s="63">
        <f t="shared" si="9"/>
        <v>0</v>
      </c>
      <c r="S23" s="64">
        <v>79200</v>
      </c>
      <c r="T23" s="63">
        <f t="shared" si="10"/>
        <v>79200</v>
      </c>
      <c r="U23" s="63">
        <f t="shared" si="11"/>
        <v>15048</v>
      </c>
      <c r="V23" s="63">
        <f t="shared" si="12"/>
        <v>94248</v>
      </c>
      <c r="W23" s="65">
        <f t="shared" si="13"/>
        <v>94248</v>
      </c>
      <c r="X23" s="106"/>
      <c r="Y23" s="107"/>
      <c r="AN23" s="7" t="s">
        <v>73</v>
      </c>
      <c r="AO23" s="7" t="s">
        <v>74</v>
      </c>
    </row>
    <row r="24" spans="1:41" ht="25.5" customHeight="1">
      <c r="A24" s="3"/>
      <c r="B24" s="3"/>
      <c r="C24" s="71"/>
      <c r="D24" s="71"/>
      <c r="E24" s="70"/>
      <c r="F24" s="69"/>
      <c r="G24" s="70"/>
      <c r="H24" s="108"/>
      <c r="I24" s="109"/>
      <c r="J24" s="110"/>
      <c r="K24" s="60" t="s">
        <v>65</v>
      </c>
      <c r="L24" s="71" t="s">
        <v>75</v>
      </c>
      <c r="M24" s="71"/>
      <c r="N24" s="61">
        <v>1</v>
      </c>
      <c r="O24" s="62">
        <v>264000</v>
      </c>
      <c r="P24" s="63">
        <f t="shared" si="7"/>
        <v>264000</v>
      </c>
      <c r="Q24" s="63">
        <f t="shared" si="8"/>
        <v>50160</v>
      </c>
      <c r="R24" s="63">
        <f t="shared" si="9"/>
        <v>314160</v>
      </c>
      <c r="S24" s="64">
        <v>0</v>
      </c>
      <c r="T24" s="63">
        <f t="shared" si="10"/>
        <v>0</v>
      </c>
      <c r="U24" s="63">
        <f t="shared" si="11"/>
        <v>0</v>
      </c>
      <c r="V24" s="63">
        <f t="shared" si="12"/>
        <v>0</v>
      </c>
      <c r="W24" s="65">
        <f t="shared" si="13"/>
        <v>314160</v>
      </c>
      <c r="X24" s="106"/>
      <c r="Y24" s="107"/>
      <c r="AN24" s="7" t="s">
        <v>76</v>
      </c>
    </row>
    <row r="25" spans="1:41" ht="25.5" customHeight="1">
      <c r="A25" s="3"/>
      <c r="B25" s="3"/>
      <c r="C25" s="71"/>
      <c r="D25" s="71"/>
      <c r="E25" s="70"/>
      <c r="F25" s="69"/>
      <c r="G25" s="70"/>
      <c r="H25" s="108"/>
      <c r="I25" s="109"/>
      <c r="J25" s="110"/>
      <c r="K25" s="60" t="s">
        <v>65</v>
      </c>
      <c r="L25" s="71" t="s">
        <v>77</v>
      </c>
      <c r="M25" s="71"/>
      <c r="N25" s="61">
        <v>1</v>
      </c>
      <c r="O25" s="62">
        <v>0</v>
      </c>
      <c r="P25" s="63">
        <f t="shared" si="7"/>
        <v>0</v>
      </c>
      <c r="Q25" s="63">
        <f t="shared" si="8"/>
        <v>0</v>
      </c>
      <c r="R25" s="63">
        <f t="shared" si="9"/>
        <v>0</v>
      </c>
      <c r="S25" s="64">
        <v>290400</v>
      </c>
      <c r="T25" s="63">
        <f t="shared" si="10"/>
        <v>290400</v>
      </c>
      <c r="U25" s="63">
        <f t="shared" si="11"/>
        <v>55176</v>
      </c>
      <c r="V25" s="63">
        <f t="shared" si="12"/>
        <v>345576</v>
      </c>
      <c r="W25" s="65">
        <f t="shared" si="13"/>
        <v>345576</v>
      </c>
      <c r="X25" s="106"/>
      <c r="Y25" s="107"/>
      <c r="AN25" s="7" t="s">
        <v>78</v>
      </c>
    </row>
    <row r="26" spans="1:41" ht="25.5" customHeight="1">
      <c r="A26" s="3"/>
      <c r="B26" s="3"/>
      <c r="C26" s="71"/>
      <c r="D26" s="71"/>
      <c r="E26" s="70"/>
      <c r="F26" s="69"/>
      <c r="G26" s="70"/>
      <c r="H26" s="108"/>
      <c r="I26" s="109"/>
      <c r="J26" s="110"/>
      <c r="K26" s="60" t="s">
        <v>65</v>
      </c>
      <c r="L26" s="71" t="s">
        <v>79</v>
      </c>
      <c r="M26" s="71"/>
      <c r="N26" s="61">
        <v>4</v>
      </c>
      <c r="O26" s="62">
        <v>0</v>
      </c>
      <c r="P26" s="63">
        <f t="shared" si="7"/>
        <v>0</v>
      </c>
      <c r="Q26" s="63">
        <f t="shared" si="8"/>
        <v>0</v>
      </c>
      <c r="R26" s="63">
        <f t="shared" si="9"/>
        <v>0</v>
      </c>
      <c r="S26" s="64">
        <v>13200</v>
      </c>
      <c r="T26" s="63">
        <f t="shared" si="10"/>
        <v>52800</v>
      </c>
      <c r="U26" s="63">
        <f t="shared" si="11"/>
        <v>10032</v>
      </c>
      <c r="V26" s="63">
        <f t="shared" si="12"/>
        <v>62832</v>
      </c>
      <c r="W26" s="65">
        <f t="shared" si="13"/>
        <v>62832</v>
      </c>
      <c r="X26" s="106"/>
      <c r="Y26" s="107"/>
      <c r="AN26" s="7" t="s">
        <v>80</v>
      </c>
    </row>
    <row r="27" spans="1:41" ht="25.5" customHeight="1">
      <c r="A27" s="3"/>
      <c r="B27" s="3"/>
      <c r="C27" s="71"/>
      <c r="D27" s="71"/>
      <c r="E27" s="70"/>
      <c r="F27" s="69"/>
      <c r="G27" s="70"/>
      <c r="H27" s="108"/>
      <c r="I27" s="109"/>
      <c r="J27" s="110"/>
      <c r="K27" s="60" t="s">
        <v>65</v>
      </c>
      <c r="L27" s="71" t="s">
        <v>81</v>
      </c>
      <c r="M27" s="71"/>
      <c r="N27" s="61">
        <v>5</v>
      </c>
      <c r="O27" s="62">
        <v>24931</v>
      </c>
      <c r="P27" s="63">
        <f t="shared" si="7"/>
        <v>124655</v>
      </c>
      <c r="Q27" s="63">
        <f t="shared" si="8"/>
        <v>23684.45</v>
      </c>
      <c r="R27" s="63">
        <f t="shared" si="9"/>
        <v>148339.45000000001</v>
      </c>
      <c r="S27" s="64">
        <v>0</v>
      </c>
      <c r="T27" s="63">
        <f t="shared" si="10"/>
        <v>0</v>
      </c>
      <c r="U27" s="63">
        <f t="shared" si="11"/>
        <v>0</v>
      </c>
      <c r="V27" s="63">
        <f t="shared" si="12"/>
        <v>0</v>
      </c>
      <c r="W27" s="65">
        <f t="shared" si="13"/>
        <v>148339.45000000001</v>
      </c>
      <c r="X27" s="106"/>
      <c r="Y27" s="107"/>
      <c r="AN27" s="7" t="s">
        <v>82</v>
      </c>
    </row>
    <row r="28" spans="1:41" ht="25.5" customHeight="1">
      <c r="A28" s="3"/>
      <c r="B28" s="3"/>
      <c r="C28" s="71"/>
      <c r="D28" s="71"/>
      <c r="E28" s="70"/>
      <c r="F28" s="69"/>
      <c r="G28" s="70"/>
      <c r="H28" s="108"/>
      <c r="I28" s="109"/>
      <c r="J28" s="110"/>
      <c r="K28" s="60" t="s">
        <v>65</v>
      </c>
      <c r="L28" s="71" t="s">
        <v>83</v>
      </c>
      <c r="M28" s="71"/>
      <c r="N28" s="61">
        <v>4</v>
      </c>
      <c r="O28" s="62">
        <v>12689</v>
      </c>
      <c r="P28" s="63">
        <f t="shared" si="7"/>
        <v>50756</v>
      </c>
      <c r="Q28" s="63">
        <f t="shared" si="8"/>
        <v>9643.64</v>
      </c>
      <c r="R28" s="63">
        <f t="shared" si="9"/>
        <v>60399.64</v>
      </c>
      <c r="S28" s="64">
        <v>0</v>
      </c>
      <c r="T28" s="63">
        <f t="shared" si="10"/>
        <v>0</v>
      </c>
      <c r="U28" s="63">
        <f t="shared" si="11"/>
        <v>0</v>
      </c>
      <c r="V28" s="63">
        <f t="shared" si="12"/>
        <v>0</v>
      </c>
      <c r="W28" s="65">
        <f t="shared" si="13"/>
        <v>60399.64</v>
      </c>
      <c r="X28" s="106"/>
      <c r="Y28" s="107"/>
      <c r="AN28" s="7" t="s">
        <v>84</v>
      </c>
    </row>
    <row r="29" spans="1:41" ht="25.5" customHeight="1">
      <c r="A29" s="3"/>
      <c r="B29" s="3"/>
      <c r="C29" s="71"/>
      <c r="D29" s="71"/>
      <c r="E29" s="70"/>
      <c r="F29" s="69"/>
      <c r="G29" s="70"/>
      <c r="H29" s="108"/>
      <c r="I29" s="109"/>
      <c r="J29" s="110"/>
      <c r="K29" s="60" t="s">
        <v>65</v>
      </c>
      <c r="L29" s="71" t="s">
        <v>85</v>
      </c>
      <c r="M29" s="71"/>
      <c r="N29" s="61">
        <v>1</v>
      </c>
      <c r="O29" s="62">
        <v>11504</v>
      </c>
      <c r="P29" s="63">
        <f t="shared" si="7"/>
        <v>11504</v>
      </c>
      <c r="Q29" s="63">
        <f t="shared" si="8"/>
        <v>2185.7600000000002</v>
      </c>
      <c r="R29" s="63">
        <f t="shared" si="9"/>
        <v>13689.76</v>
      </c>
      <c r="S29" s="64">
        <v>0</v>
      </c>
      <c r="T29" s="63">
        <f t="shared" si="10"/>
        <v>0</v>
      </c>
      <c r="U29" s="63">
        <f t="shared" si="11"/>
        <v>0</v>
      </c>
      <c r="V29" s="63">
        <f t="shared" si="12"/>
        <v>0</v>
      </c>
      <c r="W29" s="65">
        <f t="shared" si="13"/>
        <v>13689.76</v>
      </c>
      <c r="X29" s="106"/>
      <c r="Y29" s="107"/>
    </row>
    <row r="30" spans="1:41" ht="25.5" customHeight="1">
      <c r="A30" s="3"/>
      <c r="B30" s="3"/>
      <c r="C30" s="71"/>
      <c r="D30" s="71"/>
      <c r="E30" s="70"/>
      <c r="F30" s="69"/>
      <c r="G30" s="70"/>
      <c r="H30" s="108"/>
      <c r="I30" s="109"/>
      <c r="J30" s="110"/>
      <c r="K30" s="60" t="s">
        <v>65</v>
      </c>
      <c r="L30" s="71" t="s">
        <v>86</v>
      </c>
      <c r="M30" s="71"/>
      <c r="N30" s="61">
        <v>1</v>
      </c>
      <c r="O30" s="62">
        <v>20756</v>
      </c>
      <c r="P30" s="63">
        <f t="shared" si="7"/>
        <v>20756</v>
      </c>
      <c r="Q30" s="63">
        <f t="shared" si="8"/>
        <v>3943.64</v>
      </c>
      <c r="R30" s="63">
        <f t="shared" si="9"/>
        <v>24699.64</v>
      </c>
      <c r="S30" s="64">
        <v>0</v>
      </c>
      <c r="T30" s="63">
        <f t="shared" si="10"/>
        <v>0</v>
      </c>
      <c r="U30" s="63">
        <f t="shared" si="11"/>
        <v>0</v>
      </c>
      <c r="V30" s="63">
        <f t="shared" si="12"/>
        <v>0</v>
      </c>
      <c r="W30" s="65">
        <f t="shared" si="13"/>
        <v>24699.64</v>
      </c>
      <c r="X30" s="106"/>
      <c r="Y30" s="107"/>
      <c r="AN30" s="7" t="s">
        <v>87</v>
      </c>
    </row>
    <row r="31" spans="1:41" ht="25.5" customHeight="1">
      <c r="A31" s="3"/>
      <c r="B31" s="3"/>
      <c r="C31" s="71"/>
      <c r="D31" s="71"/>
      <c r="E31" s="70"/>
      <c r="F31" s="69"/>
      <c r="G31" s="70"/>
      <c r="H31" s="108"/>
      <c r="I31" s="109"/>
      <c r="J31" s="110"/>
      <c r="K31" s="60" t="s">
        <v>65</v>
      </c>
      <c r="L31" s="71" t="s">
        <v>88</v>
      </c>
      <c r="M31" s="71"/>
      <c r="N31" s="61">
        <v>1</v>
      </c>
      <c r="O31" s="62">
        <v>22775</v>
      </c>
      <c r="P31" s="63">
        <f t="shared" si="7"/>
        <v>22775</v>
      </c>
      <c r="Q31" s="63">
        <f t="shared" si="8"/>
        <v>4327.25</v>
      </c>
      <c r="R31" s="63">
        <f t="shared" si="9"/>
        <v>27102.25</v>
      </c>
      <c r="S31" s="64">
        <v>0</v>
      </c>
      <c r="T31" s="63">
        <f t="shared" si="10"/>
        <v>0</v>
      </c>
      <c r="U31" s="63">
        <f t="shared" si="11"/>
        <v>0</v>
      </c>
      <c r="V31" s="63">
        <f t="shared" si="12"/>
        <v>0</v>
      </c>
      <c r="W31" s="65">
        <f t="shared" si="13"/>
        <v>27102.25</v>
      </c>
      <c r="X31" s="106"/>
      <c r="Y31" s="107"/>
    </row>
    <row r="32" spans="1:41" ht="25.5" customHeight="1">
      <c r="A32" s="3"/>
      <c r="B32" s="3"/>
      <c r="C32" s="71"/>
      <c r="D32" s="71"/>
      <c r="E32" s="70"/>
      <c r="F32" s="69"/>
      <c r="G32" s="70"/>
      <c r="H32" s="108"/>
      <c r="I32" s="109"/>
      <c r="J32" s="110"/>
      <c r="K32" s="60" t="s">
        <v>69</v>
      </c>
      <c r="L32" s="71" t="s">
        <v>89</v>
      </c>
      <c r="M32" s="71"/>
      <c r="N32" s="61">
        <v>1</v>
      </c>
      <c r="O32" s="62">
        <v>3697</v>
      </c>
      <c r="P32" s="63">
        <f t="shared" si="7"/>
        <v>3697</v>
      </c>
      <c r="Q32" s="63">
        <f t="shared" si="8"/>
        <v>702.43000000000006</v>
      </c>
      <c r="R32" s="63">
        <f t="shared" si="9"/>
        <v>4399.43</v>
      </c>
      <c r="S32" s="64">
        <v>0</v>
      </c>
      <c r="T32" s="63">
        <f t="shared" si="10"/>
        <v>0</v>
      </c>
      <c r="U32" s="63">
        <f t="shared" si="11"/>
        <v>0</v>
      </c>
      <c r="V32" s="63">
        <f t="shared" si="12"/>
        <v>0</v>
      </c>
      <c r="W32" s="65">
        <f t="shared" si="13"/>
        <v>4399.43</v>
      </c>
      <c r="X32" s="106"/>
      <c r="Y32" s="107"/>
      <c r="AH32" s="7" t="s">
        <v>90</v>
      </c>
    </row>
    <row r="33" spans="1:34" ht="25.5" customHeight="1">
      <c r="A33" s="3"/>
      <c r="B33" s="3"/>
      <c r="C33" s="71"/>
      <c r="D33" s="71"/>
      <c r="E33" s="70"/>
      <c r="F33" s="69"/>
      <c r="G33" s="70"/>
      <c r="H33" s="108"/>
      <c r="I33" s="109"/>
      <c r="J33" s="110"/>
      <c r="K33" s="60" t="s">
        <v>65</v>
      </c>
      <c r="L33" s="71" t="s">
        <v>91</v>
      </c>
      <c r="M33" s="71"/>
      <c r="N33" s="61">
        <v>1</v>
      </c>
      <c r="O33" s="62">
        <v>45966</v>
      </c>
      <c r="P33" s="63">
        <f t="shared" si="7"/>
        <v>45966</v>
      </c>
      <c r="Q33" s="63">
        <f t="shared" si="8"/>
        <v>8733.5400000000009</v>
      </c>
      <c r="R33" s="63">
        <f t="shared" si="9"/>
        <v>54699.54</v>
      </c>
      <c r="S33" s="64">
        <v>0</v>
      </c>
      <c r="T33" s="63">
        <f t="shared" si="10"/>
        <v>0</v>
      </c>
      <c r="U33" s="63">
        <f t="shared" si="11"/>
        <v>0</v>
      </c>
      <c r="V33" s="63">
        <f t="shared" si="12"/>
        <v>0</v>
      </c>
      <c r="W33" s="65">
        <f t="shared" si="13"/>
        <v>54699.54</v>
      </c>
      <c r="X33" s="106"/>
      <c r="Y33" s="107"/>
    </row>
    <row r="34" spans="1:34" ht="25.5" customHeight="1">
      <c r="A34" s="3"/>
      <c r="B34" s="3"/>
      <c r="C34" s="71"/>
      <c r="D34" s="71"/>
      <c r="E34" s="70"/>
      <c r="F34" s="69"/>
      <c r="G34" s="70"/>
      <c r="H34" s="108"/>
      <c r="I34" s="109"/>
      <c r="J34" s="110"/>
      <c r="K34" s="60" t="s">
        <v>65</v>
      </c>
      <c r="L34" s="71" t="s">
        <v>92</v>
      </c>
      <c r="M34" s="71"/>
      <c r="N34" s="61">
        <v>1</v>
      </c>
      <c r="O34" s="62">
        <v>38151</v>
      </c>
      <c r="P34" s="63">
        <f t="shared" si="7"/>
        <v>38151</v>
      </c>
      <c r="Q34" s="63">
        <f t="shared" si="8"/>
        <v>7248.6900000000005</v>
      </c>
      <c r="R34" s="63">
        <f t="shared" si="9"/>
        <v>45399.69</v>
      </c>
      <c r="S34" s="64">
        <v>26400</v>
      </c>
      <c r="T34" s="63">
        <f t="shared" si="10"/>
        <v>26400</v>
      </c>
      <c r="U34" s="63">
        <f t="shared" si="11"/>
        <v>5016</v>
      </c>
      <c r="V34" s="63">
        <f t="shared" si="12"/>
        <v>31416</v>
      </c>
      <c r="W34" s="65">
        <f t="shared" si="13"/>
        <v>76815.69</v>
      </c>
      <c r="X34" s="106"/>
      <c r="Y34" s="107"/>
    </row>
    <row r="35" spans="1:34" ht="25.5" customHeight="1">
      <c r="A35" s="3"/>
      <c r="B35" s="3"/>
      <c r="C35" s="71"/>
      <c r="D35" s="71"/>
      <c r="E35" s="70"/>
      <c r="F35" s="69"/>
      <c r="G35" s="70"/>
      <c r="H35" s="108"/>
      <c r="I35" s="109"/>
      <c r="J35" s="110"/>
      <c r="K35" s="60" t="s">
        <v>65</v>
      </c>
      <c r="L35" s="71" t="s">
        <v>93</v>
      </c>
      <c r="M35" s="71"/>
      <c r="N35" s="61">
        <v>1</v>
      </c>
      <c r="O35" s="62">
        <v>92437</v>
      </c>
      <c r="P35" s="63">
        <f t="shared" si="7"/>
        <v>92437</v>
      </c>
      <c r="Q35" s="63">
        <f t="shared" si="8"/>
        <v>17563.03</v>
      </c>
      <c r="R35" s="63">
        <f t="shared" si="9"/>
        <v>110000.03</v>
      </c>
      <c r="S35" s="64">
        <v>0</v>
      </c>
      <c r="T35" s="63">
        <f t="shared" si="10"/>
        <v>0</v>
      </c>
      <c r="U35" s="63">
        <f t="shared" si="11"/>
        <v>0</v>
      </c>
      <c r="V35" s="63">
        <f t="shared" si="12"/>
        <v>0</v>
      </c>
      <c r="W35" s="65">
        <f t="shared" si="13"/>
        <v>110000.03</v>
      </c>
      <c r="X35" s="106"/>
      <c r="Y35" s="107"/>
    </row>
    <row r="36" spans="1:34" ht="25.5" customHeight="1">
      <c r="A36" s="3"/>
      <c r="B36" s="3"/>
      <c r="C36" s="71"/>
      <c r="D36" s="71"/>
      <c r="E36" s="70"/>
      <c r="F36" s="69"/>
      <c r="G36" s="70"/>
      <c r="H36" s="108"/>
      <c r="I36" s="109"/>
      <c r="J36" s="110"/>
      <c r="K36" s="60" t="s">
        <v>69</v>
      </c>
      <c r="L36" s="71" t="s">
        <v>94</v>
      </c>
      <c r="M36" s="71"/>
      <c r="N36" s="61">
        <v>1</v>
      </c>
      <c r="O36" s="62">
        <v>708050</v>
      </c>
      <c r="P36" s="63">
        <f t="shared" si="7"/>
        <v>708050</v>
      </c>
      <c r="Q36" s="63">
        <f t="shared" si="8"/>
        <v>134529.5</v>
      </c>
      <c r="R36" s="63">
        <f t="shared" si="9"/>
        <v>842579.5</v>
      </c>
      <c r="S36" s="64">
        <v>0</v>
      </c>
      <c r="T36" s="63">
        <f t="shared" si="10"/>
        <v>0</v>
      </c>
      <c r="U36" s="63">
        <f t="shared" si="11"/>
        <v>0</v>
      </c>
      <c r="V36" s="63">
        <f t="shared" si="12"/>
        <v>0</v>
      </c>
      <c r="W36" s="65">
        <f t="shared" si="13"/>
        <v>842579.5</v>
      </c>
      <c r="X36" s="106"/>
      <c r="Y36" s="107"/>
    </row>
    <row r="37" spans="1:34" ht="25.5" customHeight="1">
      <c r="A37" s="3"/>
      <c r="B37" s="3"/>
      <c r="C37" s="71"/>
      <c r="D37" s="71"/>
      <c r="E37" s="70"/>
      <c r="F37" s="69"/>
      <c r="G37" s="70"/>
      <c r="H37" s="108"/>
      <c r="I37" s="109"/>
      <c r="J37" s="110"/>
      <c r="K37" s="60" t="s">
        <v>69</v>
      </c>
      <c r="L37" s="71" t="s">
        <v>95</v>
      </c>
      <c r="M37" s="71"/>
      <c r="N37" s="61">
        <v>1</v>
      </c>
      <c r="O37" s="62">
        <v>349916</v>
      </c>
      <c r="P37" s="63">
        <f t="shared" si="7"/>
        <v>349916</v>
      </c>
      <c r="Q37" s="63">
        <f t="shared" si="8"/>
        <v>66484.039999999994</v>
      </c>
      <c r="R37" s="63">
        <f t="shared" si="9"/>
        <v>416400.04</v>
      </c>
      <c r="S37" s="64">
        <v>0</v>
      </c>
      <c r="T37" s="63">
        <f t="shared" si="10"/>
        <v>0</v>
      </c>
      <c r="U37" s="63">
        <f t="shared" si="11"/>
        <v>0</v>
      </c>
      <c r="V37" s="63">
        <f t="shared" si="12"/>
        <v>0</v>
      </c>
      <c r="W37" s="65">
        <f t="shared" si="13"/>
        <v>416400.04</v>
      </c>
      <c r="X37" s="106"/>
      <c r="Y37" s="107"/>
      <c r="AH37" s="7" t="s">
        <v>96</v>
      </c>
    </row>
    <row r="38" spans="1:34" ht="25.5" customHeight="1">
      <c r="A38" s="3"/>
      <c r="B38" s="3"/>
      <c r="C38" s="150"/>
      <c r="D38" s="150"/>
      <c r="E38" s="151"/>
      <c r="F38" s="152"/>
      <c r="G38" s="151"/>
      <c r="H38" s="153"/>
      <c r="I38" s="154"/>
      <c r="J38" s="155"/>
      <c r="K38" s="60" t="s">
        <v>69</v>
      </c>
      <c r="L38" s="71" t="s">
        <v>97</v>
      </c>
      <c r="M38" s="71"/>
      <c r="N38" s="61">
        <v>1</v>
      </c>
      <c r="O38" s="62">
        <v>63907</v>
      </c>
      <c r="P38" s="63">
        <f t="shared" si="7"/>
        <v>63907</v>
      </c>
      <c r="Q38" s="63">
        <f t="shared" si="8"/>
        <v>12142.33</v>
      </c>
      <c r="R38" s="63">
        <f t="shared" si="9"/>
        <v>76049.33</v>
      </c>
      <c r="S38" s="64">
        <v>0</v>
      </c>
      <c r="T38" s="63">
        <f t="shared" si="10"/>
        <v>0</v>
      </c>
      <c r="U38" s="63">
        <f t="shared" si="11"/>
        <v>0</v>
      </c>
      <c r="V38" s="63">
        <f t="shared" si="12"/>
        <v>0</v>
      </c>
      <c r="W38" s="65">
        <f t="shared" si="13"/>
        <v>76049.33</v>
      </c>
      <c r="X38" s="115"/>
      <c r="Y38" s="116"/>
    </row>
    <row r="39" spans="1:34" ht="25.5" customHeight="1">
      <c r="A39" s="3"/>
      <c r="B39" s="3"/>
      <c r="C39" s="68">
        <v>45449</v>
      </c>
      <c r="D39" s="67"/>
      <c r="E39" s="66" t="s">
        <v>98</v>
      </c>
      <c r="F39" s="145"/>
      <c r="G39" s="66" t="s">
        <v>99</v>
      </c>
      <c r="H39" s="146">
        <v>81151</v>
      </c>
      <c r="I39" s="147">
        <v>45483</v>
      </c>
      <c r="J39" s="148" t="s">
        <v>100</v>
      </c>
      <c r="K39" s="149" t="s">
        <v>69</v>
      </c>
      <c r="L39" s="79" t="s">
        <v>101</v>
      </c>
      <c r="M39" s="80"/>
      <c r="N39" s="39">
        <v>1</v>
      </c>
      <c r="O39" s="111">
        <v>443649</v>
      </c>
      <c r="P39" s="112">
        <f t="shared" si="7"/>
        <v>443649</v>
      </c>
      <c r="Q39" s="112">
        <f t="shared" si="8"/>
        <v>84293.31</v>
      </c>
      <c r="R39" s="112">
        <f t="shared" si="9"/>
        <v>527942.31000000006</v>
      </c>
      <c r="S39" s="113">
        <v>55074</v>
      </c>
      <c r="T39" s="112">
        <f t="shared" si="10"/>
        <v>55074</v>
      </c>
      <c r="U39" s="112">
        <f t="shared" si="11"/>
        <v>10464.06</v>
      </c>
      <c r="V39" s="112">
        <f t="shared" si="12"/>
        <v>65538.06</v>
      </c>
      <c r="W39" s="114">
        <f t="shared" si="13"/>
        <v>593480.37000000011</v>
      </c>
      <c r="X39" s="129">
        <f>W39</f>
        <v>593480.37000000011</v>
      </c>
      <c r="Y39" s="130" t="s">
        <v>67</v>
      </c>
      <c r="AH39" s="7" t="s">
        <v>102</v>
      </c>
    </row>
    <row r="40" spans="1:34" ht="25.5" customHeight="1">
      <c r="A40" s="3"/>
      <c r="B40" s="3"/>
      <c r="C40" s="143">
        <v>45456</v>
      </c>
      <c r="D40" s="141"/>
      <c r="E40" s="138" t="s">
        <v>103</v>
      </c>
      <c r="F40" s="139"/>
      <c r="G40" s="138" t="s">
        <v>99</v>
      </c>
      <c r="H40" s="135">
        <v>81253</v>
      </c>
      <c r="I40" s="134">
        <v>45483</v>
      </c>
      <c r="J40" s="131" t="s">
        <v>104</v>
      </c>
      <c r="K40" s="30" t="s">
        <v>65</v>
      </c>
      <c r="L40" s="79" t="s">
        <v>105</v>
      </c>
      <c r="M40" s="80"/>
      <c r="N40" s="24">
        <v>4</v>
      </c>
      <c r="O40" s="117">
        <v>26535</v>
      </c>
      <c r="P40" s="118">
        <f t="shared" si="7"/>
        <v>106140</v>
      </c>
      <c r="Q40" s="118">
        <f t="shared" si="8"/>
        <v>20166.599999999999</v>
      </c>
      <c r="R40" s="118">
        <f t="shared" si="9"/>
        <v>126306.6</v>
      </c>
      <c r="S40" s="119"/>
      <c r="T40" s="118">
        <f t="shared" si="10"/>
        <v>0</v>
      </c>
      <c r="U40" s="118">
        <f t="shared" si="11"/>
        <v>0</v>
      </c>
      <c r="V40" s="118">
        <f t="shared" si="12"/>
        <v>0</v>
      </c>
      <c r="W40" s="128">
        <f t="shared" si="13"/>
        <v>126306.6</v>
      </c>
      <c r="X40" s="125">
        <f>SUM(W40:W44)</f>
        <v>477826.65</v>
      </c>
      <c r="Y40" s="126" t="s">
        <v>67</v>
      </c>
    </row>
    <row r="41" spans="1:34" ht="25.5" customHeight="1">
      <c r="A41" s="3"/>
      <c r="B41" s="3"/>
      <c r="C41" s="143"/>
      <c r="D41" s="141"/>
      <c r="E41" s="138"/>
      <c r="F41" s="139"/>
      <c r="G41" s="138"/>
      <c r="H41" s="135"/>
      <c r="I41" s="134"/>
      <c r="J41" s="131"/>
      <c r="K41" s="30" t="s">
        <v>65</v>
      </c>
      <c r="L41" s="74" t="s">
        <v>106</v>
      </c>
      <c r="M41" s="75"/>
      <c r="N41" s="24">
        <v>1</v>
      </c>
      <c r="O41" s="117">
        <v>44200</v>
      </c>
      <c r="P41" s="118">
        <f t="shared" si="7"/>
        <v>44200</v>
      </c>
      <c r="Q41" s="118">
        <f t="shared" si="8"/>
        <v>8398</v>
      </c>
      <c r="R41" s="118">
        <f t="shared" si="9"/>
        <v>52598</v>
      </c>
      <c r="S41" s="119">
        <v>0</v>
      </c>
      <c r="T41" s="118">
        <f t="shared" si="10"/>
        <v>0</v>
      </c>
      <c r="U41" s="118">
        <f t="shared" si="11"/>
        <v>0</v>
      </c>
      <c r="V41" s="118">
        <f t="shared" si="12"/>
        <v>0</v>
      </c>
      <c r="W41" s="128">
        <f t="shared" si="13"/>
        <v>52598</v>
      </c>
      <c r="X41" s="127"/>
      <c r="Y41" s="126"/>
    </row>
    <row r="42" spans="1:34" ht="25.5" customHeight="1">
      <c r="A42" s="3"/>
      <c r="B42" s="3"/>
      <c r="C42" s="143"/>
      <c r="D42" s="141"/>
      <c r="E42" s="138"/>
      <c r="F42" s="139"/>
      <c r="G42" s="138"/>
      <c r="H42" s="135"/>
      <c r="I42" s="134"/>
      <c r="J42" s="131"/>
      <c r="K42" s="30" t="s">
        <v>65</v>
      </c>
      <c r="L42" s="74" t="s">
        <v>92</v>
      </c>
      <c r="M42" s="75"/>
      <c r="N42" s="24">
        <v>1</v>
      </c>
      <c r="O42" s="117">
        <v>74160</v>
      </c>
      <c r="P42" s="118">
        <f t="shared" si="7"/>
        <v>74160</v>
      </c>
      <c r="Q42" s="118">
        <f t="shared" si="8"/>
        <v>14090.4</v>
      </c>
      <c r="R42" s="118">
        <f t="shared" si="9"/>
        <v>88250.4</v>
      </c>
      <c r="S42" s="119">
        <v>0</v>
      </c>
      <c r="T42" s="118">
        <f t="shared" si="10"/>
        <v>0</v>
      </c>
      <c r="U42" s="118">
        <f t="shared" si="11"/>
        <v>0</v>
      </c>
      <c r="V42" s="118">
        <f t="shared" si="12"/>
        <v>0</v>
      </c>
      <c r="W42" s="128">
        <f t="shared" si="13"/>
        <v>88250.4</v>
      </c>
      <c r="X42" s="127"/>
      <c r="Y42" s="126"/>
    </row>
    <row r="43" spans="1:34" ht="25.5" customHeight="1">
      <c r="A43" s="3"/>
      <c r="B43" s="3"/>
      <c r="C43" s="143"/>
      <c r="D43" s="141"/>
      <c r="E43" s="138"/>
      <c r="F43" s="139"/>
      <c r="G43" s="138"/>
      <c r="H43" s="135"/>
      <c r="I43" s="134"/>
      <c r="J43" s="131"/>
      <c r="K43" s="30" t="s">
        <v>65</v>
      </c>
      <c r="L43" s="74" t="s">
        <v>107</v>
      </c>
      <c r="M43" s="75"/>
      <c r="N43" s="24">
        <v>2</v>
      </c>
      <c r="O43" s="117">
        <v>0</v>
      </c>
      <c r="P43" s="118">
        <f t="shared" si="7"/>
        <v>0</v>
      </c>
      <c r="Q43" s="118">
        <f t="shared" si="8"/>
        <v>0</v>
      </c>
      <c r="R43" s="118">
        <f t="shared" si="9"/>
        <v>0</v>
      </c>
      <c r="S43" s="119">
        <v>41217</v>
      </c>
      <c r="T43" s="118">
        <f t="shared" si="10"/>
        <v>82434</v>
      </c>
      <c r="U43" s="118">
        <f t="shared" si="11"/>
        <v>15662.460000000001</v>
      </c>
      <c r="V43" s="118">
        <f t="shared" si="12"/>
        <v>98096.46</v>
      </c>
      <c r="W43" s="128">
        <f t="shared" si="13"/>
        <v>98096.46</v>
      </c>
      <c r="X43" s="127"/>
      <c r="Y43" s="126"/>
    </row>
    <row r="44" spans="1:34" ht="25.5" customHeight="1">
      <c r="A44" s="3"/>
      <c r="B44" s="3"/>
      <c r="C44" s="144"/>
      <c r="D44" s="142"/>
      <c r="E44" s="137"/>
      <c r="F44" s="140"/>
      <c r="G44" s="137"/>
      <c r="H44" s="136"/>
      <c r="I44" s="133"/>
      <c r="J44" s="132"/>
      <c r="K44" s="30" t="s">
        <v>65</v>
      </c>
      <c r="L44" s="74" t="s">
        <v>108</v>
      </c>
      <c r="M44" s="75"/>
      <c r="N44" s="24">
        <v>1</v>
      </c>
      <c r="O44" s="117">
        <v>0</v>
      </c>
      <c r="P44" s="118">
        <f t="shared" si="7"/>
        <v>0</v>
      </c>
      <c r="Q44" s="118">
        <f t="shared" si="8"/>
        <v>0</v>
      </c>
      <c r="R44" s="118">
        <f t="shared" si="9"/>
        <v>0</v>
      </c>
      <c r="S44" s="119">
        <v>94601</v>
      </c>
      <c r="T44" s="118">
        <f t="shared" si="10"/>
        <v>94601</v>
      </c>
      <c r="U44" s="118">
        <f t="shared" si="11"/>
        <v>17974.189999999999</v>
      </c>
      <c r="V44" s="118">
        <f t="shared" si="12"/>
        <v>112575.19</v>
      </c>
      <c r="W44" s="128">
        <f t="shared" si="13"/>
        <v>112575.19</v>
      </c>
      <c r="X44" s="127"/>
      <c r="Y44" s="126"/>
    </row>
    <row r="45" spans="1:34" ht="25.5" customHeight="1">
      <c r="A45" s="3"/>
      <c r="B45" s="3"/>
      <c r="C45" s="26"/>
      <c r="D45" s="26"/>
      <c r="E45" s="26"/>
      <c r="F45" s="28"/>
      <c r="G45" s="26"/>
      <c r="H45" s="25"/>
      <c r="I45" s="11"/>
      <c r="J45" s="11"/>
      <c r="K45" s="30"/>
      <c r="L45" s="74"/>
      <c r="M45" s="75"/>
      <c r="N45" s="24"/>
      <c r="O45" s="117">
        <v>0</v>
      </c>
      <c r="P45" s="118">
        <f t="shared" si="7"/>
        <v>0</v>
      </c>
      <c r="Q45" s="118">
        <f t="shared" si="8"/>
        <v>0</v>
      </c>
      <c r="R45" s="118">
        <f t="shared" si="9"/>
        <v>0</v>
      </c>
      <c r="S45" s="119">
        <v>0</v>
      </c>
      <c r="T45" s="118">
        <f t="shared" si="10"/>
        <v>0</v>
      </c>
      <c r="U45" s="118">
        <f t="shared" si="11"/>
        <v>0</v>
      </c>
      <c r="V45" s="118">
        <f t="shared" si="12"/>
        <v>0</v>
      </c>
      <c r="W45" s="120">
        <f t="shared" si="13"/>
        <v>0</v>
      </c>
    </row>
    <row r="46" spans="1:34" ht="25.5" customHeight="1">
      <c r="A46" s="3"/>
      <c r="B46" s="3"/>
      <c r="C46" s="26"/>
      <c r="D46" s="26"/>
      <c r="E46" s="26"/>
      <c r="F46" s="28"/>
      <c r="G46" s="26"/>
      <c r="H46" s="25"/>
      <c r="I46" s="11"/>
      <c r="J46" s="11"/>
      <c r="K46" s="30"/>
      <c r="L46" s="74"/>
      <c r="M46" s="75"/>
      <c r="N46" s="24"/>
      <c r="O46" s="117">
        <v>0</v>
      </c>
      <c r="P46" s="118">
        <f t="shared" si="7"/>
        <v>0</v>
      </c>
      <c r="Q46" s="118">
        <f t="shared" si="8"/>
        <v>0</v>
      </c>
      <c r="R46" s="118">
        <f t="shared" si="9"/>
        <v>0</v>
      </c>
      <c r="S46" s="119">
        <v>0</v>
      </c>
      <c r="T46" s="118">
        <f t="shared" si="10"/>
        <v>0</v>
      </c>
      <c r="U46" s="118">
        <f t="shared" si="11"/>
        <v>0</v>
      </c>
      <c r="V46" s="118">
        <f t="shared" si="12"/>
        <v>0</v>
      </c>
      <c r="W46" s="120">
        <f t="shared" si="13"/>
        <v>0</v>
      </c>
    </row>
    <row r="47" spans="1:34" ht="25.5" customHeight="1">
      <c r="A47" s="3"/>
      <c r="B47" s="3"/>
      <c r="C47" s="26"/>
      <c r="D47" s="26"/>
      <c r="E47" s="26"/>
      <c r="F47" s="28"/>
      <c r="G47" s="26"/>
      <c r="H47" s="25"/>
      <c r="I47" s="11"/>
      <c r="J47" s="11"/>
      <c r="K47" s="30"/>
      <c r="L47" s="74"/>
      <c r="M47" s="75"/>
      <c r="N47" s="24"/>
      <c r="O47" s="117">
        <v>0</v>
      </c>
      <c r="P47" s="118">
        <f t="shared" si="7"/>
        <v>0</v>
      </c>
      <c r="Q47" s="118">
        <f t="shared" si="8"/>
        <v>0</v>
      </c>
      <c r="R47" s="118">
        <f t="shared" si="9"/>
        <v>0</v>
      </c>
      <c r="S47" s="119">
        <v>0</v>
      </c>
      <c r="T47" s="118">
        <f t="shared" si="10"/>
        <v>0</v>
      </c>
      <c r="U47" s="118">
        <f t="shared" si="11"/>
        <v>0</v>
      </c>
      <c r="V47" s="118">
        <f t="shared" si="12"/>
        <v>0</v>
      </c>
      <c r="W47" s="120">
        <f t="shared" si="13"/>
        <v>0</v>
      </c>
    </row>
    <row r="48" spans="1:34" ht="25.5" customHeight="1">
      <c r="A48" s="3"/>
      <c r="B48" s="3"/>
      <c r="C48" s="26"/>
      <c r="D48" s="26"/>
      <c r="E48" s="26"/>
      <c r="F48" s="28"/>
      <c r="G48" s="26"/>
      <c r="H48" s="25"/>
      <c r="I48" s="11"/>
      <c r="J48" s="11"/>
      <c r="K48" s="30"/>
      <c r="L48" s="74"/>
      <c r="M48" s="75"/>
      <c r="N48" s="24"/>
      <c r="O48" s="117">
        <v>0</v>
      </c>
      <c r="P48" s="118">
        <f t="shared" si="7"/>
        <v>0</v>
      </c>
      <c r="Q48" s="118">
        <f t="shared" si="8"/>
        <v>0</v>
      </c>
      <c r="R48" s="118">
        <f t="shared" si="9"/>
        <v>0</v>
      </c>
      <c r="S48" s="119">
        <v>0</v>
      </c>
      <c r="T48" s="118">
        <f t="shared" si="10"/>
        <v>0</v>
      </c>
      <c r="U48" s="118">
        <f t="shared" si="11"/>
        <v>0</v>
      </c>
      <c r="V48" s="118">
        <f t="shared" si="12"/>
        <v>0</v>
      </c>
      <c r="W48" s="120">
        <f t="shared" si="13"/>
        <v>0</v>
      </c>
      <c r="AH48" s="7" t="s">
        <v>109</v>
      </c>
    </row>
    <row r="49" spans="1:34" ht="25.5" customHeight="1">
      <c r="A49" s="3"/>
      <c r="B49" s="3"/>
      <c r="C49" s="26"/>
      <c r="D49" s="26"/>
      <c r="E49" s="26"/>
      <c r="F49" s="28"/>
      <c r="G49" s="26"/>
      <c r="H49" s="25"/>
      <c r="I49" s="11"/>
      <c r="J49" s="11"/>
      <c r="K49" s="30"/>
      <c r="L49" s="74"/>
      <c r="M49" s="75"/>
      <c r="N49" s="24"/>
      <c r="O49" s="117">
        <v>0</v>
      </c>
      <c r="P49" s="118">
        <f t="shared" si="7"/>
        <v>0</v>
      </c>
      <c r="Q49" s="118">
        <f t="shared" si="8"/>
        <v>0</v>
      </c>
      <c r="R49" s="118">
        <f t="shared" si="9"/>
        <v>0</v>
      </c>
      <c r="S49" s="119">
        <v>0</v>
      </c>
      <c r="T49" s="118">
        <f t="shared" si="10"/>
        <v>0</v>
      </c>
      <c r="U49" s="118">
        <f t="shared" si="11"/>
        <v>0</v>
      </c>
      <c r="V49" s="118">
        <f t="shared" si="12"/>
        <v>0</v>
      </c>
      <c r="W49" s="120">
        <f t="shared" si="13"/>
        <v>0</v>
      </c>
    </row>
    <row r="50" spans="1:34" ht="25.5" customHeight="1">
      <c r="A50" s="3"/>
      <c r="B50" s="3"/>
      <c r="C50" s="26"/>
      <c r="D50" s="26"/>
      <c r="E50" s="26"/>
      <c r="F50" s="28"/>
      <c r="G50" s="26"/>
      <c r="H50" s="25"/>
      <c r="I50" s="11"/>
      <c r="J50" s="11"/>
      <c r="K50" s="30"/>
      <c r="L50" s="74"/>
      <c r="M50" s="75"/>
      <c r="N50" s="24"/>
      <c r="O50" s="117">
        <v>0</v>
      </c>
      <c r="P50" s="118">
        <f t="shared" si="7"/>
        <v>0</v>
      </c>
      <c r="Q50" s="118">
        <f t="shared" si="8"/>
        <v>0</v>
      </c>
      <c r="R50" s="118">
        <f t="shared" si="9"/>
        <v>0</v>
      </c>
      <c r="S50" s="119">
        <v>0</v>
      </c>
      <c r="T50" s="118">
        <f t="shared" si="10"/>
        <v>0</v>
      </c>
      <c r="U50" s="118">
        <f t="shared" si="11"/>
        <v>0</v>
      </c>
      <c r="V50" s="118">
        <f t="shared" si="12"/>
        <v>0</v>
      </c>
      <c r="W50" s="120">
        <f t="shared" si="13"/>
        <v>0</v>
      </c>
    </row>
    <row r="51" spans="1:34" ht="25.5" customHeight="1">
      <c r="A51" s="3"/>
      <c r="B51" s="3"/>
      <c r="C51" s="26"/>
      <c r="D51" s="26"/>
      <c r="E51" s="26"/>
      <c r="F51" s="28"/>
      <c r="G51" s="26"/>
      <c r="H51" s="25"/>
      <c r="I51" s="11"/>
      <c r="J51" s="11"/>
      <c r="K51" s="30"/>
      <c r="L51" s="74"/>
      <c r="M51" s="75"/>
      <c r="N51" s="24"/>
      <c r="O51" s="117">
        <v>0</v>
      </c>
      <c r="P51" s="118">
        <f t="shared" si="7"/>
        <v>0</v>
      </c>
      <c r="Q51" s="118">
        <f t="shared" si="8"/>
        <v>0</v>
      </c>
      <c r="R51" s="118">
        <f t="shared" si="9"/>
        <v>0</v>
      </c>
      <c r="S51" s="119">
        <v>0</v>
      </c>
      <c r="T51" s="118">
        <f t="shared" si="10"/>
        <v>0</v>
      </c>
      <c r="U51" s="118">
        <f t="shared" si="11"/>
        <v>0</v>
      </c>
      <c r="V51" s="118">
        <f t="shared" si="12"/>
        <v>0</v>
      </c>
      <c r="W51" s="120">
        <f t="shared" si="13"/>
        <v>0</v>
      </c>
    </row>
    <row r="52" spans="1:34" ht="25.5" customHeight="1">
      <c r="A52" s="3"/>
      <c r="B52" s="3"/>
      <c r="C52" s="26"/>
      <c r="D52" s="26"/>
      <c r="E52" s="26"/>
      <c r="F52" s="28"/>
      <c r="G52" s="26"/>
      <c r="H52" s="25"/>
      <c r="I52" s="11"/>
      <c r="J52" s="11"/>
      <c r="K52" s="30"/>
      <c r="L52" s="74"/>
      <c r="M52" s="75"/>
      <c r="N52" s="24"/>
      <c r="O52" s="117">
        <v>0</v>
      </c>
      <c r="P52" s="118">
        <f t="shared" si="7"/>
        <v>0</v>
      </c>
      <c r="Q52" s="118">
        <f t="shared" si="8"/>
        <v>0</v>
      </c>
      <c r="R52" s="118">
        <f t="shared" si="9"/>
        <v>0</v>
      </c>
      <c r="S52" s="119">
        <v>0</v>
      </c>
      <c r="T52" s="118">
        <f t="shared" si="10"/>
        <v>0</v>
      </c>
      <c r="U52" s="118">
        <f t="shared" si="11"/>
        <v>0</v>
      </c>
      <c r="V52" s="118">
        <f t="shared" si="12"/>
        <v>0</v>
      </c>
      <c r="W52" s="120">
        <f t="shared" si="13"/>
        <v>0</v>
      </c>
    </row>
    <row r="53" spans="1:34" ht="25.5" customHeight="1">
      <c r="A53" s="3"/>
      <c r="B53" s="3"/>
      <c r="C53" s="26"/>
      <c r="D53" s="26"/>
      <c r="E53" s="26"/>
      <c r="F53" s="28"/>
      <c r="G53" s="26"/>
      <c r="H53" s="25"/>
      <c r="I53" s="11"/>
      <c r="J53" s="11"/>
      <c r="K53" s="30"/>
      <c r="L53" s="74"/>
      <c r="M53" s="75"/>
      <c r="N53" s="24"/>
      <c r="O53" s="117">
        <v>0</v>
      </c>
      <c r="P53" s="118">
        <f t="shared" si="7"/>
        <v>0</v>
      </c>
      <c r="Q53" s="118">
        <f t="shared" si="8"/>
        <v>0</v>
      </c>
      <c r="R53" s="118">
        <f t="shared" si="9"/>
        <v>0</v>
      </c>
      <c r="S53" s="119">
        <v>0</v>
      </c>
      <c r="T53" s="118">
        <f t="shared" si="10"/>
        <v>0</v>
      </c>
      <c r="U53" s="118">
        <f t="shared" si="11"/>
        <v>0</v>
      </c>
      <c r="V53" s="118">
        <f t="shared" si="12"/>
        <v>0</v>
      </c>
      <c r="W53" s="120">
        <f t="shared" si="13"/>
        <v>0</v>
      </c>
      <c r="AH53" s="7" t="s">
        <v>110</v>
      </c>
    </row>
    <row r="54" spans="1:34" ht="25.5" customHeight="1">
      <c r="A54" s="3"/>
      <c r="B54" s="3"/>
      <c r="C54" s="26"/>
      <c r="D54" s="26"/>
      <c r="E54" s="26"/>
      <c r="F54" s="28"/>
      <c r="G54" s="26"/>
      <c r="H54" s="25"/>
      <c r="I54" s="11"/>
      <c r="J54" s="11"/>
      <c r="K54" s="30"/>
      <c r="L54" s="74"/>
      <c r="M54" s="75"/>
      <c r="N54" s="24"/>
      <c r="O54" s="117">
        <v>0</v>
      </c>
      <c r="P54" s="118">
        <f t="shared" si="7"/>
        <v>0</v>
      </c>
      <c r="Q54" s="118">
        <f t="shared" si="8"/>
        <v>0</v>
      </c>
      <c r="R54" s="118">
        <f t="shared" si="9"/>
        <v>0</v>
      </c>
      <c r="S54" s="119">
        <v>0</v>
      </c>
      <c r="T54" s="118">
        <f t="shared" si="10"/>
        <v>0</v>
      </c>
      <c r="U54" s="118">
        <f t="shared" si="11"/>
        <v>0</v>
      </c>
      <c r="V54" s="118">
        <f t="shared" si="12"/>
        <v>0</v>
      </c>
      <c r="W54" s="120">
        <f t="shared" si="13"/>
        <v>0</v>
      </c>
    </row>
    <row r="55" spans="1:34" ht="25.5" customHeight="1">
      <c r="A55" s="3"/>
      <c r="B55" s="3"/>
      <c r="C55" s="26"/>
      <c r="D55" s="26"/>
      <c r="E55" s="26"/>
      <c r="F55" s="28"/>
      <c r="G55" s="26"/>
      <c r="H55" s="25"/>
      <c r="I55" s="11"/>
      <c r="J55" s="11"/>
      <c r="K55" s="30"/>
      <c r="L55" s="74"/>
      <c r="M55" s="75"/>
      <c r="N55" s="24"/>
      <c r="O55" s="117">
        <v>0</v>
      </c>
      <c r="P55" s="118">
        <f t="shared" si="7"/>
        <v>0</v>
      </c>
      <c r="Q55" s="118">
        <f t="shared" si="8"/>
        <v>0</v>
      </c>
      <c r="R55" s="118">
        <f t="shared" si="9"/>
        <v>0</v>
      </c>
      <c r="S55" s="119">
        <v>0</v>
      </c>
      <c r="T55" s="118">
        <f t="shared" si="10"/>
        <v>0</v>
      </c>
      <c r="U55" s="118">
        <f t="shared" si="11"/>
        <v>0</v>
      </c>
      <c r="V55" s="118">
        <f t="shared" si="12"/>
        <v>0</v>
      </c>
      <c r="W55" s="120">
        <f t="shared" si="13"/>
        <v>0</v>
      </c>
    </row>
    <row r="56" spans="1:34" ht="25.5" customHeight="1">
      <c r="A56" s="3"/>
      <c r="B56" s="3"/>
      <c r="C56" s="26"/>
      <c r="D56" s="26"/>
      <c r="E56" s="26"/>
      <c r="F56" s="28"/>
      <c r="G56" s="26"/>
      <c r="H56" s="25"/>
      <c r="I56" s="11"/>
      <c r="J56" s="11"/>
      <c r="K56" s="30"/>
      <c r="L56" s="74"/>
      <c r="M56" s="75"/>
      <c r="N56" s="24"/>
      <c r="O56" s="117">
        <v>0</v>
      </c>
      <c r="P56" s="118">
        <f t="shared" si="7"/>
        <v>0</v>
      </c>
      <c r="Q56" s="118">
        <f t="shared" si="8"/>
        <v>0</v>
      </c>
      <c r="R56" s="118">
        <f t="shared" si="9"/>
        <v>0</v>
      </c>
      <c r="S56" s="119">
        <v>0</v>
      </c>
      <c r="T56" s="118">
        <f t="shared" si="10"/>
        <v>0</v>
      </c>
      <c r="U56" s="118">
        <f t="shared" si="11"/>
        <v>0</v>
      </c>
      <c r="V56" s="118">
        <f t="shared" si="12"/>
        <v>0</v>
      </c>
      <c r="W56" s="120">
        <f t="shared" si="13"/>
        <v>0</v>
      </c>
    </row>
    <row r="57" spans="1:34" ht="25.5" customHeight="1">
      <c r="A57" s="3"/>
      <c r="B57" s="3"/>
      <c r="C57" s="26"/>
      <c r="D57" s="26"/>
      <c r="E57" s="26"/>
      <c r="F57" s="28"/>
      <c r="G57" s="26"/>
      <c r="H57" s="25"/>
      <c r="I57" s="11"/>
      <c r="J57" s="11"/>
      <c r="K57" s="30"/>
      <c r="L57" s="74"/>
      <c r="M57" s="75"/>
      <c r="N57" s="24"/>
      <c r="O57" s="117">
        <v>0</v>
      </c>
      <c r="P57" s="118">
        <f t="shared" si="7"/>
        <v>0</v>
      </c>
      <c r="Q57" s="118">
        <f t="shared" si="8"/>
        <v>0</v>
      </c>
      <c r="R57" s="118">
        <f t="shared" si="9"/>
        <v>0</v>
      </c>
      <c r="S57" s="119">
        <v>0</v>
      </c>
      <c r="T57" s="118">
        <f t="shared" si="10"/>
        <v>0</v>
      </c>
      <c r="U57" s="118">
        <f t="shared" si="11"/>
        <v>0</v>
      </c>
      <c r="V57" s="118">
        <f t="shared" si="12"/>
        <v>0</v>
      </c>
      <c r="W57" s="120">
        <f t="shared" si="13"/>
        <v>0</v>
      </c>
    </row>
    <row r="58" spans="1:34" ht="25.5" customHeight="1">
      <c r="A58" s="3"/>
      <c r="B58" s="3"/>
      <c r="C58" s="26"/>
      <c r="D58" s="26"/>
      <c r="E58" s="26"/>
      <c r="F58" s="28"/>
      <c r="G58" s="26"/>
      <c r="H58" s="25"/>
      <c r="I58" s="11"/>
      <c r="J58" s="11"/>
      <c r="K58" s="30"/>
      <c r="L58" s="74"/>
      <c r="M58" s="75"/>
      <c r="N58" s="24"/>
      <c r="O58" s="117">
        <v>0</v>
      </c>
      <c r="P58" s="118">
        <f t="shared" si="7"/>
        <v>0</v>
      </c>
      <c r="Q58" s="118">
        <f t="shared" si="8"/>
        <v>0</v>
      </c>
      <c r="R58" s="118">
        <f t="shared" si="9"/>
        <v>0</v>
      </c>
      <c r="S58" s="119">
        <v>0</v>
      </c>
      <c r="T58" s="118">
        <f t="shared" si="10"/>
        <v>0</v>
      </c>
      <c r="U58" s="118">
        <f t="shared" si="11"/>
        <v>0</v>
      </c>
      <c r="V58" s="118">
        <f t="shared" si="12"/>
        <v>0</v>
      </c>
      <c r="W58" s="120">
        <f t="shared" si="13"/>
        <v>0</v>
      </c>
    </row>
    <row r="59" spans="1:34" ht="25.5" customHeight="1">
      <c r="A59" s="3"/>
      <c r="B59" s="3"/>
      <c r="C59" s="26"/>
      <c r="D59" s="26"/>
      <c r="E59" s="26"/>
      <c r="F59" s="28"/>
      <c r="G59" s="26"/>
      <c r="H59" s="25"/>
      <c r="I59" s="11"/>
      <c r="J59" s="11"/>
      <c r="K59" s="30"/>
      <c r="L59" s="74"/>
      <c r="M59" s="75"/>
      <c r="N59" s="24"/>
      <c r="O59" s="117">
        <v>0</v>
      </c>
      <c r="P59" s="118">
        <f t="shared" si="7"/>
        <v>0</v>
      </c>
      <c r="Q59" s="118">
        <f t="shared" si="8"/>
        <v>0</v>
      </c>
      <c r="R59" s="118">
        <f t="shared" si="9"/>
        <v>0</v>
      </c>
      <c r="S59" s="119">
        <v>0</v>
      </c>
      <c r="T59" s="118">
        <f t="shared" si="10"/>
        <v>0</v>
      </c>
      <c r="U59" s="118">
        <f t="shared" si="11"/>
        <v>0</v>
      </c>
      <c r="V59" s="118">
        <f t="shared" si="12"/>
        <v>0</v>
      </c>
      <c r="W59" s="120">
        <f t="shared" si="13"/>
        <v>0</v>
      </c>
    </row>
    <row r="60" spans="1:34" ht="25.5" customHeight="1">
      <c r="A60" s="3"/>
      <c r="B60" s="3"/>
      <c r="C60" s="26"/>
      <c r="D60" s="26"/>
      <c r="E60" s="26"/>
      <c r="F60" s="28"/>
      <c r="G60" s="26"/>
      <c r="H60" s="25"/>
      <c r="I60" s="11"/>
      <c r="J60" s="11"/>
      <c r="K60" s="30"/>
      <c r="L60" s="74"/>
      <c r="M60" s="75"/>
      <c r="N60" s="24"/>
      <c r="O60" s="117">
        <v>0</v>
      </c>
      <c r="P60" s="118">
        <f t="shared" si="7"/>
        <v>0</v>
      </c>
      <c r="Q60" s="118">
        <f t="shared" si="8"/>
        <v>0</v>
      </c>
      <c r="R60" s="118">
        <f t="shared" si="9"/>
        <v>0</v>
      </c>
      <c r="S60" s="119">
        <v>0</v>
      </c>
      <c r="T60" s="118">
        <f t="shared" si="10"/>
        <v>0</v>
      </c>
      <c r="U60" s="118">
        <f t="shared" si="11"/>
        <v>0</v>
      </c>
      <c r="V60" s="118">
        <f t="shared" si="12"/>
        <v>0</v>
      </c>
      <c r="W60" s="120">
        <f t="shared" si="13"/>
        <v>0</v>
      </c>
    </row>
    <row r="61" spans="1:34" ht="25.5" customHeight="1">
      <c r="A61" s="3"/>
      <c r="B61" s="3"/>
      <c r="C61" s="26"/>
      <c r="D61" s="26"/>
      <c r="E61" s="26"/>
      <c r="F61" s="28"/>
      <c r="G61" s="26"/>
      <c r="H61" s="25"/>
      <c r="I61" s="11"/>
      <c r="J61" s="11"/>
      <c r="K61" s="30"/>
      <c r="L61" s="74"/>
      <c r="M61" s="75"/>
      <c r="N61" s="24"/>
      <c r="O61" s="117">
        <v>0</v>
      </c>
      <c r="P61" s="118">
        <f t="shared" si="7"/>
        <v>0</v>
      </c>
      <c r="Q61" s="118">
        <f t="shared" si="8"/>
        <v>0</v>
      </c>
      <c r="R61" s="118">
        <f t="shared" si="9"/>
        <v>0</v>
      </c>
      <c r="S61" s="119">
        <v>0</v>
      </c>
      <c r="T61" s="118">
        <f t="shared" si="10"/>
        <v>0</v>
      </c>
      <c r="U61" s="118">
        <f t="shared" si="11"/>
        <v>0</v>
      </c>
      <c r="V61" s="118">
        <f t="shared" si="12"/>
        <v>0</v>
      </c>
      <c r="W61" s="120">
        <f t="shared" si="13"/>
        <v>0</v>
      </c>
    </row>
    <row r="62" spans="1:34" ht="25.5" customHeight="1">
      <c r="A62" s="3"/>
      <c r="B62" s="3"/>
      <c r="C62" s="26"/>
      <c r="D62" s="26"/>
      <c r="E62" s="26"/>
      <c r="F62" s="28"/>
      <c r="G62" s="26"/>
      <c r="H62" s="25"/>
      <c r="I62" s="11"/>
      <c r="J62" s="11"/>
      <c r="K62" s="30"/>
      <c r="L62" s="74"/>
      <c r="M62" s="75"/>
      <c r="N62" s="24"/>
      <c r="O62" s="117">
        <v>0</v>
      </c>
      <c r="P62" s="118">
        <f t="shared" si="7"/>
        <v>0</v>
      </c>
      <c r="Q62" s="118">
        <f t="shared" si="8"/>
        <v>0</v>
      </c>
      <c r="R62" s="118">
        <f t="shared" si="9"/>
        <v>0</v>
      </c>
      <c r="S62" s="119">
        <v>0</v>
      </c>
      <c r="T62" s="118">
        <f t="shared" si="10"/>
        <v>0</v>
      </c>
      <c r="U62" s="118">
        <f t="shared" si="11"/>
        <v>0</v>
      </c>
      <c r="V62" s="118">
        <f t="shared" si="12"/>
        <v>0</v>
      </c>
      <c r="W62" s="120">
        <f t="shared" si="13"/>
        <v>0</v>
      </c>
    </row>
    <row r="63" spans="1:34" ht="25.5" customHeight="1">
      <c r="A63" s="3"/>
      <c r="B63" s="3"/>
      <c r="C63" s="26"/>
      <c r="D63" s="26"/>
      <c r="E63" s="26"/>
      <c r="F63" s="28"/>
      <c r="G63" s="26"/>
      <c r="H63" s="25"/>
      <c r="I63" s="11"/>
      <c r="J63" s="11"/>
      <c r="K63" s="30"/>
      <c r="L63" s="74"/>
      <c r="M63" s="75"/>
      <c r="N63" s="24"/>
      <c r="O63" s="117">
        <v>0</v>
      </c>
      <c r="P63" s="118">
        <f t="shared" si="7"/>
        <v>0</v>
      </c>
      <c r="Q63" s="118">
        <f t="shared" si="8"/>
        <v>0</v>
      </c>
      <c r="R63" s="118">
        <f t="shared" si="9"/>
        <v>0</v>
      </c>
      <c r="S63" s="119">
        <v>0</v>
      </c>
      <c r="T63" s="118">
        <f t="shared" si="10"/>
        <v>0</v>
      </c>
      <c r="U63" s="118">
        <f t="shared" si="11"/>
        <v>0</v>
      </c>
      <c r="V63" s="118">
        <f t="shared" si="12"/>
        <v>0</v>
      </c>
      <c r="W63" s="120">
        <f t="shared" si="13"/>
        <v>0</v>
      </c>
      <c r="AH63" s="7" t="s">
        <v>111</v>
      </c>
    </row>
    <row r="64" spans="1:34" ht="25.5" customHeight="1">
      <c r="A64" s="3"/>
      <c r="B64" s="3"/>
      <c r="C64" s="26"/>
      <c r="D64" s="26"/>
      <c r="E64" s="26"/>
      <c r="F64" s="28"/>
      <c r="G64" s="26"/>
      <c r="H64" s="25"/>
      <c r="I64" s="11"/>
      <c r="J64" s="11"/>
      <c r="K64" s="30"/>
      <c r="L64" s="74"/>
      <c r="M64" s="75"/>
      <c r="N64" s="24"/>
      <c r="O64" s="117">
        <v>0</v>
      </c>
      <c r="P64" s="118">
        <f t="shared" si="7"/>
        <v>0</v>
      </c>
      <c r="Q64" s="118">
        <f t="shared" si="8"/>
        <v>0</v>
      </c>
      <c r="R64" s="118">
        <f t="shared" si="9"/>
        <v>0</v>
      </c>
      <c r="S64" s="119">
        <v>0</v>
      </c>
      <c r="T64" s="118">
        <f t="shared" si="10"/>
        <v>0</v>
      </c>
      <c r="U64" s="118">
        <f t="shared" si="11"/>
        <v>0</v>
      </c>
      <c r="V64" s="118">
        <f t="shared" si="12"/>
        <v>0</v>
      </c>
      <c r="W64" s="120">
        <f t="shared" si="13"/>
        <v>0</v>
      </c>
    </row>
    <row r="65" spans="1:34" ht="25.5" customHeight="1">
      <c r="A65" s="3"/>
      <c r="B65" s="3"/>
      <c r="C65" s="26"/>
      <c r="D65" s="26"/>
      <c r="E65" s="26"/>
      <c r="F65" s="28"/>
      <c r="G65" s="26"/>
      <c r="H65" s="25"/>
      <c r="I65" s="11"/>
      <c r="J65" s="11"/>
      <c r="K65" s="30"/>
      <c r="L65" s="74"/>
      <c r="M65" s="75"/>
      <c r="N65" s="24"/>
      <c r="O65" s="117">
        <v>0</v>
      </c>
      <c r="P65" s="118">
        <f t="shared" si="7"/>
        <v>0</v>
      </c>
      <c r="Q65" s="118">
        <f t="shared" si="8"/>
        <v>0</v>
      </c>
      <c r="R65" s="118">
        <f t="shared" si="9"/>
        <v>0</v>
      </c>
      <c r="S65" s="119">
        <v>0</v>
      </c>
      <c r="T65" s="118">
        <f t="shared" si="10"/>
        <v>0</v>
      </c>
      <c r="U65" s="118">
        <f t="shared" si="11"/>
        <v>0</v>
      </c>
      <c r="V65" s="118">
        <f t="shared" si="12"/>
        <v>0</v>
      </c>
      <c r="W65" s="120">
        <f t="shared" si="13"/>
        <v>0</v>
      </c>
    </row>
    <row r="66" spans="1:34" ht="25.5" customHeight="1">
      <c r="A66" s="3"/>
      <c r="B66" s="3"/>
      <c r="C66" s="26"/>
      <c r="D66" s="26"/>
      <c r="E66" s="26"/>
      <c r="F66" s="28"/>
      <c r="G66" s="26"/>
      <c r="H66" s="25"/>
      <c r="I66" s="11"/>
      <c r="J66" s="11"/>
      <c r="K66" s="30"/>
      <c r="L66" s="74"/>
      <c r="M66" s="75"/>
      <c r="N66" s="24"/>
      <c r="O66" s="117">
        <v>0</v>
      </c>
      <c r="P66" s="118">
        <f t="shared" si="7"/>
        <v>0</v>
      </c>
      <c r="Q66" s="118">
        <f t="shared" si="8"/>
        <v>0</v>
      </c>
      <c r="R66" s="118">
        <f t="shared" si="9"/>
        <v>0</v>
      </c>
      <c r="S66" s="119">
        <v>0</v>
      </c>
      <c r="T66" s="118">
        <f t="shared" si="10"/>
        <v>0</v>
      </c>
      <c r="U66" s="118">
        <f t="shared" si="11"/>
        <v>0</v>
      </c>
      <c r="V66" s="118">
        <f t="shared" si="12"/>
        <v>0</v>
      </c>
      <c r="W66" s="120">
        <f t="shared" si="13"/>
        <v>0</v>
      </c>
    </row>
    <row r="67" spans="1:34" ht="25.5" customHeight="1">
      <c r="A67" s="3"/>
      <c r="B67" s="3"/>
      <c r="C67" s="26"/>
      <c r="D67" s="26"/>
      <c r="E67" s="26"/>
      <c r="F67" s="28"/>
      <c r="G67" s="26"/>
      <c r="H67" s="25"/>
      <c r="I67" s="11"/>
      <c r="J67" s="11"/>
      <c r="K67" s="30"/>
      <c r="L67" s="74"/>
      <c r="M67" s="75"/>
      <c r="N67" s="24"/>
      <c r="O67" s="117">
        <v>0</v>
      </c>
      <c r="P67" s="118">
        <f t="shared" si="7"/>
        <v>0</v>
      </c>
      <c r="Q67" s="118">
        <f t="shared" si="8"/>
        <v>0</v>
      </c>
      <c r="R67" s="118">
        <f t="shared" si="9"/>
        <v>0</v>
      </c>
      <c r="S67" s="119">
        <v>0</v>
      </c>
      <c r="T67" s="118">
        <f t="shared" si="10"/>
        <v>0</v>
      </c>
      <c r="U67" s="118">
        <f t="shared" si="11"/>
        <v>0</v>
      </c>
      <c r="V67" s="118">
        <f t="shared" si="12"/>
        <v>0</v>
      </c>
      <c r="W67" s="120">
        <f t="shared" si="13"/>
        <v>0</v>
      </c>
    </row>
    <row r="68" spans="1:34" ht="25.5" customHeight="1">
      <c r="A68" s="3"/>
      <c r="B68" s="3"/>
      <c r="C68" s="26"/>
      <c r="D68" s="26"/>
      <c r="E68" s="26"/>
      <c r="F68" s="28"/>
      <c r="G68" s="26"/>
      <c r="H68" s="25"/>
      <c r="I68" s="11"/>
      <c r="J68" s="11"/>
      <c r="K68" s="30"/>
      <c r="L68" s="74"/>
      <c r="M68" s="75"/>
      <c r="N68" s="24"/>
      <c r="O68" s="117">
        <v>0</v>
      </c>
      <c r="P68" s="118">
        <f t="shared" si="7"/>
        <v>0</v>
      </c>
      <c r="Q68" s="118">
        <f t="shared" si="8"/>
        <v>0</v>
      </c>
      <c r="R68" s="118">
        <f t="shared" si="9"/>
        <v>0</v>
      </c>
      <c r="S68" s="119">
        <v>0</v>
      </c>
      <c r="T68" s="118">
        <f t="shared" si="10"/>
        <v>0</v>
      </c>
      <c r="U68" s="118">
        <f t="shared" si="11"/>
        <v>0</v>
      </c>
      <c r="V68" s="118">
        <f t="shared" si="12"/>
        <v>0</v>
      </c>
      <c r="W68" s="120">
        <f t="shared" si="13"/>
        <v>0</v>
      </c>
    </row>
    <row r="69" spans="1:34" ht="25.5" customHeight="1">
      <c r="A69" s="3"/>
      <c r="B69" s="3"/>
      <c r="C69" s="26"/>
      <c r="D69" s="26"/>
      <c r="E69" s="26"/>
      <c r="F69" s="28"/>
      <c r="G69" s="26"/>
      <c r="H69" s="25"/>
      <c r="I69" s="11"/>
      <c r="J69" s="11"/>
      <c r="K69" s="30"/>
      <c r="L69" s="74"/>
      <c r="M69" s="75"/>
      <c r="N69" s="24"/>
      <c r="O69" s="117">
        <v>0</v>
      </c>
      <c r="P69" s="118">
        <f t="shared" si="7"/>
        <v>0</v>
      </c>
      <c r="Q69" s="118">
        <f t="shared" si="8"/>
        <v>0</v>
      </c>
      <c r="R69" s="118">
        <f t="shared" si="9"/>
        <v>0</v>
      </c>
      <c r="S69" s="119">
        <v>0</v>
      </c>
      <c r="T69" s="118">
        <f t="shared" si="10"/>
        <v>0</v>
      </c>
      <c r="U69" s="118">
        <f t="shared" si="11"/>
        <v>0</v>
      </c>
      <c r="V69" s="118">
        <f t="shared" si="12"/>
        <v>0</v>
      </c>
      <c r="W69" s="120">
        <f t="shared" si="13"/>
        <v>0</v>
      </c>
      <c r="AH69" s="7" t="s">
        <v>112</v>
      </c>
    </row>
    <row r="70" spans="1:34" ht="25.5" customHeight="1">
      <c r="A70" s="3"/>
      <c r="B70" s="3"/>
      <c r="C70" s="26"/>
      <c r="D70" s="26"/>
      <c r="E70" s="26"/>
      <c r="F70" s="28"/>
      <c r="G70" s="26"/>
      <c r="H70" s="25"/>
      <c r="I70" s="11"/>
      <c r="J70" s="11"/>
      <c r="K70" s="30"/>
      <c r="L70" s="74"/>
      <c r="M70" s="75"/>
      <c r="N70" s="24"/>
      <c r="O70" s="117">
        <v>0</v>
      </c>
      <c r="P70" s="118">
        <f t="shared" si="7"/>
        <v>0</v>
      </c>
      <c r="Q70" s="118">
        <f t="shared" si="8"/>
        <v>0</v>
      </c>
      <c r="R70" s="118">
        <f t="shared" si="9"/>
        <v>0</v>
      </c>
      <c r="S70" s="119">
        <v>0</v>
      </c>
      <c r="T70" s="118">
        <f t="shared" si="10"/>
        <v>0</v>
      </c>
      <c r="U70" s="118">
        <f t="shared" si="11"/>
        <v>0</v>
      </c>
      <c r="V70" s="118">
        <f t="shared" si="12"/>
        <v>0</v>
      </c>
      <c r="W70" s="120">
        <f t="shared" si="13"/>
        <v>0</v>
      </c>
    </row>
    <row r="71" spans="1:34" ht="25.5" customHeight="1">
      <c r="A71" s="3"/>
      <c r="B71" s="3"/>
      <c r="C71" s="26"/>
      <c r="D71" s="26"/>
      <c r="E71" s="26"/>
      <c r="F71" s="28"/>
      <c r="G71" s="26"/>
      <c r="H71" s="25"/>
      <c r="I71" s="11"/>
      <c r="J71" s="11"/>
      <c r="K71" s="30"/>
      <c r="L71" s="74"/>
      <c r="M71" s="75"/>
      <c r="N71" s="24"/>
      <c r="O71" s="117">
        <v>0</v>
      </c>
      <c r="P71" s="118">
        <f t="shared" si="7"/>
        <v>0</v>
      </c>
      <c r="Q71" s="118">
        <f t="shared" si="8"/>
        <v>0</v>
      </c>
      <c r="R71" s="118">
        <f t="shared" si="9"/>
        <v>0</v>
      </c>
      <c r="S71" s="119">
        <v>0</v>
      </c>
      <c r="T71" s="118">
        <f t="shared" si="10"/>
        <v>0</v>
      </c>
      <c r="U71" s="118">
        <f t="shared" si="11"/>
        <v>0</v>
      </c>
      <c r="V71" s="118">
        <f t="shared" si="12"/>
        <v>0</v>
      </c>
      <c r="W71" s="120">
        <f t="shared" si="13"/>
        <v>0</v>
      </c>
    </row>
    <row r="72" spans="1:34" ht="25.5" customHeight="1">
      <c r="A72" s="3"/>
      <c r="B72" s="3"/>
      <c r="C72" s="26"/>
      <c r="D72" s="26"/>
      <c r="E72" s="26"/>
      <c r="F72" s="28"/>
      <c r="G72" s="26"/>
      <c r="H72" s="25"/>
      <c r="I72" s="11"/>
      <c r="J72" s="11"/>
      <c r="K72" s="30"/>
      <c r="L72" s="74"/>
      <c r="M72" s="75"/>
      <c r="N72" s="24"/>
      <c r="O72" s="117">
        <v>0</v>
      </c>
      <c r="P72" s="118">
        <f t="shared" si="7"/>
        <v>0</v>
      </c>
      <c r="Q72" s="118">
        <f t="shared" si="8"/>
        <v>0</v>
      </c>
      <c r="R72" s="118">
        <f t="shared" si="9"/>
        <v>0</v>
      </c>
      <c r="S72" s="119">
        <v>0</v>
      </c>
      <c r="T72" s="118">
        <f t="shared" si="10"/>
        <v>0</v>
      </c>
      <c r="U72" s="118">
        <f t="shared" si="11"/>
        <v>0</v>
      </c>
      <c r="V72" s="118">
        <f t="shared" si="12"/>
        <v>0</v>
      </c>
      <c r="W72" s="120">
        <f t="shared" si="13"/>
        <v>0</v>
      </c>
      <c r="AH72" s="7" t="s">
        <v>113</v>
      </c>
    </row>
    <row r="73" spans="1:34" ht="25.5" customHeight="1">
      <c r="A73" s="3"/>
      <c r="B73" s="3"/>
      <c r="C73" s="54"/>
      <c r="D73" s="54"/>
      <c r="E73" s="54"/>
      <c r="F73" s="55"/>
      <c r="G73" s="54"/>
      <c r="H73" s="56"/>
      <c r="I73" s="57"/>
      <c r="J73" s="57"/>
      <c r="K73" s="58"/>
      <c r="L73" s="76"/>
      <c r="M73" s="77"/>
      <c r="N73" s="59"/>
      <c r="O73" s="121">
        <v>0</v>
      </c>
      <c r="P73" s="122">
        <f t="shared" si="7"/>
        <v>0</v>
      </c>
      <c r="Q73" s="122">
        <f t="shared" si="8"/>
        <v>0</v>
      </c>
      <c r="R73" s="122">
        <f t="shared" si="9"/>
        <v>0</v>
      </c>
      <c r="S73" s="123">
        <v>0</v>
      </c>
      <c r="T73" s="122">
        <f t="shared" si="10"/>
        <v>0</v>
      </c>
      <c r="U73" s="122">
        <f t="shared" si="11"/>
        <v>0</v>
      </c>
      <c r="V73" s="122">
        <f t="shared" si="12"/>
        <v>0</v>
      </c>
      <c r="W73" s="124">
        <f t="shared" si="13"/>
        <v>0</v>
      </c>
    </row>
    <row r="74" spans="1:34" ht="25.5" customHeight="1">
      <c r="A74" s="3"/>
      <c r="B74" s="3"/>
      <c r="C74" s="78" t="s">
        <v>114</v>
      </c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</row>
    <row r="75" spans="1:34" ht="25.5" customHeight="1">
      <c r="A75" s="3"/>
      <c r="B75" s="3"/>
      <c r="C75" s="3"/>
      <c r="D75" s="3"/>
      <c r="E75" s="3"/>
      <c r="F75" s="40"/>
      <c r="G75" s="3"/>
      <c r="H75" s="41"/>
      <c r="I75" s="15"/>
      <c r="J75" s="15"/>
      <c r="K75" s="42"/>
      <c r="L75" s="73"/>
      <c r="M75" s="73"/>
      <c r="N75" s="43"/>
      <c r="O75" s="44"/>
      <c r="P75" s="45"/>
      <c r="Q75" s="45"/>
      <c r="R75" s="45"/>
      <c r="S75" s="46"/>
      <c r="T75" s="45"/>
      <c r="U75" s="45"/>
      <c r="V75" s="45"/>
      <c r="W75" s="47"/>
    </row>
    <row r="76" spans="1:34" ht="25.5" customHeight="1">
      <c r="A76" s="3"/>
      <c r="B76" s="3"/>
      <c r="C76" s="3"/>
      <c r="D76" s="3"/>
      <c r="E76" s="3"/>
      <c r="F76" s="40"/>
      <c r="G76" s="3"/>
      <c r="H76" s="41"/>
      <c r="I76" s="15"/>
      <c r="J76" s="15"/>
      <c r="K76" s="42"/>
      <c r="L76" s="73"/>
      <c r="M76" s="73"/>
      <c r="N76" s="43"/>
      <c r="O76" s="44"/>
      <c r="P76" s="45"/>
      <c r="Q76" s="45"/>
      <c r="R76" s="45"/>
      <c r="S76" s="46"/>
      <c r="T76" s="45"/>
      <c r="U76" s="45"/>
      <c r="V76" s="45"/>
      <c r="W76" s="47"/>
    </row>
    <row r="77" spans="1:34" ht="25.5" customHeight="1">
      <c r="A77" s="3"/>
      <c r="B77" s="3"/>
      <c r="C77" s="3"/>
      <c r="D77" s="3"/>
      <c r="E77" s="3"/>
      <c r="F77" s="40"/>
      <c r="G77" s="3"/>
      <c r="H77" s="41"/>
      <c r="I77" s="15"/>
      <c r="J77" s="15"/>
      <c r="K77" s="42"/>
      <c r="L77" s="73"/>
      <c r="M77" s="73"/>
      <c r="N77" s="43"/>
      <c r="O77" s="44"/>
      <c r="P77" s="45"/>
      <c r="Q77" s="45"/>
      <c r="R77" s="45"/>
      <c r="S77" s="46"/>
      <c r="T77" s="45"/>
      <c r="U77" s="45"/>
      <c r="V77" s="45"/>
      <c r="W77" s="47"/>
    </row>
    <row r="78" spans="1:34" ht="25.5" customHeight="1">
      <c r="A78" s="3"/>
      <c r="B78" s="3"/>
      <c r="C78" s="3"/>
      <c r="D78" s="3"/>
      <c r="E78" s="3"/>
      <c r="F78" s="40"/>
      <c r="G78" s="3"/>
      <c r="H78" s="41"/>
      <c r="I78" s="15"/>
      <c r="J78" s="15"/>
      <c r="K78" s="42"/>
      <c r="L78" s="73"/>
      <c r="M78" s="73"/>
      <c r="N78" s="43"/>
      <c r="O78" s="44"/>
      <c r="P78" s="45"/>
      <c r="Q78" s="45"/>
      <c r="R78" s="45"/>
      <c r="S78" s="46"/>
      <c r="T78" s="45"/>
      <c r="U78" s="45"/>
      <c r="V78" s="45"/>
      <c r="W78" s="47"/>
    </row>
    <row r="79" spans="1:34" ht="25.5" customHeight="1">
      <c r="A79" s="3"/>
      <c r="B79" s="3"/>
      <c r="C79" s="3"/>
      <c r="D79" s="3"/>
      <c r="E79" s="3"/>
      <c r="F79" s="40"/>
      <c r="G79" s="3"/>
      <c r="H79" s="41"/>
      <c r="I79" s="15"/>
      <c r="J79" s="15"/>
      <c r="K79" s="42"/>
      <c r="L79" s="73"/>
      <c r="M79" s="73"/>
      <c r="N79" s="43"/>
      <c r="O79" s="44"/>
      <c r="P79" s="45"/>
      <c r="Q79" s="45"/>
      <c r="R79" s="45"/>
      <c r="S79" s="46"/>
      <c r="T79" s="45"/>
      <c r="U79" s="45"/>
      <c r="V79" s="45"/>
      <c r="W79" s="47"/>
    </row>
    <row r="80" spans="1:34" ht="25.5" customHeight="1">
      <c r="A80" s="3"/>
      <c r="B80" s="3"/>
      <c r="C80" s="3"/>
      <c r="D80" s="3"/>
      <c r="E80" s="3"/>
      <c r="F80" s="40"/>
      <c r="G80" s="3"/>
      <c r="H80" s="41"/>
      <c r="I80" s="15"/>
      <c r="J80" s="15"/>
      <c r="K80" s="42"/>
      <c r="L80" s="73"/>
      <c r="M80" s="73"/>
      <c r="N80" s="43"/>
      <c r="O80" s="44"/>
      <c r="P80" s="45"/>
      <c r="Q80" s="45"/>
      <c r="R80" s="45"/>
      <c r="S80" s="46"/>
      <c r="T80" s="45"/>
      <c r="U80" s="45"/>
      <c r="V80" s="45"/>
      <c r="W80" s="47"/>
    </row>
    <row r="81" spans="1:34" ht="25.5" customHeight="1">
      <c r="A81" s="3"/>
      <c r="B81" s="3"/>
      <c r="C81" s="3"/>
      <c r="D81" s="3"/>
      <c r="E81" s="3"/>
      <c r="F81" s="40"/>
      <c r="G81" s="3"/>
      <c r="H81" s="41"/>
      <c r="I81" s="15"/>
      <c r="J81" s="15"/>
      <c r="K81" s="42"/>
      <c r="L81" s="73"/>
      <c r="M81" s="73"/>
      <c r="N81" s="43"/>
      <c r="O81" s="44"/>
      <c r="P81" s="45"/>
      <c r="Q81" s="45"/>
      <c r="R81" s="45"/>
      <c r="S81" s="46"/>
      <c r="T81" s="45"/>
      <c r="U81" s="45"/>
      <c r="V81" s="45"/>
      <c r="W81" s="47"/>
    </row>
    <row r="82" spans="1:34" ht="25.5" customHeight="1">
      <c r="A82" s="3"/>
      <c r="B82" s="3"/>
      <c r="C82" s="3"/>
      <c r="D82" s="3"/>
      <c r="E82" s="3"/>
      <c r="F82" s="40"/>
      <c r="G82" s="3"/>
      <c r="H82" s="41"/>
      <c r="I82" s="15"/>
      <c r="J82" s="15"/>
      <c r="K82" s="42"/>
      <c r="L82" s="73"/>
      <c r="M82" s="73"/>
      <c r="N82" s="43"/>
      <c r="O82" s="44"/>
      <c r="P82" s="45"/>
      <c r="Q82" s="45"/>
      <c r="R82" s="45"/>
      <c r="S82" s="46"/>
      <c r="T82" s="45"/>
      <c r="U82" s="45"/>
      <c r="V82" s="45"/>
      <c r="W82" s="47"/>
    </row>
    <row r="83" spans="1:34" ht="25.5" customHeight="1">
      <c r="A83" s="3"/>
      <c r="B83" s="3"/>
      <c r="C83" s="3"/>
      <c r="D83" s="3"/>
      <c r="E83" s="3"/>
      <c r="F83" s="40"/>
      <c r="G83" s="3"/>
      <c r="H83" s="41"/>
      <c r="I83" s="15"/>
      <c r="J83" s="15"/>
      <c r="K83" s="42"/>
      <c r="L83" s="73"/>
      <c r="M83" s="73"/>
      <c r="N83" s="43"/>
      <c r="O83" s="44"/>
      <c r="P83" s="45"/>
      <c r="Q83" s="45"/>
      <c r="R83" s="45"/>
      <c r="S83" s="46"/>
      <c r="T83" s="45"/>
      <c r="U83" s="45"/>
      <c r="V83" s="45"/>
      <c r="W83" s="47"/>
    </row>
    <row r="84" spans="1:34" ht="25.5" customHeight="1">
      <c r="A84" s="3"/>
      <c r="B84" s="3"/>
      <c r="C84" s="3"/>
      <c r="D84" s="3"/>
      <c r="E84" s="3"/>
      <c r="F84" s="40"/>
      <c r="G84" s="3"/>
      <c r="H84" s="41"/>
      <c r="I84" s="15"/>
      <c r="J84" s="15"/>
      <c r="K84" s="42"/>
      <c r="L84" s="73"/>
      <c r="M84" s="73"/>
      <c r="N84" s="43"/>
      <c r="O84" s="44"/>
      <c r="P84" s="45"/>
      <c r="Q84" s="45"/>
      <c r="R84" s="45"/>
      <c r="S84" s="46"/>
      <c r="T84" s="45"/>
      <c r="U84" s="45"/>
      <c r="V84" s="45"/>
      <c r="W84" s="47"/>
    </row>
    <row r="85" spans="1:34" ht="25.5" customHeight="1">
      <c r="A85" s="3"/>
      <c r="B85" s="3"/>
      <c r="C85" s="3"/>
      <c r="D85" s="3"/>
      <c r="E85" s="3"/>
      <c r="F85" s="40"/>
      <c r="G85" s="3"/>
      <c r="H85" s="41"/>
      <c r="I85" s="15"/>
      <c r="J85" s="15"/>
      <c r="K85" s="42"/>
      <c r="L85" s="73"/>
      <c r="M85" s="73"/>
      <c r="N85" s="43"/>
      <c r="O85" s="44"/>
      <c r="P85" s="45"/>
      <c r="Q85" s="45"/>
      <c r="R85" s="45"/>
      <c r="S85" s="46"/>
      <c r="T85" s="45"/>
      <c r="U85" s="45"/>
      <c r="V85" s="45"/>
      <c r="W85" s="47"/>
      <c r="AH85" s="7" t="s">
        <v>115</v>
      </c>
    </row>
    <row r="86" spans="1:34" ht="25.5" customHeight="1">
      <c r="A86" s="3"/>
      <c r="B86" s="3"/>
      <c r="C86" s="3"/>
      <c r="D86" s="3"/>
      <c r="E86" s="3"/>
      <c r="F86" s="40"/>
      <c r="G86" s="3"/>
      <c r="H86" s="41"/>
      <c r="I86" s="15"/>
      <c r="J86" s="15"/>
      <c r="K86" s="42"/>
      <c r="L86" s="73"/>
      <c r="M86" s="73"/>
      <c r="N86" s="43"/>
      <c r="O86" s="44"/>
      <c r="P86" s="45"/>
      <c r="Q86" s="45"/>
      <c r="R86" s="45"/>
      <c r="S86" s="46"/>
      <c r="T86" s="45"/>
      <c r="U86" s="45"/>
      <c r="V86" s="45"/>
      <c r="W86" s="47"/>
    </row>
    <row r="87" spans="1:34" ht="25.5" customHeight="1">
      <c r="A87" s="3"/>
      <c r="B87" s="3"/>
      <c r="C87" s="3"/>
      <c r="D87" s="3"/>
      <c r="E87" s="3"/>
      <c r="F87" s="40"/>
      <c r="G87" s="3"/>
      <c r="H87" s="41"/>
      <c r="I87" s="15"/>
      <c r="J87" s="15"/>
      <c r="K87" s="42"/>
      <c r="L87" s="73"/>
      <c r="M87" s="73"/>
      <c r="N87" s="43"/>
      <c r="O87" s="44"/>
      <c r="P87" s="45"/>
      <c r="Q87" s="45"/>
      <c r="R87" s="45"/>
      <c r="S87" s="46"/>
      <c r="T87" s="45"/>
      <c r="U87" s="45"/>
      <c r="V87" s="45"/>
      <c r="W87" s="47"/>
    </row>
    <row r="88" spans="1:34" ht="25.5" customHeight="1">
      <c r="A88" s="3"/>
      <c r="B88" s="3"/>
      <c r="C88" s="3"/>
      <c r="D88" s="3"/>
      <c r="E88" s="3"/>
      <c r="F88" s="40"/>
      <c r="G88" s="3"/>
      <c r="H88" s="41"/>
      <c r="I88" s="15"/>
      <c r="J88" s="15"/>
      <c r="K88" s="42"/>
      <c r="L88" s="73"/>
      <c r="M88" s="73"/>
      <c r="N88" s="43"/>
      <c r="O88" s="44"/>
      <c r="P88" s="45"/>
      <c r="Q88" s="45"/>
      <c r="R88" s="45"/>
      <c r="S88" s="46"/>
      <c r="T88" s="45"/>
      <c r="U88" s="45"/>
      <c r="V88" s="45"/>
      <c r="W88" s="47"/>
    </row>
    <row r="89" spans="1:34" ht="25.5" customHeight="1">
      <c r="A89" s="3"/>
      <c r="B89" s="3"/>
      <c r="C89" s="3"/>
      <c r="D89" s="3"/>
      <c r="E89" s="3"/>
      <c r="F89" s="40"/>
      <c r="G89" s="3"/>
      <c r="H89" s="41"/>
      <c r="I89" s="15"/>
      <c r="J89" s="15"/>
      <c r="K89" s="42"/>
      <c r="L89" s="73"/>
      <c r="M89" s="73"/>
      <c r="N89" s="43"/>
      <c r="O89" s="44"/>
      <c r="P89" s="45"/>
      <c r="Q89" s="45"/>
      <c r="R89" s="45"/>
      <c r="S89" s="46"/>
      <c r="T89" s="45"/>
      <c r="U89" s="45"/>
      <c r="V89" s="45"/>
      <c r="W89" s="47"/>
    </row>
    <row r="90" spans="1:34" ht="25.5" customHeight="1">
      <c r="A90" s="3"/>
      <c r="B90" s="3"/>
      <c r="C90" s="3"/>
      <c r="D90" s="3"/>
      <c r="E90" s="3"/>
      <c r="F90" s="40"/>
      <c r="G90" s="3"/>
      <c r="H90" s="41"/>
      <c r="I90" s="15"/>
      <c r="J90" s="15"/>
      <c r="K90" s="42"/>
      <c r="L90" s="73"/>
      <c r="M90" s="73"/>
      <c r="N90" s="43"/>
      <c r="O90" s="44"/>
      <c r="P90" s="45"/>
      <c r="Q90" s="45"/>
      <c r="R90" s="45"/>
      <c r="S90" s="46"/>
      <c r="T90" s="45"/>
      <c r="U90" s="45"/>
      <c r="V90" s="45"/>
      <c r="W90" s="47"/>
    </row>
    <row r="91" spans="1:34" ht="25.5" customHeight="1">
      <c r="A91" s="3"/>
      <c r="B91" s="3"/>
      <c r="C91" s="3"/>
      <c r="D91" s="3"/>
      <c r="E91" s="3"/>
      <c r="F91" s="40"/>
      <c r="G91" s="3"/>
      <c r="H91" s="41"/>
      <c r="I91" s="15"/>
      <c r="J91" s="15"/>
      <c r="K91" s="42"/>
      <c r="L91" s="73"/>
      <c r="M91" s="73"/>
      <c r="N91" s="43"/>
      <c r="O91" s="44"/>
      <c r="P91" s="45"/>
      <c r="Q91" s="45"/>
      <c r="R91" s="45"/>
      <c r="S91" s="46"/>
      <c r="T91" s="45"/>
      <c r="U91" s="45"/>
      <c r="V91" s="45"/>
      <c r="W91" s="47"/>
    </row>
    <row r="92" spans="1:34" ht="25.5" hidden="1" customHeight="1">
      <c r="A92" s="3"/>
      <c r="B92" s="3"/>
      <c r="C92" s="3"/>
      <c r="D92" s="3"/>
      <c r="E92" s="3"/>
      <c r="F92" s="40"/>
      <c r="G92" s="3"/>
      <c r="H92" s="41"/>
      <c r="I92" s="15"/>
      <c r="J92" s="15"/>
      <c r="K92" s="42"/>
      <c r="L92" s="73"/>
      <c r="M92" s="73"/>
      <c r="N92" s="43"/>
      <c r="O92" s="44"/>
      <c r="P92" s="45"/>
      <c r="Q92" s="45"/>
      <c r="R92" s="45"/>
      <c r="S92" s="46"/>
      <c r="T92" s="45"/>
      <c r="U92" s="45"/>
      <c r="V92" s="45"/>
      <c r="W92" s="47"/>
    </row>
    <row r="93" spans="1:34" ht="25.5" hidden="1" customHeight="1">
      <c r="A93" s="3"/>
      <c r="B93" s="3"/>
      <c r="C93" s="3"/>
      <c r="D93" s="3"/>
      <c r="E93" s="3"/>
      <c r="F93" s="40"/>
      <c r="G93" s="3"/>
      <c r="H93" s="41"/>
      <c r="I93" s="15"/>
      <c r="J93" s="15"/>
      <c r="K93" s="42"/>
      <c r="L93" s="73"/>
      <c r="M93" s="73"/>
      <c r="N93" s="43"/>
      <c r="O93" s="44"/>
      <c r="P93" s="45"/>
      <c r="Q93" s="45"/>
      <c r="R93" s="45"/>
      <c r="S93" s="46"/>
      <c r="T93" s="45"/>
      <c r="U93" s="45"/>
      <c r="V93" s="45"/>
      <c r="W93" s="47"/>
    </row>
    <row r="94" spans="1:34" ht="25.5" hidden="1" customHeight="1">
      <c r="A94" s="3"/>
      <c r="B94" s="3"/>
      <c r="C94" s="3"/>
      <c r="D94" s="3"/>
      <c r="E94" s="3"/>
      <c r="F94" s="40"/>
      <c r="G94" s="3"/>
      <c r="H94" s="41"/>
      <c r="I94" s="15"/>
      <c r="J94" s="15"/>
      <c r="K94" s="42"/>
      <c r="L94" s="73"/>
      <c r="M94" s="73"/>
      <c r="N94" s="43"/>
      <c r="O94" s="44"/>
      <c r="P94" s="45"/>
      <c r="Q94" s="45"/>
      <c r="R94" s="45"/>
      <c r="S94" s="46"/>
      <c r="T94" s="45"/>
      <c r="U94" s="45"/>
      <c r="V94" s="45"/>
      <c r="W94" s="47"/>
    </row>
    <row r="95" spans="1:34" ht="25.5" hidden="1" customHeight="1">
      <c r="A95" s="3"/>
      <c r="B95" s="3"/>
      <c r="C95" s="3"/>
      <c r="D95" s="3"/>
      <c r="E95" s="3"/>
      <c r="F95" s="40"/>
      <c r="G95" s="3"/>
      <c r="H95" s="41"/>
      <c r="I95" s="15"/>
      <c r="J95" s="15"/>
      <c r="K95" s="42"/>
      <c r="L95" s="73"/>
      <c r="M95" s="73"/>
      <c r="N95" s="43"/>
      <c r="O95" s="44"/>
      <c r="P95" s="45"/>
      <c r="Q95" s="45"/>
      <c r="R95" s="45"/>
      <c r="S95" s="46"/>
      <c r="T95" s="45"/>
      <c r="U95" s="45"/>
      <c r="V95" s="45"/>
      <c r="W95" s="47"/>
    </row>
    <row r="96" spans="1:34" ht="25.5" hidden="1" customHeight="1">
      <c r="A96" s="3"/>
      <c r="B96" s="3"/>
      <c r="C96" s="3"/>
      <c r="D96" s="3"/>
      <c r="E96" s="3"/>
      <c r="F96" s="40"/>
      <c r="G96" s="3"/>
      <c r="H96" s="41"/>
      <c r="I96" s="15"/>
      <c r="J96" s="15"/>
      <c r="K96" s="42"/>
      <c r="L96" s="73"/>
      <c r="M96" s="73"/>
      <c r="N96" s="43"/>
      <c r="O96" s="44"/>
      <c r="P96" s="45"/>
      <c r="Q96" s="45"/>
      <c r="R96" s="45"/>
      <c r="S96" s="46"/>
      <c r="T96" s="45"/>
      <c r="U96" s="45"/>
      <c r="V96" s="45"/>
      <c r="W96" s="47"/>
    </row>
    <row r="97" spans="1:23" ht="25.5" hidden="1" customHeight="1">
      <c r="A97" s="3"/>
      <c r="B97" s="3"/>
      <c r="C97" s="3"/>
      <c r="D97" s="3"/>
      <c r="E97" s="3"/>
      <c r="F97" s="40"/>
      <c r="G97" s="3"/>
      <c r="H97" s="41"/>
      <c r="I97" s="15"/>
      <c r="J97" s="15"/>
      <c r="K97" s="42"/>
      <c r="L97" s="73"/>
      <c r="M97" s="73"/>
      <c r="N97" s="43"/>
      <c r="O97" s="44"/>
      <c r="P97" s="45"/>
      <c r="Q97" s="45"/>
      <c r="R97" s="45"/>
      <c r="S97" s="46"/>
      <c r="T97" s="45"/>
      <c r="U97" s="45"/>
      <c r="V97" s="45"/>
      <c r="W97" s="47"/>
    </row>
    <row r="98" spans="1:23" ht="25.5" hidden="1" customHeight="1">
      <c r="A98" s="3"/>
      <c r="B98" s="3"/>
      <c r="C98" s="3"/>
      <c r="D98" s="3"/>
      <c r="E98" s="3"/>
      <c r="F98" s="40"/>
      <c r="G98" s="3"/>
      <c r="H98" s="41"/>
      <c r="I98" s="15"/>
      <c r="J98" s="15"/>
      <c r="K98" s="42"/>
      <c r="L98" s="73"/>
      <c r="M98" s="73"/>
      <c r="N98" s="43"/>
      <c r="O98" s="44"/>
      <c r="P98" s="45"/>
      <c r="Q98" s="45"/>
      <c r="R98" s="45"/>
      <c r="S98" s="46"/>
      <c r="T98" s="45"/>
      <c r="U98" s="45"/>
      <c r="V98" s="45"/>
      <c r="W98" s="47"/>
    </row>
    <row r="99" spans="1:23" ht="25.5" hidden="1" customHeight="1">
      <c r="A99" s="3"/>
      <c r="B99" s="3"/>
      <c r="C99" s="3"/>
      <c r="D99" s="3"/>
      <c r="E99" s="3"/>
      <c r="F99" s="40"/>
      <c r="G99" s="3"/>
      <c r="H99" s="41"/>
      <c r="I99" s="15"/>
      <c r="J99" s="15"/>
      <c r="K99" s="42"/>
      <c r="L99" s="73"/>
      <c r="M99" s="73"/>
      <c r="N99" s="43"/>
      <c r="O99" s="44"/>
      <c r="P99" s="45"/>
      <c r="Q99" s="45"/>
      <c r="R99" s="45"/>
      <c r="S99" s="46"/>
      <c r="T99" s="45"/>
      <c r="U99" s="45"/>
      <c r="V99" s="45"/>
      <c r="W99" s="47"/>
    </row>
    <row r="100" spans="1:23" ht="25.5" hidden="1" customHeight="1">
      <c r="A100" s="3"/>
      <c r="B100" s="3"/>
      <c r="C100" s="3"/>
      <c r="D100" s="3"/>
      <c r="E100" s="3"/>
      <c r="F100" s="40"/>
      <c r="G100" s="3"/>
      <c r="H100" s="41"/>
      <c r="I100" s="15"/>
      <c r="J100" s="15"/>
      <c r="K100" s="42"/>
      <c r="L100" s="73"/>
      <c r="M100" s="73"/>
      <c r="N100" s="43"/>
      <c r="O100" s="44"/>
      <c r="P100" s="45"/>
      <c r="Q100" s="45"/>
      <c r="R100" s="45"/>
      <c r="S100" s="46"/>
      <c r="T100" s="45"/>
      <c r="U100" s="45"/>
      <c r="V100" s="45"/>
      <c r="W100" s="47"/>
    </row>
    <row r="101" spans="1:23" ht="25.5" hidden="1" customHeight="1">
      <c r="A101" s="3"/>
      <c r="B101" s="3"/>
      <c r="C101" s="3"/>
      <c r="D101" s="3"/>
      <c r="E101" s="3"/>
      <c r="F101" s="40"/>
      <c r="G101" s="3"/>
      <c r="H101" s="41"/>
      <c r="I101" s="15"/>
      <c r="J101" s="15"/>
      <c r="K101" s="42"/>
      <c r="L101" s="73"/>
      <c r="M101" s="73"/>
      <c r="N101" s="43"/>
      <c r="O101" s="44"/>
      <c r="P101" s="45"/>
      <c r="Q101" s="45"/>
      <c r="R101" s="45"/>
      <c r="S101" s="46"/>
      <c r="T101" s="45"/>
      <c r="U101" s="45"/>
      <c r="V101" s="45"/>
      <c r="W101" s="47"/>
    </row>
    <row r="102" spans="1:23" ht="25.5" hidden="1" customHeight="1">
      <c r="A102" s="3"/>
      <c r="B102" s="3"/>
      <c r="C102" s="3"/>
      <c r="D102" s="3"/>
      <c r="E102" s="3"/>
      <c r="F102" s="40"/>
      <c r="G102" s="3"/>
      <c r="H102" s="41"/>
      <c r="I102" s="15"/>
      <c r="J102" s="15"/>
      <c r="K102" s="42"/>
      <c r="L102" s="73"/>
      <c r="M102" s="73"/>
      <c r="N102" s="43"/>
      <c r="O102" s="44"/>
      <c r="P102" s="45"/>
      <c r="Q102" s="45"/>
      <c r="R102" s="45"/>
      <c r="S102" s="46"/>
      <c r="T102" s="45"/>
      <c r="U102" s="45"/>
      <c r="V102" s="45"/>
      <c r="W102" s="47"/>
    </row>
    <row r="103" spans="1:23" ht="25.5" hidden="1" customHeight="1">
      <c r="A103" s="3"/>
      <c r="B103" s="3"/>
      <c r="C103" s="3"/>
      <c r="D103" s="3"/>
      <c r="E103" s="3"/>
      <c r="F103" s="40"/>
      <c r="G103" s="3"/>
      <c r="H103" s="41"/>
      <c r="I103" s="15"/>
      <c r="J103" s="15"/>
      <c r="K103" s="42"/>
      <c r="L103" s="73"/>
      <c r="M103" s="73"/>
      <c r="N103" s="43"/>
      <c r="O103" s="44"/>
      <c r="P103" s="45"/>
      <c r="Q103" s="45"/>
      <c r="R103" s="45"/>
      <c r="S103" s="46"/>
      <c r="T103" s="45"/>
      <c r="U103" s="45"/>
      <c r="V103" s="45"/>
      <c r="W103" s="47"/>
    </row>
    <row r="104" spans="1:23" ht="25.5" hidden="1" customHeight="1">
      <c r="A104" s="3"/>
      <c r="B104" s="3"/>
      <c r="C104" s="3"/>
      <c r="D104" s="3"/>
      <c r="E104" s="3"/>
      <c r="F104" s="40"/>
      <c r="G104" s="3"/>
      <c r="H104" s="41"/>
      <c r="I104" s="15"/>
      <c r="J104" s="15"/>
      <c r="K104" s="42"/>
      <c r="L104" s="73"/>
      <c r="M104" s="73"/>
      <c r="N104" s="43"/>
      <c r="O104" s="44"/>
      <c r="P104" s="45"/>
      <c r="Q104" s="45"/>
      <c r="R104" s="45"/>
      <c r="S104" s="46"/>
      <c r="T104" s="45"/>
      <c r="U104" s="45"/>
      <c r="V104" s="45"/>
      <c r="W104" s="47"/>
    </row>
    <row r="105" spans="1:23" ht="25.5" hidden="1" customHeight="1">
      <c r="A105" s="3"/>
      <c r="B105" s="3"/>
      <c r="C105" s="3"/>
      <c r="D105" s="3"/>
      <c r="E105" s="3"/>
      <c r="F105" s="40"/>
      <c r="G105" s="3"/>
      <c r="H105" s="41"/>
      <c r="I105" s="15"/>
      <c r="J105" s="15"/>
      <c r="K105" s="42"/>
      <c r="L105" s="73"/>
      <c r="M105" s="73"/>
      <c r="N105" s="43"/>
      <c r="O105" s="44"/>
      <c r="P105" s="45"/>
      <c r="Q105" s="45"/>
      <c r="R105" s="45"/>
      <c r="S105" s="46"/>
      <c r="T105" s="45"/>
      <c r="U105" s="45"/>
      <c r="V105" s="45"/>
      <c r="W105" s="47"/>
    </row>
    <row r="106" spans="1:23" ht="25.5" hidden="1" customHeight="1">
      <c r="A106" s="3"/>
      <c r="B106" s="3"/>
      <c r="C106" s="3"/>
      <c r="D106" s="3"/>
      <c r="E106" s="3"/>
      <c r="F106" s="40"/>
      <c r="G106" s="3"/>
      <c r="H106" s="41"/>
      <c r="I106" s="15"/>
      <c r="J106" s="15"/>
      <c r="K106" s="42"/>
      <c r="L106" s="73"/>
      <c r="M106" s="73"/>
      <c r="N106" s="43"/>
      <c r="O106" s="44"/>
      <c r="P106" s="45"/>
      <c r="Q106" s="45"/>
      <c r="R106" s="45"/>
      <c r="S106" s="46"/>
      <c r="T106" s="45"/>
      <c r="U106" s="45"/>
      <c r="V106" s="45"/>
      <c r="W106" s="47"/>
    </row>
    <row r="107" spans="1:23" ht="25.5" hidden="1" customHeight="1">
      <c r="A107" s="3"/>
      <c r="B107" s="3"/>
      <c r="C107" s="3"/>
      <c r="D107" s="3"/>
      <c r="E107" s="3"/>
      <c r="F107" s="40"/>
      <c r="G107" s="3"/>
      <c r="H107" s="41"/>
      <c r="I107" s="15"/>
      <c r="J107" s="15"/>
      <c r="K107" s="42"/>
      <c r="L107" s="73"/>
      <c r="M107" s="73"/>
      <c r="N107" s="43"/>
      <c r="O107" s="44"/>
      <c r="P107" s="45"/>
      <c r="Q107" s="45"/>
      <c r="R107" s="45"/>
      <c r="S107" s="46"/>
      <c r="T107" s="45"/>
      <c r="U107" s="45"/>
      <c r="V107" s="45"/>
      <c r="W107" s="47"/>
    </row>
    <row r="108" spans="1:23" ht="25.5" hidden="1" customHeight="1">
      <c r="A108" s="3"/>
      <c r="B108" s="3"/>
      <c r="C108" s="3"/>
      <c r="D108" s="3"/>
      <c r="E108" s="3"/>
      <c r="F108" s="40"/>
      <c r="G108" s="3"/>
      <c r="H108" s="41"/>
      <c r="I108" s="15"/>
      <c r="J108" s="15"/>
      <c r="K108" s="42"/>
      <c r="L108" s="73"/>
      <c r="M108" s="73"/>
      <c r="N108" s="43"/>
      <c r="O108" s="44"/>
      <c r="P108" s="45"/>
      <c r="Q108" s="45"/>
      <c r="R108" s="45"/>
      <c r="S108" s="46"/>
      <c r="T108" s="45"/>
      <c r="U108" s="45"/>
      <c r="V108" s="45"/>
      <c r="W108" s="47"/>
    </row>
    <row r="109" spans="1:23" ht="25.5" hidden="1" customHeight="1">
      <c r="A109" s="3"/>
      <c r="B109" s="3"/>
      <c r="C109" s="3"/>
      <c r="D109" s="3"/>
      <c r="E109" s="3"/>
      <c r="F109" s="40"/>
      <c r="G109" s="3"/>
      <c r="H109" s="41"/>
      <c r="I109" s="15"/>
      <c r="J109" s="15"/>
      <c r="K109" s="42"/>
      <c r="L109" s="73"/>
      <c r="M109" s="73"/>
      <c r="N109" s="43"/>
      <c r="O109" s="44"/>
      <c r="P109" s="45"/>
      <c r="Q109" s="45"/>
      <c r="R109" s="45"/>
      <c r="S109" s="46"/>
      <c r="T109" s="45"/>
      <c r="U109" s="45"/>
      <c r="V109" s="45"/>
      <c r="W109" s="47"/>
    </row>
    <row r="110" spans="1:23" ht="25.5" hidden="1" customHeight="1">
      <c r="A110" s="3"/>
      <c r="B110" s="3"/>
      <c r="C110" s="3"/>
      <c r="D110" s="3"/>
      <c r="E110" s="3"/>
      <c r="F110" s="40"/>
      <c r="G110" s="3"/>
      <c r="H110" s="41"/>
      <c r="I110" s="15"/>
      <c r="J110" s="15"/>
      <c r="K110" s="42"/>
      <c r="L110" s="73"/>
      <c r="M110" s="73"/>
      <c r="N110" s="43"/>
      <c r="O110" s="44"/>
      <c r="P110" s="45"/>
      <c r="Q110" s="45"/>
      <c r="R110" s="45"/>
      <c r="S110" s="46"/>
      <c r="T110" s="45"/>
      <c r="U110" s="45"/>
      <c r="V110" s="45"/>
      <c r="W110" s="47"/>
    </row>
    <row r="111" spans="1:23" ht="25.5" hidden="1" customHeight="1">
      <c r="A111" s="3"/>
      <c r="B111" s="3"/>
      <c r="C111" s="3"/>
      <c r="D111" s="3"/>
      <c r="E111" s="3"/>
      <c r="F111" s="40"/>
      <c r="G111" s="3"/>
      <c r="H111" s="41"/>
      <c r="I111" s="15"/>
      <c r="J111" s="15"/>
      <c r="K111" s="42"/>
      <c r="L111" s="73"/>
      <c r="M111" s="73"/>
      <c r="N111" s="43"/>
      <c r="O111" s="44"/>
      <c r="P111" s="45"/>
      <c r="Q111" s="45"/>
      <c r="R111" s="45"/>
      <c r="S111" s="46"/>
      <c r="T111" s="45"/>
      <c r="U111" s="45"/>
      <c r="V111" s="45"/>
      <c r="W111" s="47"/>
    </row>
    <row r="112" spans="1:23" ht="25.5" hidden="1" customHeight="1">
      <c r="A112" s="3"/>
      <c r="B112" s="3"/>
      <c r="C112" s="3"/>
      <c r="D112" s="3"/>
      <c r="E112" s="3"/>
      <c r="F112" s="40"/>
      <c r="G112" s="3"/>
      <c r="H112" s="41"/>
      <c r="I112" s="15"/>
      <c r="J112" s="15"/>
      <c r="K112" s="42"/>
      <c r="L112" s="73"/>
      <c r="M112" s="73"/>
      <c r="N112" s="43"/>
      <c r="O112" s="44"/>
      <c r="P112" s="45"/>
      <c r="Q112" s="45"/>
      <c r="R112" s="45"/>
      <c r="S112" s="46"/>
      <c r="T112" s="45"/>
      <c r="U112" s="45"/>
      <c r="V112" s="45"/>
      <c r="W112" s="47"/>
    </row>
    <row r="113" spans="1:23" ht="25.5" hidden="1" customHeight="1">
      <c r="A113" s="3"/>
      <c r="B113" s="3"/>
      <c r="C113" s="3"/>
      <c r="D113" s="3"/>
      <c r="E113" s="3"/>
      <c r="F113" s="40"/>
      <c r="G113" s="3"/>
      <c r="H113" s="41"/>
      <c r="I113" s="15"/>
      <c r="J113" s="15"/>
      <c r="K113" s="42"/>
      <c r="L113" s="73"/>
      <c r="M113" s="73"/>
      <c r="N113" s="43"/>
      <c r="O113" s="44"/>
      <c r="P113" s="45"/>
      <c r="Q113" s="45"/>
      <c r="R113" s="45"/>
      <c r="S113" s="46"/>
      <c r="T113" s="45"/>
      <c r="U113" s="45"/>
      <c r="V113" s="45"/>
      <c r="W113" s="47"/>
    </row>
    <row r="114" spans="1:23" ht="25.5" hidden="1" customHeight="1">
      <c r="A114" s="3"/>
      <c r="B114" s="3"/>
      <c r="C114" s="3"/>
      <c r="D114" s="3"/>
      <c r="E114" s="3"/>
      <c r="F114" s="40"/>
      <c r="G114" s="3"/>
      <c r="H114" s="41"/>
      <c r="I114" s="15"/>
      <c r="J114" s="15"/>
      <c r="K114" s="42"/>
      <c r="L114" s="73"/>
      <c r="M114" s="73"/>
      <c r="N114" s="43"/>
      <c r="O114" s="44"/>
      <c r="P114" s="45"/>
      <c r="Q114" s="45"/>
      <c r="R114" s="45"/>
      <c r="S114" s="46"/>
      <c r="T114" s="45"/>
      <c r="U114" s="45"/>
      <c r="V114" s="45"/>
      <c r="W114" s="47"/>
    </row>
    <row r="115" spans="1:23" ht="25.5" hidden="1" customHeight="1">
      <c r="A115" s="3"/>
      <c r="B115" s="3"/>
      <c r="C115" s="3"/>
      <c r="D115" s="3"/>
      <c r="E115" s="3"/>
      <c r="F115" s="40"/>
      <c r="G115" s="3"/>
      <c r="H115" s="41"/>
      <c r="I115" s="15"/>
      <c r="J115" s="15"/>
      <c r="K115" s="42"/>
      <c r="L115" s="73"/>
      <c r="M115" s="73"/>
      <c r="N115" s="43"/>
      <c r="O115" s="44"/>
      <c r="P115" s="45"/>
      <c r="Q115" s="45"/>
      <c r="R115" s="45"/>
      <c r="S115" s="46"/>
      <c r="T115" s="45"/>
      <c r="U115" s="45"/>
      <c r="V115" s="45"/>
      <c r="W115" s="47"/>
    </row>
    <row r="116" spans="1:23" ht="25.5" hidden="1" customHeight="1">
      <c r="A116" s="3"/>
      <c r="B116" s="3"/>
      <c r="C116" s="3"/>
      <c r="D116" s="3"/>
      <c r="E116" s="3"/>
      <c r="F116" s="40"/>
      <c r="G116" s="3"/>
      <c r="H116" s="41"/>
      <c r="I116" s="15"/>
      <c r="J116" s="15"/>
      <c r="K116" s="42"/>
      <c r="L116" s="73"/>
      <c r="M116" s="73"/>
      <c r="N116" s="43"/>
      <c r="O116" s="44"/>
      <c r="P116" s="45"/>
      <c r="Q116" s="45"/>
      <c r="R116" s="45"/>
      <c r="S116" s="46"/>
      <c r="T116" s="45"/>
      <c r="U116" s="45"/>
      <c r="V116" s="45"/>
      <c r="W116" s="47"/>
    </row>
    <row r="117" spans="1:23" ht="25.5" hidden="1" customHeight="1">
      <c r="A117" s="3"/>
      <c r="B117" s="3"/>
      <c r="C117" s="3"/>
      <c r="D117" s="3"/>
      <c r="E117" s="3"/>
      <c r="F117" s="40"/>
      <c r="G117" s="3"/>
      <c r="H117" s="41"/>
      <c r="I117" s="15"/>
      <c r="J117" s="15"/>
      <c r="K117" s="42"/>
      <c r="L117" s="73"/>
      <c r="M117" s="73"/>
      <c r="N117" s="43"/>
      <c r="O117" s="44"/>
      <c r="P117" s="45"/>
      <c r="Q117" s="45"/>
      <c r="R117" s="45"/>
      <c r="S117" s="46"/>
      <c r="T117" s="45"/>
      <c r="U117" s="45"/>
      <c r="V117" s="45"/>
      <c r="W117" s="47"/>
    </row>
    <row r="118" spans="1:23" ht="25.5" hidden="1" customHeight="1">
      <c r="A118" s="3"/>
      <c r="B118" s="3"/>
      <c r="C118" s="3"/>
      <c r="D118" s="3"/>
      <c r="E118" s="3"/>
      <c r="F118" s="40"/>
      <c r="G118" s="3"/>
      <c r="H118" s="41"/>
      <c r="I118" s="15"/>
      <c r="J118" s="15"/>
      <c r="K118" s="42"/>
      <c r="L118" s="73"/>
      <c r="M118" s="73"/>
      <c r="N118" s="43"/>
      <c r="O118" s="44"/>
      <c r="P118" s="45"/>
      <c r="Q118" s="45"/>
      <c r="R118" s="45"/>
      <c r="S118" s="46"/>
      <c r="T118" s="45"/>
      <c r="U118" s="45"/>
      <c r="V118" s="45"/>
      <c r="W118" s="47"/>
    </row>
    <row r="119" spans="1:23" ht="25.5" hidden="1" customHeight="1">
      <c r="A119" s="3"/>
      <c r="B119" s="3"/>
      <c r="C119" s="3"/>
      <c r="D119" s="3"/>
      <c r="E119" s="3"/>
      <c r="F119" s="40"/>
      <c r="G119" s="3"/>
      <c r="H119" s="41"/>
      <c r="I119" s="15"/>
      <c r="J119" s="15"/>
      <c r="K119" s="42"/>
      <c r="L119" s="73"/>
      <c r="M119" s="73"/>
      <c r="N119" s="43"/>
      <c r="O119" s="44"/>
      <c r="P119" s="45"/>
      <c r="Q119" s="45"/>
      <c r="R119" s="45"/>
      <c r="S119" s="46"/>
      <c r="T119" s="45"/>
      <c r="U119" s="45"/>
      <c r="V119" s="45"/>
      <c r="W119" s="47"/>
    </row>
    <row r="120" spans="1:23" ht="25.5" hidden="1" customHeight="1">
      <c r="A120" s="3"/>
      <c r="B120" s="3"/>
      <c r="C120" s="3"/>
      <c r="D120" s="3"/>
      <c r="E120" s="3"/>
      <c r="F120" s="40"/>
      <c r="G120" s="3"/>
      <c r="H120" s="41"/>
      <c r="I120" s="15"/>
      <c r="J120" s="15"/>
      <c r="K120" s="42"/>
      <c r="L120" s="73"/>
      <c r="M120" s="73"/>
      <c r="N120" s="43"/>
      <c r="O120" s="44"/>
      <c r="P120" s="45"/>
      <c r="Q120" s="45"/>
      <c r="R120" s="45"/>
      <c r="S120" s="46"/>
      <c r="T120" s="45"/>
      <c r="U120" s="45"/>
      <c r="V120" s="45"/>
      <c r="W120" s="47"/>
    </row>
    <row r="121" spans="1:23" ht="25.5" hidden="1" customHeight="1">
      <c r="A121" s="3"/>
      <c r="B121" s="3"/>
      <c r="C121" s="3"/>
      <c r="D121" s="3"/>
      <c r="E121" s="3"/>
      <c r="F121" s="40"/>
      <c r="G121" s="3"/>
      <c r="H121" s="41"/>
      <c r="I121" s="15"/>
      <c r="J121" s="15"/>
      <c r="K121" s="42"/>
      <c r="L121" s="73"/>
      <c r="M121" s="73"/>
      <c r="N121" s="43"/>
      <c r="O121" s="44"/>
      <c r="P121" s="45"/>
      <c r="Q121" s="45"/>
      <c r="R121" s="45"/>
      <c r="S121" s="46"/>
      <c r="T121" s="45"/>
      <c r="U121" s="45"/>
      <c r="V121" s="45"/>
      <c r="W121" s="47"/>
    </row>
    <row r="122" spans="1:23" ht="25.5" hidden="1" customHeight="1">
      <c r="A122" s="3"/>
      <c r="B122" s="3"/>
      <c r="C122" s="3"/>
      <c r="D122" s="3"/>
      <c r="E122" s="3"/>
      <c r="F122" s="40"/>
      <c r="G122" s="3"/>
      <c r="H122" s="41"/>
      <c r="I122" s="15"/>
      <c r="J122" s="15"/>
      <c r="K122" s="42"/>
      <c r="L122" s="73"/>
      <c r="M122" s="73"/>
      <c r="N122" s="43"/>
      <c r="O122" s="44"/>
      <c r="P122" s="45"/>
      <c r="Q122" s="45"/>
      <c r="R122" s="45"/>
      <c r="S122" s="46"/>
      <c r="T122" s="45"/>
      <c r="U122" s="45"/>
      <c r="V122" s="45"/>
      <c r="W122" s="47"/>
    </row>
    <row r="123" spans="1:23" ht="25.5" hidden="1" customHeight="1">
      <c r="A123" s="3"/>
      <c r="B123" s="3"/>
      <c r="C123" s="3"/>
      <c r="D123" s="3"/>
      <c r="E123" s="3"/>
      <c r="F123" s="40"/>
      <c r="G123" s="3"/>
      <c r="H123" s="41"/>
      <c r="I123" s="15"/>
      <c r="J123" s="15"/>
      <c r="K123" s="42"/>
      <c r="L123" s="73"/>
      <c r="M123" s="73"/>
      <c r="N123" s="43"/>
      <c r="O123" s="44"/>
      <c r="P123" s="45"/>
      <c r="Q123" s="45"/>
      <c r="R123" s="45"/>
      <c r="S123" s="46"/>
      <c r="T123" s="45"/>
      <c r="U123" s="45"/>
      <c r="V123" s="45"/>
      <c r="W123" s="47"/>
    </row>
    <row r="124" spans="1:23" ht="25.5" hidden="1" customHeight="1">
      <c r="A124" s="3"/>
      <c r="B124" s="3"/>
      <c r="C124" s="3"/>
      <c r="D124" s="3"/>
      <c r="E124" s="3"/>
      <c r="F124" s="40"/>
      <c r="G124" s="3"/>
      <c r="H124" s="41"/>
      <c r="I124" s="15"/>
      <c r="J124" s="15"/>
      <c r="K124" s="42"/>
      <c r="L124" s="73"/>
      <c r="M124" s="73"/>
      <c r="N124" s="43"/>
      <c r="O124" s="44"/>
      <c r="P124" s="45"/>
      <c r="Q124" s="45"/>
      <c r="R124" s="45"/>
      <c r="S124" s="46"/>
      <c r="T124" s="45"/>
      <c r="U124" s="45"/>
      <c r="V124" s="45"/>
      <c r="W124" s="47"/>
    </row>
    <row r="125" spans="1:23" ht="25.5" hidden="1" customHeight="1">
      <c r="A125" s="3"/>
      <c r="B125" s="3"/>
      <c r="C125" s="3"/>
      <c r="D125" s="3"/>
      <c r="E125" s="3"/>
      <c r="F125" s="40"/>
      <c r="G125" s="3"/>
      <c r="H125" s="41"/>
      <c r="I125" s="15"/>
      <c r="J125" s="15"/>
      <c r="K125" s="42"/>
      <c r="L125" s="73"/>
      <c r="M125" s="73"/>
      <c r="N125" s="43"/>
      <c r="O125" s="44"/>
      <c r="P125" s="45"/>
      <c r="Q125" s="45"/>
      <c r="R125" s="45"/>
      <c r="S125" s="46"/>
      <c r="T125" s="45"/>
      <c r="U125" s="45"/>
      <c r="V125" s="45"/>
      <c r="W125" s="47"/>
    </row>
    <row r="126" spans="1:23" ht="25.5" hidden="1" customHeight="1">
      <c r="A126" s="3"/>
      <c r="B126" s="3"/>
      <c r="C126" s="3"/>
      <c r="D126" s="3"/>
      <c r="E126" s="3"/>
      <c r="F126" s="40"/>
      <c r="G126" s="3"/>
      <c r="H126" s="41"/>
      <c r="I126" s="15"/>
      <c r="J126" s="15"/>
      <c r="K126" s="42"/>
      <c r="L126" s="73"/>
      <c r="M126" s="73"/>
      <c r="N126" s="43"/>
      <c r="O126" s="44"/>
      <c r="P126" s="45"/>
      <c r="Q126" s="45"/>
      <c r="R126" s="45"/>
      <c r="S126" s="46"/>
      <c r="T126" s="45"/>
      <c r="U126" s="45"/>
      <c r="V126" s="45"/>
      <c r="W126" s="47"/>
    </row>
    <row r="127" spans="1:23" ht="25.5" hidden="1" customHeight="1">
      <c r="A127" s="3"/>
      <c r="B127" s="3"/>
      <c r="C127" s="3"/>
      <c r="D127" s="3"/>
      <c r="E127" s="3"/>
      <c r="F127" s="40"/>
      <c r="G127" s="3"/>
      <c r="H127" s="41"/>
      <c r="I127" s="15"/>
      <c r="J127" s="15"/>
      <c r="K127" s="42"/>
      <c r="L127" s="73"/>
      <c r="M127" s="73"/>
      <c r="N127" s="43"/>
      <c r="O127" s="44"/>
      <c r="P127" s="45"/>
      <c r="Q127" s="45"/>
      <c r="R127" s="45"/>
      <c r="S127" s="46"/>
      <c r="T127" s="45"/>
      <c r="U127" s="45"/>
      <c r="V127" s="45"/>
      <c r="W127" s="47"/>
    </row>
    <row r="128" spans="1:23" ht="25.5" hidden="1" customHeight="1">
      <c r="A128" s="3"/>
      <c r="B128" s="3"/>
      <c r="C128" s="3"/>
      <c r="D128" s="3"/>
      <c r="E128" s="3"/>
      <c r="F128" s="40"/>
      <c r="G128" s="3"/>
      <c r="H128" s="41"/>
      <c r="I128" s="15"/>
      <c r="J128" s="15"/>
      <c r="K128" s="42"/>
      <c r="L128" s="73"/>
      <c r="M128" s="73"/>
      <c r="N128" s="43"/>
      <c r="O128" s="44"/>
      <c r="P128" s="45"/>
      <c r="Q128" s="45"/>
      <c r="R128" s="45"/>
      <c r="S128" s="46"/>
      <c r="T128" s="45"/>
      <c r="U128" s="45"/>
      <c r="V128" s="45"/>
      <c r="W128" s="47"/>
    </row>
    <row r="129" spans="1:23" ht="25.5" hidden="1" customHeight="1">
      <c r="A129" s="3"/>
      <c r="B129" s="3"/>
      <c r="C129" s="3"/>
      <c r="D129" s="3"/>
      <c r="E129" s="3"/>
      <c r="F129" s="40"/>
      <c r="G129" s="3"/>
      <c r="H129" s="41"/>
      <c r="I129" s="15"/>
      <c r="J129" s="15"/>
      <c r="K129" s="42"/>
      <c r="L129" s="73"/>
      <c r="M129" s="73"/>
      <c r="N129" s="43"/>
      <c r="O129" s="44"/>
      <c r="P129" s="45"/>
      <c r="Q129" s="45"/>
      <c r="R129" s="45"/>
      <c r="S129" s="46"/>
      <c r="T129" s="45"/>
      <c r="U129" s="45"/>
      <c r="V129" s="45"/>
      <c r="W129" s="47"/>
    </row>
    <row r="130" spans="1:23" ht="25.5" hidden="1" customHeight="1">
      <c r="A130" s="3"/>
      <c r="B130" s="3"/>
      <c r="C130" s="3"/>
      <c r="D130" s="3"/>
      <c r="E130" s="3"/>
      <c r="F130" s="40"/>
      <c r="G130" s="3"/>
      <c r="H130" s="41"/>
      <c r="I130" s="15"/>
      <c r="J130" s="15"/>
      <c r="K130" s="42"/>
      <c r="L130" s="73"/>
      <c r="M130" s="73"/>
      <c r="N130" s="43"/>
      <c r="O130" s="44"/>
      <c r="P130" s="45"/>
      <c r="Q130" s="45"/>
      <c r="R130" s="45"/>
      <c r="S130" s="46"/>
      <c r="T130" s="45"/>
      <c r="U130" s="45"/>
      <c r="V130" s="45"/>
      <c r="W130" s="47"/>
    </row>
    <row r="131" spans="1:23" ht="25.5" hidden="1" customHeight="1">
      <c r="A131" s="3"/>
      <c r="B131" s="3"/>
      <c r="C131" s="3"/>
      <c r="D131" s="3"/>
      <c r="E131" s="3"/>
      <c r="F131" s="40"/>
      <c r="G131" s="3"/>
      <c r="H131" s="41"/>
      <c r="I131" s="15"/>
      <c r="J131" s="15"/>
      <c r="K131" s="42"/>
      <c r="L131" s="73"/>
      <c r="M131" s="73"/>
      <c r="N131" s="43"/>
      <c r="O131" s="44"/>
      <c r="P131" s="45"/>
      <c r="Q131" s="45"/>
      <c r="R131" s="45"/>
      <c r="S131" s="46"/>
      <c r="T131" s="45"/>
      <c r="U131" s="45"/>
      <c r="V131" s="45"/>
      <c r="W131" s="47"/>
    </row>
    <row r="132" spans="1:23" ht="25.5" hidden="1" customHeight="1">
      <c r="A132" s="3"/>
      <c r="B132" s="3"/>
      <c r="C132" s="3"/>
      <c r="D132" s="3"/>
      <c r="E132" s="3"/>
      <c r="F132" s="40"/>
      <c r="G132" s="3"/>
      <c r="H132" s="41"/>
      <c r="I132" s="15"/>
      <c r="J132" s="15"/>
      <c r="K132" s="42"/>
      <c r="L132" s="73"/>
      <c r="M132" s="73"/>
      <c r="N132" s="43"/>
      <c r="O132" s="44"/>
      <c r="P132" s="45"/>
      <c r="Q132" s="45"/>
      <c r="R132" s="45"/>
      <c r="S132" s="46"/>
      <c r="T132" s="45"/>
      <c r="U132" s="45"/>
      <c r="V132" s="45"/>
      <c r="W132" s="47"/>
    </row>
    <row r="133" spans="1:23" ht="25.5" hidden="1" customHeight="1">
      <c r="A133" s="3"/>
      <c r="B133" s="3"/>
      <c r="C133" s="3"/>
      <c r="D133" s="3"/>
      <c r="E133" s="3"/>
      <c r="F133" s="40"/>
      <c r="G133" s="3"/>
      <c r="H133" s="41"/>
      <c r="I133" s="15"/>
      <c r="J133" s="15"/>
      <c r="K133" s="42"/>
      <c r="L133" s="73"/>
      <c r="M133" s="73"/>
      <c r="N133" s="43"/>
      <c r="O133" s="44"/>
      <c r="P133" s="45"/>
      <c r="Q133" s="45"/>
      <c r="R133" s="45"/>
      <c r="S133" s="46"/>
      <c r="T133" s="45"/>
      <c r="U133" s="45"/>
      <c r="V133" s="45"/>
      <c r="W133" s="47"/>
    </row>
    <row r="134" spans="1:23" ht="25.5" hidden="1" customHeight="1">
      <c r="A134" s="3"/>
      <c r="B134" s="3"/>
      <c r="C134" s="3"/>
      <c r="D134" s="3"/>
      <c r="E134" s="3"/>
      <c r="F134" s="40"/>
      <c r="G134" s="3"/>
      <c r="H134" s="41"/>
      <c r="I134" s="15"/>
      <c r="J134" s="15"/>
      <c r="K134" s="42"/>
      <c r="L134" s="73"/>
      <c r="M134" s="73"/>
      <c r="N134" s="43"/>
      <c r="O134" s="44"/>
      <c r="P134" s="45"/>
      <c r="Q134" s="45"/>
      <c r="R134" s="45"/>
      <c r="S134" s="46"/>
      <c r="T134" s="45"/>
      <c r="U134" s="45"/>
      <c r="V134" s="45"/>
      <c r="W134" s="47"/>
    </row>
    <row r="135" spans="1:23" ht="25.5" hidden="1" customHeight="1">
      <c r="A135" s="3"/>
      <c r="B135" s="3"/>
      <c r="C135" s="3"/>
      <c r="D135" s="3"/>
      <c r="E135" s="3"/>
      <c r="F135" s="40"/>
      <c r="G135" s="3"/>
      <c r="H135" s="41"/>
      <c r="I135" s="15"/>
      <c r="J135" s="15"/>
      <c r="K135" s="42"/>
      <c r="L135" s="73"/>
      <c r="M135" s="73"/>
      <c r="N135" s="43"/>
      <c r="O135" s="44"/>
      <c r="P135" s="45"/>
      <c r="Q135" s="45"/>
      <c r="R135" s="45"/>
      <c r="S135" s="46"/>
      <c r="T135" s="45"/>
      <c r="U135" s="45"/>
      <c r="V135" s="45"/>
      <c r="W135" s="47"/>
    </row>
    <row r="136" spans="1:23" ht="25.5" hidden="1" customHeight="1">
      <c r="A136" s="3"/>
      <c r="B136" s="3"/>
      <c r="C136" s="3"/>
      <c r="D136" s="3"/>
      <c r="E136" s="3"/>
      <c r="F136" s="40"/>
      <c r="G136" s="3"/>
      <c r="H136" s="41"/>
      <c r="I136" s="15"/>
      <c r="J136" s="15"/>
      <c r="K136" s="42"/>
      <c r="L136" s="73"/>
      <c r="M136" s="73"/>
      <c r="N136" s="43"/>
      <c r="O136" s="44"/>
      <c r="P136" s="45"/>
      <c r="Q136" s="45"/>
      <c r="R136" s="45"/>
      <c r="S136" s="46"/>
      <c r="T136" s="45"/>
      <c r="U136" s="45"/>
      <c r="V136" s="45"/>
      <c r="W136" s="47"/>
    </row>
    <row r="137" spans="1:23" ht="25.5" hidden="1" customHeight="1">
      <c r="A137" s="3"/>
      <c r="B137" s="3"/>
      <c r="C137" s="3"/>
      <c r="D137" s="3"/>
      <c r="E137" s="3"/>
      <c r="F137" s="40"/>
      <c r="G137" s="3"/>
      <c r="H137" s="41"/>
      <c r="I137" s="15"/>
      <c r="J137" s="15"/>
      <c r="K137" s="42"/>
      <c r="L137" s="73"/>
      <c r="M137" s="73"/>
      <c r="N137" s="43"/>
      <c r="O137" s="44"/>
      <c r="P137" s="45"/>
      <c r="Q137" s="45"/>
      <c r="R137" s="45"/>
      <c r="S137" s="46"/>
      <c r="T137" s="45"/>
      <c r="U137" s="45"/>
      <c r="V137" s="45"/>
      <c r="W137" s="47"/>
    </row>
    <row r="138" spans="1:23" ht="25.5" hidden="1" customHeight="1">
      <c r="A138" s="3"/>
      <c r="B138" s="3"/>
      <c r="C138" s="3"/>
      <c r="D138" s="3"/>
      <c r="E138" s="3"/>
      <c r="F138" s="40"/>
      <c r="G138" s="3"/>
      <c r="H138" s="41"/>
      <c r="I138" s="15"/>
      <c r="J138" s="15"/>
      <c r="K138" s="42"/>
      <c r="L138" s="73"/>
      <c r="M138" s="73"/>
      <c r="N138" s="43"/>
      <c r="O138" s="44"/>
      <c r="P138" s="45"/>
      <c r="Q138" s="45"/>
      <c r="R138" s="45"/>
      <c r="S138" s="46"/>
      <c r="T138" s="45"/>
      <c r="U138" s="45"/>
      <c r="V138" s="45"/>
      <c r="W138" s="47"/>
    </row>
    <row r="139" spans="1:23" ht="25.5" hidden="1" customHeight="1">
      <c r="A139" s="3"/>
      <c r="B139" s="3"/>
      <c r="C139" s="3"/>
      <c r="D139" s="3"/>
      <c r="E139" s="3"/>
      <c r="F139" s="40"/>
      <c r="G139" s="3"/>
      <c r="H139" s="41"/>
      <c r="I139" s="15"/>
      <c r="J139" s="15"/>
      <c r="K139" s="42"/>
      <c r="L139" s="73"/>
      <c r="M139" s="73"/>
      <c r="N139" s="43"/>
      <c r="O139" s="44"/>
      <c r="P139" s="45"/>
      <c r="Q139" s="45"/>
      <c r="R139" s="45"/>
      <c r="S139" s="46"/>
      <c r="T139" s="45"/>
      <c r="U139" s="45"/>
      <c r="V139" s="45"/>
      <c r="W139" s="47"/>
    </row>
    <row r="140" spans="1:23" ht="25.5" hidden="1" customHeight="1">
      <c r="A140" s="3"/>
      <c r="B140" s="3"/>
      <c r="C140" s="3"/>
      <c r="D140" s="3"/>
      <c r="E140" s="3"/>
      <c r="F140" s="40"/>
      <c r="G140" s="3"/>
      <c r="H140" s="41"/>
      <c r="I140" s="15"/>
      <c r="J140" s="15"/>
      <c r="K140" s="42"/>
      <c r="L140" s="73"/>
      <c r="M140" s="73"/>
      <c r="N140" s="43"/>
      <c r="O140" s="44"/>
      <c r="P140" s="45"/>
      <c r="Q140" s="45"/>
      <c r="R140" s="45"/>
      <c r="S140" s="46"/>
      <c r="T140" s="45"/>
      <c r="U140" s="45"/>
      <c r="V140" s="45"/>
      <c r="W140" s="47"/>
    </row>
    <row r="141" spans="1:23" ht="25.5" hidden="1" customHeight="1">
      <c r="A141" s="3"/>
      <c r="B141" s="3"/>
      <c r="C141" s="3"/>
      <c r="D141" s="3"/>
      <c r="E141" s="3"/>
      <c r="F141" s="40"/>
      <c r="G141" s="3"/>
      <c r="H141" s="41"/>
      <c r="I141" s="15"/>
      <c r="J141" s="15"/>
      <c r="K141" s="42"/>
      <c r="L141" s="73"/>
      <c r="M141" s="73"/>
      <c r="N141" s="43"/>
      <c r="O141" s="44"/>
      <c r="P141" s="45"/>
      <c r="Q141" s="45"/>
      <c r="R141" s="45"/>
      <c r="S141" s="46"/>
      <c r="T141" s="45"/>
      <c r="U141" s="45"/>
      <c r="V141" s="45"/>
      <c r="W141" s="47"/>
    </row>
    <row r="142" spans="1:23" ht="25.5" hidden="1" customHeight="1">
      <c r="A142" s="3"/>
      <c r="B142" s="3"/>
      <c r="C142" s="3"/>
      <c r="D142" s="3"/>
      <c r="E142" s="3"/>
      <c r="F142" s="40"/>
      <c r="G142" s="3"/>
      <c r="H142" s="41"/>
      <c r="I142" s="15"/>
      <c r="J142" s="15"/>
      <c r="K142" s="42"/>
      <c r="L142" s="73"/>
      <c r="M142" s="73"/>
      <c r="N142" s="43"/>
      <c r="O142" s="44"/>
      <c r="P142" s="45"/>
      <c r="Q142" s="45"/>
      <c r="R142" s="45"/>
      <c r="S142" s="46"/>
      <c r="T142" s="45"/>
      <c r="U142" s="45"/>
      <c r="V142" s="45"/>
      <c r="W142" s="47"/>
    </row>
    <row r="143" spans="1:23" ht="25.5" hidden="1" customHeight="1">
      <c r="A143" s="3"/>
      <c r="B143" s="3"/>
      <c r="C143" s="3"/>
      <c r="D143" s="3"/>
      <c r="E143" s="3"/>
      <c r="F143" s="40"/>
      <c r="G143" s="3"/>
      <c r="H143" s="41"/>
      <c r="I143" s="15"/>
      <c r="J143" s="15"/>
      <c r="K143" s="42"/>
      <c r="L143" s="73"/>
      <c r="M143" s="73"/>
      <c r="N143" s="43"/>
      <c r="O143" s="44"/>
      <c r="P143" s="45"/>
      <c r="Q143" s="45"/>
      <c r="R143" s="45"/>
      <c r="S143" s="46"/>
      <c r="T143" s="45"/>
      <c r="U143" s="45"/>
      <c r="V143" s="45"/>
      <c r="W143" s="47"/>
    </row>
    <row r="144" spans="1:23" ht="25.5" hidden="1" customHeight="1">
      <c r="A144" s="3"/>
      <c r="B144" s="3"/>
      <c r="C144" s="3"/>
      <c r="D144" s="3"/>
      <c r="E144" s="3"/>
      <c r="F144" s="40"/>
      <c r="G144" s="3"/>
      <c r="H144" s="41"/>
      <c r="I144" s="15"/>
      <c r="J144" s="15"/>
      <c r="K144" s="42"/>
      <c r="L144" s="73"/>
      <c r="M144" s="73"/>
      <c r="N144" s="43"/>
      <c r="O144" s="44"/>
      <c r="P144" s="45"/>
      <c r="Q144" s="45"/>
      <c r="R144" s="45"/>
      <c r="S144" s="46"/>
      <c r="T144" s="45"/>
      <c r="U144" s="45"/>
      <c r="V144" s="45"/>
      <c r="W144" s="47"/>
    </row>
    <row r="145" spans="1:23" ht="25.5" hidden="1" customHeight="1">
      <c r="A145" s="3"/>
      <c r="B145" s="3"/>
      <c r="C145" s="3"/>
      <c r="D145" s="3"/>
      <c r="E145" s="3"/>
      <c r="F145" s="40"/>
      <c r="G145" s="3"/>
      <c r="H145" s="41"/>
      <c r="I145" s="15"/>
      <c r="J145" s="15"/>
      <c r="K145" s="42"/>
      <c r="L145" s="73"/>
      <c r="M145" s="73"/>
      <c r="N145" s="43"/>
      <c r="O145" s="44"/>
      <c r="P145" s="45"/>
      <c r="Q145" s="45"/>
      <c r="R145" s="45"/>
      <c r="S145" s="46"/>
      <c r="T145" s="45"/>
      <c r="U145" s="45"/>
      <c r="V145" s="45"/>
      <c r="W145" s="47"/>
    </row>
    <row r="146" spans="1:23" ht="25.5" hidden="1" customHeight="1">
      <c r="A146" s="3"/>
      <c r="B146" s="3"/>
      <c r="C146" s="3"/>
      <c r="D146" s="3"/>
      <c r="E146" s="3"/>
      <c r="F146" s="40"/>
      <c r="G146" s="3"/>
      <c r="H146" s="41"/>
      <c r="I146" s="15"/>
      <c r="J146" s="15"/>
      <c r="K146" s="42"/>
      <c r="L146" s="73"/>
      <c r="M146" s="73"/>
      <c r="N146" s="43"/>
      <c r="O146" s="44"/>
      <c r="P146" s="45"/>
      <c r="Q146" s="45"/>
      <c r="R146" s="45"/>
      <c r="S146" s="46"/>
      <c r="T146" s="45"/>
      <c r="U146" s="45"/>
      <c r="V146" s="45"/>
      <c r="W146" s="47"/>
    </row>
    <row r="147" spans="1:23" ht="25.5" hidden="1" customHeight="1">
      <c r="A147" s="3"/>
      <c r="B147" s="3"/>
      <c r="C147" s="3"/>
      <c r="D147" s="3"/>
      <c r="E147" s="3"/>
      <c r="F147" s="40"/>
      <c r="G147" s="3"/>
      <c r="H147" s="41"/>
      <c r="I147" s="15"/>
      <c r="J147" s="15"/>
      <c r="K147" s="42"/>
      <c r="L147" s="73"/>
      <c r="M147" s="73"/>
      <c r="N147" s="43"/>
      <c r="O147" s="44"/>
      <c r="P147" s="45"/>
      <c r="Q147" s="45"/>
      <c r="R147" s="45"/>
      <c r="S147" s="46"/>
      <c r="T147" s="45"/>
      <c r="U147" s="45"/>
      <c r="V147" s="45"/>
      <c r="W147" s="47"/>
    </row>
    <row r="148" spans="1:23" ht="25.5" hidden="1" customHeight="1">
      <c r="A148" s="3"/>
      <c r="B148" s="3"/>
      <c r="C148" s="3"/>
      <c r="D148" s="3"/>
      <c r="E148" s="3"/>
      <c r="F148" s="40"/>
      <c r="G148" s="3"/>
      <c r="H148" s="41"/>
      <c r="I148" s="15"/>
      <c r="J148" s="15"/>
      <c r="K148" s="42"/>
      <c r="L148" s="73"/>
      <c r="M148" s="73"/>
      <c r="N148" s="43"/>
      <c r="O148" s="44"/>
      <c r="P148" s="45"/>
      <c r="Q148" s="45"/>
      <c r="R148" s="45"/>
      <c r="S148" s="46"/>
      <c r="T148" s="45"/>
      <c r="U148" s="45"/>
      <c r="V148" s="45"/>
      <c r="W148" s="47"/>
    </row>
    <row r="149" spans="1:23" ht="25.5" hidden="1" customHeight="1">
      <c r="A149" s="3"/>
      <c r="B149" s="3"/>
      <c r="C149" s="3"/>
      <c r="D149" s="3"/>
      <c r="E149" s="3"/>
      <c r="F149" s="40"/>
      <c r="G149" s="3"/>
      <c r="H149" s="41"/>
      <c r="I149" s="15"/>
      <c r="J149" s="15"/>
      <c r="K149" s="42"/>
      <c r="L149" s="73"/>
      <c r="M149" s="73"/>
      <c r="N149" s="43"/>
      <c r="O149" s="44"/>
      <c r="P149" s="45"/>
      <c r="Q149" s="45"/>
      <c r="R149" s="45"/>
      <c r="S149" s="46"/>
      <c r="T149" s="45"/>
      <c r="U149" s="45"/>
      <c r="V149" s="45"/>
      <c r="W149" s="47"/>
    </row>
    <row r="150" spans="1:23" ht="25.5" hidden="1" customHeight="1">
      <c r="A150" s="3"/>
      <c r="B150" s="3"/>
      <c r="C150" s="3"/>
      <c r="D150" s="3"/>
      <c r="E150" s="3"/>
      <c r="F150" s="40"/>
      <c r="G150" s="3"/>
      <c r="H150" s="41"/>
      <c r="I150" s="15"/>
      <c r="J150" s="15"/>
      <c r="K150" s="42"/>
      <c r="L150" s="73"/>
      <c r="M150" s="73"/>
      <c r="N150" s="43"/>
      <c r="O150" s="44"/>
      <c r="P150" s="45"/>
      <c r="Q150" s="45"/>
      <c r="R150" s="45"/>
      <c r="S150" s="46"/>
      <c r="T150" s="45"/>
      <c r="U150" s="45"/>
      <c r="V150" s="45"/>
      <c r="W150" s="47"/>
    </row>
    <row r="151" spans="1:23" ht="25.5" hidden="1" customHeight="1">
      <c r="A151" s="3"/>
      <c r="B151" s="3"/>
      <c r="C151" s="3"/>
      <c r="D151" s="3"/>
      <c r="E151" s="3"/>
      <c r="F151" s="40"/>
      <c r="G151" s="3"/>
      <c r="H151" s="41"/>
      <c r="I151" s="15"/>
      <c r="J151" s="15"/>
      <c r="K151" s="42"/>
      <c r="L151" s="73"/>
      <c r="M151" s="73"/>
      <c r="N151" s="43"/>
      <c r="O151" s="44"/>
      <c r="P151" s="45"/>
      <c r="Q151" s="45"/>
      <c r="R151" s="45"/>
      <c r="S151" s="46"/>
      <c r="T151" s="45"/>
      <c r="U151" s="45"/>
      <c r="V151" s="45"/>
      <c r="W151" s="47"/>
    </row>
    <row r="152" spans="1:23" ht="25.5" hidden="1" customHeight="1">
      <c r="A152" s="3"/>
      <c r="B152" s="3"/>
      <c r="C152" s="3"/>
      <c r="D152" s="3"/>
      <c r="E152" s="3"/>
      <c r="F152" s="40"/>
      <c r="G152" s="3"/>
      <c r="H152" s="41"/>
      <c r="I152" s="15"/>
      <c r="J152" s="15"/>
      <c r="K152" s="42"/>
      <c r="L152" s="73"/>
      <c r="M152" s="73"/>
      <c r="N152" s="43"/>
      <c r="O152" s="44"/>
      <c r="P152" s="45"/>
      <c r="Q152" s="45"/>
      <c r="R152" s="45"/>
      <c r="S152" s="46"/>
      <c r="T152" s="45"/>
      <c r="U152" s="45"/>
      <c r="V152" s="45"/>
      <c r="W152" s="47"/>
    </row>
    <row r="153" spans="1:23" ht="25.5" hidden="1" customHeight="1">
      <c r="A153" s="3"/>
      <c r="B153" s="3"/>
      <c r="C153" s="3"/>
      <c r="D153" s="3"/>
      <c r="E153" s="3"/>
      <c r="F153" s="40"/>
      <c r="G153" s="3"/>
      <c r="H153" s="41"/>
      <c r="I153" s="15"/>
      <c r="J153" s="15"/>
      <c r="K153" s="42"/>
      <c r="L153" s="73"/>
      <c r="M153" s="73"/>
      <c r="N153" s="43"/>
      <c r="O153" s="44"/>
      <c r="P153" s="45"/>
      <c r="Q153" s="45"/>
      <c r="R153" s="45"/>
      <c r="S153" s="46"/>
      <c r="T153" s="45"/>
      <c r="U153" s="45"/>
      <c r="V153" s="45"/>
      <c r="W153" s="47"/>
    </row>
    <row r="154" spans="1:23" ht="25.5" hidden="1" customHeight="1">
      <c r="A154" s="3"/>
      <c r="B154" s="3"/>
      <c r="C154" s="3"/>
      <c r="D154" s="3"/>
      <c r="E154" s="3"/>
      <c r="F154" s="40"/>
      <c r="G154" s="3"/>
      <c r="H154" s="41"/>
      <c r="I154" s="15"/>
      <c r="J154" s="15"/>
      <c r="K154" s="42"/>
      <c r="L154" s="73"/>
      <c r="M154" s="73"/>
      <c r="N154" s="43"/>
      <c r="O154" s="44"/>
      <c r="P154" s="45"/>
      <c r="Q154" s="45"/>
      <c r="R154" s="45"/>
      <c r="S154" s="46"/>
      <c r="T154" s="45"/>
      <c r="U154" s="45"/>
      <c r="V154" s="45"/>
      <c r="W154" s="47"/>
    </row>
    <row r="155" spans="1:23" ht="25.5" hidden="1" customHeight="1">
      <c r="A155" s="3"/>
      <c r="B155" s="3"/>
      <c r="C155" s="3"/>
      <c r="D155" s="3"/>
      <c r="E155" s="3"/>
      <c r="F155" s="40"/>
      <c r="G155" s="3"/>
      <c r="H155" s="41"/>
      <c r="I155" s="15"/>
      <c r="J155" s="15"/>
      <c r="K155" s="42"/>
      <c r="L155" s="73"/>
      <c r="M155" s="73"/>
      <c r="N155" s="43"/>
      <c r="O155" s="44"/>
      <c r="P155" s="45"/>
      <c r="Q155" s="45"/>
      <c r="R155" s="45"/>
      <c r="S155" s="46"/>
      <c r="T155" s="45"/>
      <c r="U155" s="45"/>
      <c r="V155" s="45"/>
      <c r="W155" s="47"/>
    </row>
    <row r="156" spans="1:23" ht="25.5" hidden="1" customHeight="1">
      <c r="A156" s="3"/>
      <c r="B156" s="3"/>
      <c r="C156" s="3"/>
      <c r="D156" s="3"/>
      <c r="E156" s="3"/>
      <c r="F156" s="40"/>
      <c r="G156" s="3"/>
      <c r="H156" s="41"/>
      <c r="I156" s="15"/>
      <c r="J156" s="15"/>
      <c r="K156" s="42"/>
      <c r="L156" s="73"/>
      <c r="M156" s="73"/>
      <c r="N156" s="43"/>
      <c r="O156" s="44"/>
      <c r="P156" s="45"/>
      <c r="Q156" s="45"/>
      <c r="R156" s="45"/>
      <c r="S156" s="46"/>
      <c r="T156" s="45"/>
      <c r="U156" s="45"/>
      <c r="V156" s="45"/>
      <c r="W156" s="47"/>
    </row>
    <row r="157" spans="1:23" ht="25.5" hidden="1" customHeight="1">
      <c r="A157" s="3"/>
      <c r="B157" s="3"/>
      <c r="C157" s="3"/>
      <c r="D157" s="3"/>
      <c r="E157" s="3"/>
      <c r="F157" s="40"/>
      <c r="G157" s="3"/>
      <c r="H157" s="41"/>
      <c r="I157" s="15"/>
      <c r="J157" s="15"/>
      <c r="K157" s="42"/>
      <c r="L157" s="73"/>
      <c r="M157" s="73"/>
      <c r="N157" s="43"/>
      <c r="O157" s="44"/>
      <c r="P157" s="45"/>
      <c r="Q157" s="45"/>
      <c r="R157" s="45"/>
      <c r="S157" s="46"/>
      <c r="T157" s="45"/>
      <c r="U157" s="45"/>
      <c r="V157" s="45"/>
      <c r="W157" s="47"/>
    </row>
    <row r="158" spans="1:23" ht="25.5" hidden="1" customHeight="1">
      <c r="A158" s="3"/>
      <c r="B158" s="3"/>
      <c r="C158" s="3"/>
      <c r="D158" s="3"/>
      <c r="E158" s="3"/>
      <c r="F158" s="40"/>
      <c r="G158" s="3"/>
      <c r="H158" s="41"/>
      <c r="I158" s="15"/>
      <c r="J158" s="15"/>
      <c r="K158" s="42"/>
      <c r="L158" s="73"/>
      <c r="M158" s="73"/>
      <c r="N158" s="43"/>
      <c r="O158" s="44"/>
      <c r="P158" s="45"/>
      <c r="Q158" s="45"/>
      <c r="R158" s="45"/>
      <c r="S158" s="46"/>
      <c r="T158" s="45"/>
      <c r="U158" s="45"/>
      <c r="V158" s="45"/>
      <c r="W158" s="47"/>
    </row>
    <row r="159" spans="1:23" ht="25.5" hidden="1" customHeight="1">
      <c r="A159" s="3"/>
      <c r="B159" s="3"/>
      <c r="C159" s="3"/>
      <c r="D159" s="3"/>
      <c r="E159" s="3"/>
      <c r="F159" s="40"/>
      <c r="G159" s="3"/>
      <c r="H159" s="41"/>
      <c r="I159" s="15"/>
      <c r="J159" s="15"/>
      <c r="K159" s="42"/>
      <c r="L159" s="73"/>
      <c r="M159" s="73"/>
      <c r="N159" s="43"/>
      <c r="O159" s="44"/>
      <c r="P159" s="45"/>
      <c r="Q159" s="45"/>
      <c r="R159" s="45"/>
      <c r="S159" s="46"/>
      <c r="T159" s="45"/>
      <c r="U159" s="45"/>
      <c r="V159" s="45"/>
      <c r="W159" s="47"/>
    </row>
    <row r="160" spans="1:23" ht="25.5" hidden="1" customHeight="1">
      <c r="A160" s="3"/>
      <c r="B160" s="3"/>
      <c r="C160" s="3"/>
      <c r="D160" s="3"/>
      <c r="E160" s="3"/>
      <c r="F160" s="40"/>
      <c r="G160" s="3"/>
      <c r="H160" s="41"/>
      <c r="I160" s="15"/>
      <c r="J160" s="15"/>
      <c r="K160" s="42"/>
      <c r="L160" s="73"/>
      <c r="M160" s="73"/>
      <c r="N160" s="43"/>
      <c r="O160" s="44"/>
      <c r="P160" s="45"/>
      <c r="Q160" s="45"/>
      <c r="R160" s="45"/>
      <c r="S160" s="46"/>
      <c r="T160" s="45"/>
      <c r="U160" s="45"/>
      <c r="V160" s="45"/>
      <c r="W160" s="47"/>
    </row>
    <row r="161" spans="1:23" ht="25.5" hidden="1" customHeight="1">
      <c r="A161" s="3"/>
      <c r="B161" s="3"/>
      <c r="C161" s="3"/>
      <c r="D161" s="3"/>
      <c r="E161" s="3"/>
      <c r="F161" s="40"/>
      <c r="G161" s="3"/>
      <c r="H161" s="41"/>
      <c r="I161" s="15"/>
      <c r="J161" s="15"/>
      <c r="K161" s="42"/>
      <c r="L161" s="73"/>
      <c r="M161" s="73"/>
      <c r="N161" s="43"/>
      <c r="O161" s="44"/>
      <c r="P161" s="45"/>
      <c r="Q161" s="45"/>
      <c r="R161" s="45"/>
      <c r="S161" s="46"/>
      <c r="T161" s="45"/>
      <c r="U161" s="45"/>
      <c r="V161" s="45"/>
      <c r="W161" s="47"/>
    </row>
    <row r="162" spans="1:23" ht="25.5" hidden="1" customHeight="1">
      <c r="A162" s="3"/>
      <c r="B162" s="3"/>
      <c r="C162" s="3"/>
      <c r="D162" s="3"/>
      <c r="E162" s="3"/>
      <c r="F162" s="40"/>
      <c r="G162" s="3"/>
      <c r="H162" s="41"/>
      <c r="I162" s="15"/>
      <c r="J162" s="15"/>
      <c r="K162" s="42"/>
      <c r="L162" s="73"/>
      <c r="M162" s="73"/>
      <c r="N162" s="43"/>
      <c r="O162" s="44"/>
      <c r="P162" s="45"/>
      <c r="Q162" s="45"/>
      <c r="R162" s="45"/>
      <c r="S162" s="46"/>
      <c r="T162" s="45"/>
      <c r="U162" s="45"/>
      <c r="V162" s="45"/>
      <c r="W162" s="47"/>
    </row>
    <row r="163" spans="1:23" ht="25.5" hidden="1" customHeight="1">
      <c r="A163" s="3"/>
      <c r="B163" s="3"/>
      <c r="C163" s="3"/>
      <c r="D163" s="3"/>
      <c r="E163" s="3"/>
      <c r="F163" s="40"/>
      <c r="G163" s="3"/>
      <c r="H163" s="41"/>
      <c r="I163" s="15"/>
      <c r="J163" s="15"/>
      <c r="K163" s="42"/>
      <c r="L163" s="73"/>
      <c r="M163" s="73"/>
      <c r="N163" s="43"/>
      <c r="O163" s="44"/>
      <c r="P163" s="45"/>
      <c r="Q163" s="45"/>
      <c r="R163" s="45"/>
      <c r="S163" s="46"/>
      <c r="T163" s="45"/>
      <c r="U163" s="45"/>
      <c r="V163" s="45"/>
      <c r="W163" s="47"/>
    </row>
    <row r="164" spans="1:23" ht="25.5" hidden="1" customHeight="1">
      <c r="A164" s="3"/>
      <c r="B164" s="3"/>
      <c r="C164" s="3"/>
      <c r="D164" s="3"/>
      <c r="E164" s="3"/>
      <c r="F164" s="40"/>
      <c r="G164" s="3"/>
      <c r="H164" s="41"/>
      <c r="I164" s="15"/>
      <c r="J164" s="15"/>
      <c r="K164" s="42"/>
      <c r="L164" s="73"/>
      <c r="M164" s="73"/>
      <c r="N164" s="43"/>
      <c r="O164" s="44"/>
      <c r="P164" s="45"/>
      <c r="Q164" s="45"/>
      <c r="R164" s="45"/>
      <c r="S164" s="46"/>
      <c r="T164" s="45"/>
      <c r="U164" s="45"/>
      <c r="V164" s="45"/>
      <c r="W164" s="47"/>
    </row>
    <row r="165" spans="1:23" ht="25.5" hidden="1" customHeight="1">
      <c r="A165" s="3"/>
      <c r="B165" s="3"/>
      <c r="C165" s="3"/>
      <c r="D165" s="3"/>
      <c r="E165" s="3"/>
      <c r="F165" s="40"/>
      <c r="G165" s="3"/>
      <c r="H165" s="41"/>
      <c r="I165" s="15"/>
      <c r="J165" s="15"/>
      <c r="K165" s="42"/>
      <c r="L165" s="73"/>
      <c r="M165" s="73"/>
      <c r="N165" s="43"/>
      <c r="O165" s="44"/>
      <c r="P165" s="45"/>
      <c r="Q165" s="45"/>
      <c r="R165" s="45"/>
      <c r="S165" s="46"/>
      <c r="T165" s="45"/>
      <c r="U165" s="45"/>
      <c r="V165" s="45"/>
      <c r="W165" s="47"/>
    </row>
    <row r="166" spans="1:23" ht="25.5" hidden="1" customHeight="1">
      <c r="A166" s="3"/>
      <c r="B166" s="3"/>
      <c r="C166" s="3"/>
      <c r="D166" s="3"/>
      <c r="E166" s="3"/>
      <c r="F166" s="40"/>
      <c r="G166" s="3"/>
      <c r="H166" s="41"/>
      <c r="I166" s="15"/>
      <c r="J166" s="15"/>
      <c r="K166" s="42"/>
      <c r="L166" s="73"/>
      <c r="M166" s="73"/>
      <c r="N166" s="43"/>
      <c r="O166" s="44"/>
      <c r="P166" s="45"/>
      <c r="Q166" s="45"/>
      <c r="R166" s="45"/>
      <c r="S166" s="46"/>
      <c r="T166" s="45"/>
      <c r="U166" s="45"/>
      <c r="V166" s="45"/>
      <c r="W166" s="47"/>
    </row>
    <row r="167" spans="1:23" ht="25.5" hidden="1" customHeight="1">
      <c r="A167" s="3"/>
      <c r="B167" s="3"/>
      <c r="C167" s="3"/>
      <c r="D167" s="3"/>
      <c r="E167" s="3"/>
      <c r="F167" s="40"/>
      <c r="G167" s="3"/>
      <c r="H167" s="41"/>
      <c r="I167" s="15"/>
      <c r="J167" s="15"/>
      <c r="K167" s="42"/>
      <c r="L167" s="73"/>
      <c r="M167" s="73"/>
      <c r="N167" s="43"/>
      <c r="O167" s="44"/>
      <c r="P167" s="45"/>
      <c r="Q167" s="45"/>
      <c r="R167" s="45"/>
      <c r="S167" s="46"/>
      <c r="T167" s="45"/>
      <c r="U167" s="45"/>
      <c r="V167" s="45"/>
      <c r="W167" s="47"/>
    </row>
    <row r="168" spans="1:23" ht="25.5" hidden="1" customHeight="1">
      <c r="A168" s="3"/>
      <c r="B168" s="3"/>
      <c r="C168" s="3"/>
      <c r="D168" s="3"/>
      <c r="E168" s="3"/>
      <c r="F168" s="40"/>
      <c r="G168" s="3"/>
      <c r="H168" s="41"/>
      <c r="I168" s="15"/>
      <c r="J168" s="15"/>
      <c r="K168" s="42"/>
      <c r="L168" s="73"/>
      <c r="M168" s="73"/>
      <c r="N168" s="43"/>
      <c r="O168" s="44"/>
      <c r="P168" s="45"/>
      <c r="Q168" s="45"/>
      <c r="R168" s="45"/>
      <c r="S168" s="46"/>
      <c r="T168" s="45"/>
      <c r="U168" s="45"/>
      <c r="V168" s="45"/>
      <c r="W168" s="47"/>
    </row>
    <row r="169" spans="1:23" ht="25.5" hidden="1" customHeight="1">
      <c r="A169" s="3"/>
      <c r="B169" s="3"/>
      <c r="C169" s="3"/>
      <c r="D169" s="3"/>
      <c r="E169" s="3"/>
      <c r="F169" s="40"/>
      <c r="G169" s="3"/>
      <c r="H169" s="41"/>
      <c r="I169" s="15"/>
      <c r="J169" s="15"/>
      <c r="K169" s="42"/>
      <c r="L169" s="73"/>
      <c r="M169" s="73"/>
      <c r="N169" s="43"/>
      <c r="O169" s="44"/>
      <c r="P169" s="45"/>
      <c r="Q169" s="45"/>
      <c r="R169" s="45"/>
      <c r="S169" s="46"/>
      <c r="T169" s="45"/>
      <c r="U169" s="45"/>
      <c r="V169" s="45"/>
      <c r="W169" s="47"/>
    </row>
    <row r="170" spans="1:23" ht="25.5" hidden="1" customHeight="1">
      <c r="A170" s="3"/>
      <c r="B170" s="3"/>
      <c r="C170" s="3"/>
      <c r="D170" s="3"/>
      <c r="E170" s="3"/>
      <c r="F170" s="40"/>
      <c r="G170" s="3"/>
      <c r="H170" s="41"/>
      <c r="I170" s="15"/>
      <c r="J170" s="15"/>
      <c r="K170" s="42"/>
      <c r="L170" s="73"/>
      <c r="M170" s="73"/>
      <c r="N170" s="43"/>
      <c r="O170" s="44"/>
      <c r="P170" s="45"/>
      <c r="Q170" s="45"/>
      <c r="R170" s="45"/>
      <c r="S170" s="46"/>
      <c r="T170" s="45"/>
      <c r="U170" s="45"/>
      <c r="V170" s="45"/>
      <c r="W170" s="47"/>
    </row>
    <row r="171" spans="1:23" ht="25.5" hidden="1" customHeight="1">
      <c r="A171" s="3"/>
      <c r="B171" s="3"/>
      <c r="C171" s="3"/>
      <c r="D171" s="3"/>
      <c r="E171" s="3"/>
      <c r="F171" s="40"/>
      <c r="G171" s="3"/>
      <c r="H171" s="41"/>
      <c r="I171" s="15"/>
      <c r="J171" s="15"/>
      <c r="K171" s="42"/>
      <c r="L171" s="73"/>
      <c r="M171" s="73"/>
      <c r="N171" s="43"/>
      <c r="O171" s="44"/>
      <c r="P171" s="45"/>
      <c r="Q171" s="45"/>
      <c r="R171" s="45"/>
      <c r="S171" s="46"/>
      <c r="T171" s="45"/>
      <c r="U171" s="45"/>
      <c r="V171" s="45"/>
      <c r="W171" s="47"/>
    </row>
    <row r="172" spans="1:23" ht="25.5" hidden="1" customHeight="1">
      <c r="A172" s="3"/>
      <c r="B172" s="3"/>
      <c r="C172" s="3"/>
      <c r="D172" s="3"/>
      <c r="E172" s="3"/>
      <c r="F172" s="40"/>
      <c r="G172" s="3"/>
      <c r="H172" s="41"/>
      <c r="I172" s="15"/>
      <c r="J172" s="15"/>
      <c r="K172" s="42"/>
      <c r="L172" s="73"/>
      <c r="M172" s="73"/>
      <c r="N172" s="43"/>
      <c r="O172" s="44"/>
      <c r="P172" s="45"/>
      <c r="Q172" s="45"/>
      <c r="R172" s="45"/>
      <c r="S172" s="46"/>
      <c r="T172" s="45"/>
      <c r="U172" s="45"/>
      <c r="V172" s="45"/>
      <c r="W172" s="47"/>
    </row>
    <row r="173" spans="1:23" ht="25.5" hidden="1" customHeight="1">
      <c r="A173" s="3"/>
      <c r="B173" s="3"/>
      <c r="C173" s="3"/>
      <c r="D173" s="3"/>
      <c r="E173" s="3"/>
      <c r="F173" s="40"/>
      <c r="G173" s="3"/>
      <c r="H173" s="41"/>
      <c r="I173" s="15"/>
      <c r="J173" s="15"/>
      <c r="K173" s="42"/>
      <c r="L173" s="73"/>
      <c r="M173" s="73"/>
      <c r="N173" s="43"/>
      <c r="O173" s="44"/>
      <c r="P173" s="45"/>
      <c r="Q173" s="45"/>
      <c r="R173" s="45"/>
      <c r="S173" s="46"/>
      <c r="T173" s="45"/>
      <c r="U173" s="45"/>
      <c r="V173" s="45"/>
      <c r="W173" s="47"/>
    </row>
    <row r="174" spans="1:23" ht="25.5" hidden="1" customHeight="1">
      <c r="A174" s="3"/>
      <c r="B174" s="3"/>
      <c r="C174" s="3"/>
      <c r="D174" s="3"/>
      <c r="E174" s="3"/>
      <c r="F174" s="40"/>
      <c r="G174" s="3"/>
      <c r="H174" s="41"/>
      <c r="I174" s="15"/>
      <c r="J174" s="15"/>
      <c r="K174" s="42"/>
      <c r="L174" s="73"/>
      <c r="M174" s="73"/>
      <c r="N174" s="43"/>
      <c r="O174" s="44"/>
      <c r="P174" s="45"/>
      <c r="Q174" s="45"/>
      <c r="R174" s="45"/>
      <c r="S174" s="46"/>
      <c r="T174" s="45"/>
      <c r="U174" s="45"/>
      <c r="V174" s="45"/>
      <c r="W174" s="47"/>
    </row>
    <row r="175" spans="1:23" ht="25.5" hidden="1" customHeight="1">
      <c r="A175" s="3"/>
      <c r="B175" s="3"/>
      <c r="C175" s="3"/>
      <c r="D175" s="3"/>
      <c r="E175" s="3"/>
      <c r="F175" s="40"/>
      <c r="G175" s="3"/>
      <c r="H175" s="41"/>
      <c r="I175" s="15"/>
      <c r="J175" s="15"/>
      <c r="K175" s="42"/>
      <c r="L175" s="73"/>
      <c r="M175" s="73"/>
      <c r="N175" s="43"/>
      <c r="O175" s="44"/>
      <c r="P175" s="45"/>
      <c r="Q175" s="45"/>
      <c r="R175" s="45"/>
      <c r="S175" s="46"/>
      <c r="T175" s="45"/>
      <c r="U175" s="45"/>
      <c r="V175" s="45"/>
      <c r="W175" s="47"/>
    </row>
    <row r="176" spans="1:23" ht="25.5" hidden="1" customHeight="1">
      <c r="A176" s="3"/>
      <c r="B176" s="3"/>
      <c r="C176" s="3"/>
      <c r="D176" s="3"/>
      <c r="E176" s="3"/>
      <c r="F176" s="40"/>
      <c r="G176" s="3"/>
      <c r="H176" s="41"/>
      <c r="I176" s="15"/>
      <c r="J176" s="15"/>
      <c r="K176" s="42"/>
      <c r="L176" s="73"/>
      <c r="M176" s="73"/>
      <c r="N176" s="43"/>
      <c r="O176" s="44"/>
      <c r="P176" s="45"/>
      <c r="Q176" s="45"/>
      <c r="R176" s="45"/>
      <c r="S176" s="46"/>
      <c r="T176" s="45"/>
      <c r="U176" s="45"/>
      <c r="V176" s="45"/>
      <c r="W176" s="47"/>
    </row>
    <row r="177" spans="1:23" ht="25.5" hidden="1" customHeight="1">
      <c r="A177" s="3"/>
      <c r="B177" s="3"/>
      <c r="C177" s="3"/>
      <c r="D177" s="3"/>
      <c r="E177" s="3"/>
      <c r="F177" s="40"/>
      <c r="G177" s="3"/>
      <c r="H177" s="41"/>
      <c r="I177" s="15"/>
      <c r="J177" s="15"/>
      <c r="K177" s="42"/>
      <c r="L177" s="73"/>
      <c r="M177" s="73"/>
      <c r="N177" s="43"/>
      <c r="O177" s="44"/>
      <c r="P177" s="45"/>
      <c r="Q177" s="45"/>
      <c r="R177" s="45"/>
      <c r="S177" s="46"/>
      <c r="T177" s="45"/>
      <c r="U177" s="45"/>
      <c r="V177" s="45"/>
      <c r="W177" s="47"/>
    </row>
    <row r="178" spans="1:23" ht="25.5" hidden="1" customHeight="1">
      <c r="A178" s="3"/>
      <c r="B178" s="3"/>
      <c r="C178" s="3"/>
      <c r="D178" s="3"/>
      <c r="E178" s="3"/>
      <c r="F178" s="40"/>
      <c r="G178" s="3"/>
      <c r="H178" s="41"/>
      <c r="I178" s="15"/>
      <c r="J178" s="15"/>
      <c r="K178" s="42"/>
      <c r="L178" s="73"/>
      <c r="M178" s="73"/>
      <c r="N178" s="43"/>
      <c r="O178" s="44"/>
      <c r="P178" s="45"/>
      <c r="Q178" s="45"/>
      <c r="R178" s="45"/>
      <c r="S178" s="46"/>
      <c r="T178" s="45"/>
      <c r="U178" s="45"/>
      <c r="V178" s="45"/>
      <c r="W178" s="47"/>
    </row>
    <row r="179" spans="1:23" ht="25.5" hidden="1" customHeight="1">
      <c r="A179" s="3"/>
      <c r="B179" s="3"/>
      <c r="C179" s="3"/>
      <c r="D179" s="3"/>
      <c r="E179" s="3"/>
      <c r="F179" s="40"/>
      <c r="G179" s="3"/>
      <c r="H179" s="41"/>
      <c r="I179" s="15"/>
      <c r="J179" s="15"/>
      <c r="K179" s="42"/>
      <c r="L179" s="73"/>
      <c r="M179" s="73"/>
      <c r="N179" s="43"/>
      <c r="O179" s="44"/>
      <c r="P179" s="45"/>
      <c r="Q179" s="45"/>
      <c r="R179" s="45"/>
      <c r="S179" s="46"/>
      <c r="T179" s="45"/>
      <c r="U179" s="45"/>
      <c r="V179" s="45"/>
      <c r="W179" s="47"/>
    </row>
    <row r="180" spans="1:23" ht="25.5" hidden="1" customHeight="1">
      <c r="A180" s="3"/>
      <c r="B180" s="3"/>
      <c r="C180" s="3"/>
      <c r="D180" s="3"/>
      <c r="E180" s="3"/>
      <c r="F180" s="40"/>
      <c r="G180" s="3"/>
      <c r="H180" s="41"/>
      <c r="I180" s="15"/>
      <c r="J180" s="15"/>
      <c r="K180" s="42"/>
      <c r="L180" s="73"/>
      <c r="M180" s="73"/>
      <c r="N180" s="43"/>
      <c r="O180" s="44"/>
      <c r="P180" s="45"/>
      <c r="Q180" s="45"/>
      <c r="R180" s="45"/>
      <c r="S180" s="46"/>
      <c r="T180" s="45"/>
      <c r="U180" s="45"/>
      <c r="V180" s="45"/>
      <c r="W180" s="47"/>
    </row>
    <row r="181" spans="1:23" ht="25.5" hidden="1" customHeight="1">
      <c r="A181" s="3"/>
      <c r="B181" s="3"/>
      <c r="C181" s="3"/>
      <c r="D181" s="3"/>
      <c r="E181" s="3"/>
      <c r="F181" s="40"/>
      <c r="G181" s="3"/>
      <c r="H181" s="41"/>
      <c r="I181" s="15"/>
      <c r="J181" s="15"/>
      <c r="K181" s="42"/>
      <c r="L181" s="73"/>
      <c r="M181" s="73"/>
      <c r="N181" s="43"/>
      <c r="O181" s="44"/>
      <c r="P181" s="45"/>
      <c r="Q181" s="45"/>
      <c r="R181" s="45"/>
      <c r="S181" s="46"/>
      <c r="T181" s="45"/>
      <c r="U181" s="45"/>
      <c r="V181" s="45"/>
      <c r="W181" s="47"/>
    </row>
    <row r="182" spans="1:23" ht="25.5" hidden="1" customHeight="1">
      <c r="A182" s="3"/>
      <c r="B182" s="3"/>
      <c r="C182" s="3"/>
      <c r="D182" s="3"/>
      <c r="E182" s="3"/>
      <c r="F182" s="40"/>
      <c r="G182" s="3"/>
      <c r="H182" s="41"/>
      <c r="I182" s="15"/>
      <c r="J182" s="15"/>
      <c r="K182" s="42"/>
      <c r="L182" s="73"/>
      <c r="M182" s="73"/>
      <c r="N182" s="43"/>
      <c r="O182" s="44"/>
      <c r="P182" s="45"/>
      <c r="Q182" s="45"/>
      <c r="R182" s="45"/>
      <c r="S182" s="46"/>
      <c r="T182" s="45"/>
      <c r="U182" s="45"/>
      <c r="V182" s="45"/>
      <c r="W182" s="47"/>
    </row>
    <row r="183" spans="1:23" ht="25.5" hidden="1" customHeight="1">
      <c r="A183" s="3"/>
      <c r="B183" s="3"/>
      <c r="C183" s="3"/>
      <c r="D183" s="3"/>
      <c r="E183" s="3"/>
      <c r="F183" s="40"/>
      <c r="G183" s="3"/>
      <c r="H183" s="41"/>
      <c r="I183" s="15"/>
      <c r="J183" s="15"/>
      <c r="K183" s="42"/>
      <c r="L183" s="73"/>
      <c r="M183" s="73"/>
      <c r="N183" s="43"/>
      <c r="O183" s="44"/>
      <c r="P183" s="45"/>
      <c r="Q183" s="45"/>
      <c r="R183" s="45"/>
      <c r="S183" s="46"/>
      <c r="T183" s="45"/>
      <c r="U183" s="45"/>
      <c r="V183" s="45"/>
      <c r="W183" s="47"/>
    </row>
    <row r="184" spans="1:23" ht="25.5" hidden="1" customHeight="1">
      <c r="A184" s="3"/>
      <c r="B184" s="3"/>
      <c r="C184" s="3"/>
      <c r="D184" s="3"/>
      <c r="E184" s="3"/>
      <c r="F184" s="40"/>
      <c r="G184" s="3"/>
      <c r="H184" s="41"/>
      <c r="I184" s="15"/>
      <c r="J184" s="15"/>
      <c r="K184" s="42"/>
      <c r="L184" s="73"/>
      <c r="M184" s="73"/>
      <c r="N184" s="43"/>
      <c r="O184" s="44"/>
      <c r="P184" s="45"/>
      <c r="Q184" s="45"/>
      <c r="R184" s="45"/>
      <c r="S184" s="46"/>
      <c r="T184" s="45"/>
      <c r="U184" s="45"/>
      <c r="V184" s="45"/>
      <c r="W184" s="47"/>
    </row>
    <row r="185" spans="1:23" ht="25.5" hidden="1" customHeight="1">
      <c r="A185" s="3"/>
      <c r="B185" s="3"/>
      <c r="C185" s="3"/>
      <c r="D185" s="3"/>
      <c r="E185" s="3"/>
      <c r="F185" s="40"/>
      <c r="G185" s="3"/>
      <c r="H185" s="41"/>
      <c r="I185" s="15"/>
      <c r="J185" s="15"/>
      <c r="K185" s="42"/>
      <c r="L185" s="73"/>
      <c r="M185" s="73"/>
      <c r="N185" s="43"/>
      <c r="O185" s="44"/>
      <c r="P185" s="45"/>
      <c r="Q185" s="45"/>
      <c r="R185" s="45"/>
      <c r="S185" s="46"/>
      <c r="T185" s="45"/>
      <c r="U185" s="45"/>
      <c r="V185" s="45"/>
      <c r="W185" s="47"/>
    </row>
    <row r="186" spans="1:23" ht="25.5" hidden="1" customHeight="1">
      <c r="A186" s="3"/>
      <c r="B186" s="3"/>
      <c r="C186" s="3"/>
      <c r="D186" s="3"/>
      <c r="E186" s="3"/>
      <c r="F186" s="40"/>
      <c r="G186" s="3"/>
      <c r="H186" s="41"/>
      <c r="I186" s="15"/>
      <c r="J186" s="15"/>
      <c r="K186" s="42"/>
      <c r="L186" s="73"/>
      <c r="M186" s="73"/>
      <c r="N186" s="43"/>
      <c r="O186" s="44"/>
      <c r="P186" s="45"/>
      <c r="Q186" s="45"/>
      <c r="R186" s="45"/>
      <c r="S186" s="46"/>
      <c r="T186" s="45"/>
      <c r="U186" s="45"/>
      <c r="V186" s="45"/>
      <c r="W186" s="47"/>
    </row>
    <row r="187" spans="1:23" ht="25.5" hidden="1" customHeight="1">
      <c r="A187" s="3"/>
      <c r="B187" s="3"/>
      <c r="C187" s="3"/>
      <c r="D187" s="3"/>
      <c r="E187" s="3"/>
      <c r="F187" s="40"/>
      <c r="G187" s="3"/>
      <c r="H187" s="41"/>
      <c r="I187" s="15"/>
      <c r="J187" s="15"/>
      <c r="K187" s="42"/>
      <c r="L187" s="73"/>
      <c r="M187" s="73"/>
      <c r="N187" s="43"/>
      <c r="O187" s="44"/>
      <c r="P187" s="45"/>
      <c r="Q187" s="45"/>
      <c r="R187" s="45"/>
      <c r="S187" s="46"/>
      <c r="T187" s="45"/>
      <c r="U187" s="45"/>
      <c r="V187" s="45"/>
      <c r="W187" s="47"/>
    </row>
    <row r="188" spans="1:23" ht="25.5" hidden="1" customHeight="1">
      <c r="A188" s="3"/>
      <c r="B188" s="3"/>
      <c r="C188" s="3"/>
      <c r="D188" s="3"/>
      <c r="E188" s="3"/>
      <c r="F188" s="40"/>
      <c r="G188" s="3"/>
      <c r="H188" s="41"/>
      <c r="I188" s="15"/>
      <c r="J188" s="15"/>
      <c r="K188" s="42"/>
      <c r="L188" s="73"/>
      <c r="M188" s="73"/>
      <c r="N188" s="43"/>
      <c r="O188" s="44"/>
      <c r="P188" s="45"/>
      <c r="Q188" s="45"/>
      <c r="R188" s="45"/>
      <c r="S188" s="46"/>
      <c r="T188" s="45"/>
      <c r="U188" s="45"/>
      <c r="V188" s="45"/>
      <c r="W188" s="47"/>
    </row>
    <row r="189" spans="1:23" ht="25.5" hidden="1" customHeight="1">
      <c r="A189" s="3"/>
      <c r="B189" s="3"/>
      <c r="C189" s="3"/>
      <c r="D189" s="3"/>
      <c r="E189" s="3"/>
      <c r="F189" s="40"/>
      <c r="G189" s="3"/>
      <c r="H189" s="41"/>
      <c r="I189" s="15"/>
      <c r="J189" s="15"/>
      <c r="K189" s="42"/>
      <c r="L189" s="73"/>
      <c r="M189" s="73"/>
      <c r="N189" s="43"/>
      <c r="O189" s="44"/>
      <c r="P189" s="45"/>
      <c r="Q189" s="45"/>
      <c r="R189" s="45"/>
      <c r="S189" s="46"/>
      <c r="T189" s="45"/>
      <c r="U189" s="45"/>
      <c r="V189" s="45"/>
      <c r="W189" s="47"/>
    </row>
    <row r="190" spans="1:23" ht="25.5" hidden="1" customHeight="1">
      <c r="A190" s="3"/>
      <c r="B190" s="3"/>
      <c r="C190" s="3"/>
      <c r="D190" s="3"/>
      <c r="E190" s="3"/>
      <c r="F190" s="40"/>
      <c r="G190" s="3"/>
      <c r="H190" s="41"/>
      <c r="I190" s="15"/>
      <c r="J190" s="15"/>
      <c r="K190" s="42"/>
      <c r="L190" s="73"/>
      <c r="M190" s="73"/>
      <c r="N190" s="43"/>
      <c r="O190" s="44"/>
      <c r="P190" s="45"/>
      <c r="Q190" s="45"/>
      <c r="R190" s="45"/>
      <c r="S190" s="46"/>
      <c r="T190" s="45"/>
      <c r="U190" s="45"/>
      <c r="V190" s="45"/>
      <c r="W190" s="47"/>
    </row>
    <row r="191" spans="1:23" ht="25.5" hidden="1" customHeight="1">
      <c r="A191" s="3"/>
      <c r="B191" s="3"/>
      <c r="C191" s="3"/>
      <c r="D191" s="3"/>
      <c r="E191" s="3"/>
      <c r="F191" s="40"/>
      <c r="G191" s="3"/>
      <c r="H191" s="41"/>
      <c r="I191" s="15"/>
      <c r="J191" s="15"/>
      <c r="K191" s="42"/>
      <c r="L191" s="73"/>
      <c r="M191" s="73"/>
      <c r="N191" s="43"/>
      <c r="O191" s="44"/>
      <c r="P191" s="45"/>
      <c r="Q191" s="45"/>
      <c r="R191" s="45"/>
      <c r="S191" s="46"/>
      <c r="T191" s="45"/>
      <c r="U191" s="45"/>
      <c r="V191" s="45"/>
      <c r="W191" s="47"/>
    </row>
    <row r="192" spans="1:23" ht="25.5" hidden="1" customHeight="1">
      <c r="A192" s="3"/>
      <c r="B192" s="3"/>
      <c r="C192" s="3"/>
      <c r="D192" s="3"/>
      <c r="E192" s="3"/>
      <c r="F192" s="40"/>
      <c r="G192" s="3"/>
      <c r="H192" s="41"/>
      <c r="I192" s="15"/>
      <c r="J192" s="15"/>
      <c r="K192" s="42"/>
      <c r="L192" s="73"/>
      <c r="M192" s="73"/>
      <c r="N192" s="43"/>
      <c r="O192" s="44"/>
      <c r="P192" s="45"/>
      <c r="Q192" s="45"/>
      <c r="R192" s="45"/>
      <c r="S192" s="46"/>
      <c r="T192" s="45"/>
      <c r="U192" s="45"/>
      <c r="V192" s="45"/>
      <c r="W192" s="47"/>
    </row>
    <row r="193" spans="1:23" ht="25.5" hidden="1" customHeight="1">
      <c r="A193" s="3"/>
      <c r="B193" s="3"/>
      <c r="C193" s="3"/>
      <c r="D193" s="3"/>
      <c r="E193" s="3"/>
      <c r="F193" s="40"/>
      <c r="G193" s="3"/>
      <c r="H193" s="41"/>
      <c r="I193" s="15"/>
      <c r="J193" s="15"/>
      <c r="K193" s="42"/>
      <c r="L193" s="73"/>
      <c r="M193" s="73"/>
      <c r="N193" s="43"/>
      <c r="O193" s="44"/>
      <c r="P193" s="45"/>
      <c r="Q193" s="45"/>
      <c r="R193" s="45"/>
      <c r="S193" s="46"/>
      <c r="T193" s="45"/>
      <c r="U193" s="45"/>
      <c r="V193" s="45"/>
      <c r="W193" s="47"/>
    </row>
    <row r="194" spans="1:23" ht="25.5" hidden="1" customHeight="1">
      <c r="A194" s="3"/>
      <c r="B194" s="3"/>
      <c r="C194" s="3"/>
      <c r="D194" s="3"/>
      <c r="E194" s="3"/>
      <c r="F194" s="40"/>
      <c r="G194" s="3"/>
      <c r="H194" s="41"/>
      <c r="I194" s="15"/>
      <c r="J194" s="15"/>
      <c r="K194" s="42"/>
      <c r="L194" s="73"/>
      <c r="M194" s="73"/>
      <c r="N194" s="43"/>
      <c r="O194" s="44"/>
      <c r="P194" s="45"/>
      <c r="Q194" s="45"/>
      <c r="R194" s="45"/>
      <c r="S194" s="46"/>
      <c r="T194" s="45"/>
      <c r="U194" s="45"/>
      <c r="V194" s="45"/>
      <c r="W194" s="47"/>
    </row>
    <row r="195" spans="1:23" ht="25.5" hidden="1" customHeight="1">
      <c r="A195" s="3"/>
      <c r="B195" s="3"/>
      <c r="C195" s="3"/>
      <c r="D195" s="3"/>
      <c r="E195" s="3"/>
      <c r="F195" s="40"/>
      <c r="G195" s="3"/>
      <c r="H195" s="41"/>
      <c r="I195" s="15"/>
      <c r="J195" s="15"/>
      <c r="K195" s="42"/>
      <c r="L195" s="73"/>
      <c r="M195" s="73"/>
      <c r="N195" s="43"/>
      <c r="O195" s="44"/>
      <c r="P195" s="45"/>
      <c r="Q195" s="45"/>
      <c r="R195" s="45"/>
      <c r="S195" s="46"/>
      <c r="T195" s="45"/>
      <c r="U195" s="45"/>
      <c r="V195" s="45"/>
      <c r="W195" s="47"/>
    </row>
    <row r="196" spans="1:23" ht="25.5" hidden="1" customHeight="1">
      <c r="A196" s="3"/>
      <c r="B196" s="3"/>
      <c r="C196" s="3"/>
      <c r="D196" s="3"/>
      <c r="E196" s="3"/>
      <c r="F196" s="40"/>
      <c r="G196" s="3"/>
      <c r="H196" s="41"/>
      <c r="I196" s="15"/>
      <c r="J196" s="15"/>
      <c r="K196" s="42"/>
      <c r="L196" s="73"/>
      <c r="M196" s="73"/>
      <c r="N196" s="43"/>
      <c r="O196" s="44"/>
      <c r="P196" s="45"/>
      <c r="Q196" s="45"/>
      <c r="R196" s="45"/>
      <c r="S196" s="46"/>
      <c r="T196" s="45"/>
      <c r="U196" s="45"/>
      <c r="V196" s="45"/>
      <c r="W196" s="47"/>
    </row>
    <row r="197" spans="1:23" ht="25.5" hidden="1" customHeight="1">
      <c r="A197" s="3"/>
      <c r="B197" s="3"/>
      <c r="C197" s="3"/>
      <c r="D197" s="3"/>
      <c r="E197" s="3"/>
      <c r="F197" s="40"/>
      <c r="G197" s="3"/>
      <c r="H197" s="41"/>
      <c r="I197" s="15"/>
      <c r="J197" s="15"/>
      <c r="K197" s="42"/>
      <c r="L197" s="73"/>
      <c r="M197" s="73"/>
      <c r="N197" s="43"/>
      <c r="O197" s="44"/>
      <c r="P197" s="45"/>
      <c r="Q197" s="45"/>
      <c r="R197" s="45"/>
      <c r="S197" s="46"/>
      <c r="T197" s="45"/>
      <c r="U197" s="45"/>
      <c r="V197" s="45"/>
      <c r="W197" s="47"/>
    </row>
    <row r="198" spans="1:23" ht="25.5" hidden="1" customHeight="1">
      <c r="A198" s="3"/>
      <c r="B198" s="3"/>
      <c r="C198" s="3"/>
      <c r="D198" s="3"/>
      <c r="E198" s="3"/>
      <c r="F198" s="40"/>
      <c r="G198" s="3"/>
      <c r="H198" s="41"/>
      <c r="I198" s="15"/>
      <c r="J198" s="15"/>
      <c r="K198" s="42"/>
      <c r="L198" s="73"/>
      <c r="M198" s="73"/>
      <c r="N198" s="43"/>
      <c r="O198" s="44"/>
      <c r="P198" s="45"/>
      <c r="Q198" s="45"/>
      <c r="R198" s="45"/>
      <c r="S198" s="46"/>
      <c r="T198" s="45"/>
      <c r="U198" s="45"/>
      <c r="V198" s="45"/>
      <c r="W198" s="47"/>
    </row>
    <row r="199" spans="1:23" ht="25.5" hidden="1" customHeight="1">
      <c r="A199" s="3"/>
      <c r="B199" s="3"/>
      <c r="C199" s="3"/>
      <c r="D199" s="3"/>
      <c r="E199" s="3"/>
      <c r="F199" s="40"/>
      <c r="G199" s="3"/>
      <c r="H199" s="41"/>
      <c r="I199" s="15"/>
      <c r="J199" s="15"/>
      <c r="K199" s="42"/>
      <c r="L199" s="73"/>
      <c r="M199" s="73"/>
      <c r="N199" s="43"/>
      <c r="O199" s="44"/>
      <c r="P199" s="45"/>
      <c r="Q199" s="45"/>
      <c r="R199" s="45"/>
      <c r="S199" s="46"/>
      <c r="T199" s="45"/>
      <c r="U199" s="45"/>
      <c r="V199" s="45"/>
      <c r="W199" s="47"/>
    </row>
    <row r="200" spans="1:23" ht="25.5" hidden="1" customHeight="1">
      <c r="A200" s="3"/>
      <c r="B200" s="3"/>
      <c r="C200" s="3"/>
      <c r="D200" s="3"/>
      <c r="E200" s="3"/>
      <c r="F200" s="40"/>
      <c r="G200" s="3"/>
      <c r="H200" s="41"/>
      <c r="I200" s="15"/>
      <c r="J200" s="15"/>
      <c r="K200" s="42"/>
      <c r="L200" s="73"/>
      <c r="M200" s="73"/>
      <c r="N200" s="43"/>
      <c r="O200" s="44"/>
      <c r="P200" s="45"/>
      <c r="Q200" s="45"/>
      <c r="R200" s="45"/>
      <c r="S200" s="46"/>
      <c r="T200" s="45"/>
      <c r="U200" s="45"/>
      <c r="V200" s="45"/>
      <c r="W200" s="47"/>
    </row>
    <row r="201" spans="1:23" ht="25.5" hidden="1" customHeight="1">
      <c r="A201" s="3"/>
      <c r="B201" s="3"/>
      <c r="C201" s="3"/>
      <c r="D201" s="3"/>
      <c r="E201" s="3"/>
      <c r="F201" s="40"/>
      <c r="G201" s="3"/>
      <c r="H201" s="41"/>
      <c r="I201" s="15"/>
      <c r="J201" s="15"/>
      <c r="K201" s="42"/>
      <c r="L201" s="73"/>
      <c r="M201" s="73"/>
      <c r="N201" s="43"/>
      <c r="O201" s="44"/>
      <c r="P201" s="45"/>
      <c r="Q201" s="45"/>
      <c r="R201" s="45"/>
      <c r="S201" s="46"/>
      <c r="T201" s="45"/>
      <c r="U201" s="45"/>
      <c r="V201" s="45"/>
      <c r="W201" s="47"/>
    </row>
    <row r="202" spans="1:23" ht="25.5" hidden="1" customHeight="1">
      <c r="A202" s="3"/>
      <c r="B202" s="3"/>
      <c r="C202" s="3"/>
      <c r="D202" s="3"/>
      <c r="E202" s="3"/>
      <c r="F202" s="40"/>
      <c r="G202" s="3"/>
      <c r="H202" s="41"/>
      <c r="I202" s="15"/>
      <c r="J202" s="15"/>
      <c r="K202" s="42"/>
      <c r="L202" s="73"/>
      <c r="M202" s="73"/>
      <c r="N202" s="43"/>
      <c r="O202" s="44"/>
      <c r="P202" s="45"/>
      <c r="Q202" s="45"/>
      <c r="R202" s="45"/>
      <c r="S202" s="46"/>
      <c r="T202" s="45"/>
      <c r="U202" s="45"/>
      <c r="V202" s="45"/>
      <c r="W202" s="47"/>
    </row>
    <row r="203" spans="1:23" ht="25.5" hidden="1" customHeight="1">
      <c r="A203" s="3"/>
      <c r="B203" s="3"/>
      <c r="C203" s="3"/>
      <c r="D203" s="3"/>
      <c r="E203" s="3"/>
      <c r="F203" s="40"/>
      <c r="G203" s="3"/>
      <c r="H203" s="41"/>
      <c r="I203" s="15"/>
      <c r="J203" s="15"/>
      <c r="K203" s="42"/>
      <c r="L203" s="73"/>
      <c r="M203" s="73"/>
      <c r="N203" s="43"/>
      <c r="O203" s="44"/>
      <c r="P203" s="45"/>
      <c r="Q203" s="45"/>
      <c r="R203" s="45"/>
      <c r="S203" s="46"/>
      <c r="T203" s="45"/>
      <c r="U203" s="45"/>
      <c r="V203" s="45"/>
      <c r="W203" s="47"/>
    </row>
    <row r="204" spans="1:23" ht="25.5" hidden="1" customHeight="1">
      <c r="A204" s="3"/>
      <c r="B204" s="3"/>
      <c r="C204" s="3"/>
      <c r="D204" s="3"/>
      <c r="E204" s="3"/>
      <c r="F204" s="40"/>
      <c r="G204" s="3"/>
      <c r="H204" s="41"/>
      <c r="I204" s="15"/>
      <c r="J204" s="15"/>
      <c r="K204" s="42"/>
      <c r="L204" s="73"/>
      <c r="M204" s="73"/>
      <c r="N204" s="43"/>
      <c r="O204" s="44"/>
      <c r="P204" s="45"/>
      <c r="Q204" s="45"/>
      <c r="R204" s="45"/>
      <c r="S204" s="46"/>
      <c r="T204" s="45"/>
      <c r="U204" s="45"/>
      <c r="V204" s="45"/>
      <c r="W204" s="47"/>
    </row>
    <row r="205" spans="1:23" ht="25.5" hidden="1" customHeight="1">
      <c r="A205" s="3"/>
      <c r="B205" s="3"/>
      <c r="C205" s="3"/>
      <c r="D205" s="3"/>
      <c r="E205" s="3"/>
      <c r="F205" s="40"/>
      <c r="G205" s="3"/>
      <c r="H205" s="41"/>
      <c r="I205" s="15"/>
      <c r="J205" s="15"/>
      <c r="K205" s="42"/>
      <c r="L205" s="73"/>
      <c r="M205" s="73"/>
      <c r="N205" s="43"/>
      <c r="O205" s="44"/>
      <c r="P205" s="45"/>
      <c r="Q205" s="45"/>
      <c r="R205" s="45"/>
      <c r="S205" s="46"/>
      <c r="T205" s="45"/>
      <c r="U205" s="45"/>
      <c r="V205" s="45"/>
      <c r="W205" s="47"/>
    </row>
    <row r="206" spans="1:23" ht="25.5" hidden="1" customHeight="1">
      <c r="A206" s="3"/>
      <c r="B206" s="3"/>
      <c r="C206" s="3"/>
      <c r="D206" s="3"/>
      <c r="E206" s="3"/>
      <c r="F206" s="40"/>
      <c r="G206" s="3"/>
      <c r="H206" s="41"/>
      <c r="I206" s="15"/>
      <c r="J206" s="15"/>
      <c r="K206" s="42"/>
      <c r="L206" s="73"/>
      <c r="M206" s="73"/>
      <c r="N206" s="43"/>
      <c r="O206" s="44"/>
      <c r="P206" s="45"/>
      <c r="Q206" s="45"/>
      <c r="R206" s="45"/>
      <c r="S206" s="46"/>
      <c r="T206" s="45"/>
      <c r="U206" s="45"/>
      <c r="V206" s="45"/>
      <c r="W206" s="47"/>
    </row>
    <row r="207" spans="1:23" ht="25.5" hidden="1" customHeight="1">
      <c r="A207" s="3"/>
      <c r="B207" s="3"/>
      <c r="C207" s="3"/>
      <c r="D207" s="3"/>
      <c r="E207" s="3"/>
      <c r="F207" s="40"/>
      <c r="G207" s="3"/>
      <c r="H207" s="41"/>
      <c r="I207" s="15"/>
      <c r="J207" s="15"/>
      <c r="K207" s="42"/>
      <c r="L207" s="73"/>
      <c r="M207" s="73"/>
      <c r="N207" s="43"/>
      <c r="O207" s="44"/>
      <c r="P207" s="45"/>
      <c r="Q207" s="45"/>
      <c r="R207" s="45"/>
      <c r="S207" s="46"/>
      <c r="T207" s="45"/>
      <c r="U207" s="45"/>
      <c r="V207" s="45"/>
      <c r="W207" s="47"/>
    </row>
    <row r="208" spans="1:23" ht="25.5" hidden="1" customHeight="1">
      <c r="A208" s="3"/>
      <c r="B208" s="3"/>
      <c r="C208" s="3"/>
      <c r="D208" s="3"/>
      <c r="E208" s="3"/>
      <c r="F208" s="40"/>
      <c r="G208" s="3"/>
      <c r="H208" s="41"/>
      <c r="I208" s="15"/>
      <c r="J208" s="15"/>
      <c r="K208" s="42"/>
      <c r="L208" s="73"/>
      <c r="M208" s="73"/>
      <c r="N208" s="43"/>
      <c r="O208" s="44"/>
      <c r="P208" s="45"/>
      <c r="Q208" s="45"/>
      <c r="R208" s="45"/>
      <c r="S208" s="46"/>
      <c r="T208" s="45"/>
      <c r="U208" s="45"/>
      <c r="V208" s="45"/>
      <c r="W208" s="47"/>
    </row>
    <row r="209" spans="1:23" ht="25.5" hidden="1" customHeight="1">
      <c r="A209" s="3"/>
      <c r="B209" s="3"/>
      <c r="C209" s="3"/>
      <c r="D209" s="3"/>
      <c r="E209" s="3"/>
      <c r="F209" s="40"/>
      <c r="G209" s="3"/>
      <c r="H209" s="41"/>
      <c r="I209" s="15"/>
      <c r="J209" s="15"/>
      <c r="K209" s="42"/>
      <c r="L209" s="73"/>
      <c r="M209" s="73"/>
      <c r="N209" s="43"/>
      <c r="O209" s="44"/>
      <c r="P209" s="45"/>
      <c r="Q209" s="45"/>
      <c r="R209" s="45"/>
      <c r="S209" s="46"/>
      <c r="T209" s="45"/>
      <c r="U209" s="45"/>
      <c r="V209" s="45"/>
      <c r="W209" s="47"/>
    </row>
    <row r="210" spans="1:23" ht="25.5" hidden="1" customHeight="1">
      <c r="A210" s="3"/>
      <c r="B210" s="3"/>
      <c r="C210" s="3"/>
      <c r="D210" s="3"/>
      <c r="E210" s="3"/>
      <c r="F210" s="40"/>
      <c r="G210" s="3"/>
      <c r="H210" s="41"/>
      <c r="I210" s="15"/>
      <c r="J210" s="15"/>
      <c r="K210" s="42"/>
      <c r="L210" s="73"/>
      <c r="M210" s="73"/>
      <c r="N210" s="43"/>
      <c r="O210" s="44"/>
      <c r="P210" s="45"/>
      <c r="Q210" s="45"/>
      <c r="R210" s="45"/>
      <c r="S210" s="46"/>
      <c r="T210" s="45"/>
      <c r="U210" s="45"/>
      <c r="V210" s="45"/>
      <c r="W210" s="47"/>
    </row>
    <row r="211" spans="1:23" ht="25.5" hidden="1" customHeight="1">
      <c r="A211" s="3"/>
      <c r="B211" s="3"/>
      <c r="C211" s="3"/>
      <c r="D211" s="3"/>
      <c r="E211" s="3"/>
      <c r="F211" s="40"/>
      <c r="G211" s="3"/>
      <c r="H211" s="41"/>
      <c r="I211" s="15"/>
      <c r="J211" s="15"/>
      <c r="K211" s="42"/>
      <c r="L211" s="73"/>
      <c r="M211" s="73"/>
      <c r="N211" s="43"/>
      <c r="O211" s="44"/>
      <c r="P211" s="45"/>
      <c r="Q211" s="45"/>
      <c r="R211" s="45"/>
      <c r="S211" s="46"/>
      <c r="T211" s="45"/>
      <c r="U211" s="45"/>
      <c r="V211" s="45"/>
      <c r="W211" s="47"/>
    </row>
    <row r="212" spans="1:23" ht="25.5" hidden="1" customHeight="1">
      <c r="A212" s="3"/>
      <c r="B212" s="3"/>
      <c r="C212" s="3"/>
      <c r="D212" s="3"/>
      <c r="E212" s="3"/>
      <c r="F212" s="40"/>
      <c r="G212" s="3"/>
      <c r="H212" s="41"/>
      <c r="I212" s="15"/>
      <c r="J212" s="15"/>
      <c r="K212" s="42"/>
      <c r="L212" s="73"/>
      <c r="M212" s="73"/>
      <c r="N212" s="43"/>
      <c r="O212" s="44"/>
      <c r="P212" s="45"/>
      <c r="Q212" s="45"/>
      <c r="R212" s="45"/>
      <c r="S212" s="46"/>
      <c r="T212" s="45"/>
      <c r="U212" s="45"/>
      <c r="V212" s="45"/>
      <c r="W212" s="47"/>
    </row>
    <row r="213" spans="1:23" ht="25.5" hidden="1" customHeight="1">
      <c r="A213" s="3"/>
      <c r="B213" s="3"/>
      <c r="C213" s="3"/>
      <c r="D213" s="3"/>
      <c r="E213" s="3"/>
      <c r="F213" s="40"/>
      <c r="G213" s="3"/>
      <c r="H213" s="41"/>
      <c r="I213" s="15"/>
      <c r="J213" s="15"/>
      <c r="K213" s="42"/>
      <c r="L213" s="73"/>
      <c r="M213" s="73"/>
      <c r="N213" s="43"/>
      <c r="O213" s="44"/>
      <c r="P213" s="45"/>
      <c r="Q213" s="45"/>
      <c r="R213" s="45"/>
      <c r="S213" s="46"/>
      <c r="T213" s="45"/>
      <c r="U213" s="45"/>
      <c r="V213" s="45"/>
      <c r="W213" s="47"/>
    </row>
    <row r="214" spans="1:23" ht="25.5" hidden="1" customHeight="1">
      <c r="A214" s="3"/>
      <c r="B214" s="3"/>
      <c r="C214" s="3"/>
      <c r="D214" s="3"/>
      <c r="E214" s="3"/>
      <c r="F214" s="40"/>
      <c r="G214" s="3"/>
      <c r="H214" s="41"/>
      <c r="I214" s="15"/>
      <c r="J214" s="15"/>
      <c r="K214" s="42"/>
      <c r="L214" s="73"/>
      <c r="M214" s="73"/>
      <c r="N214" s="43"/>
      <c r="O214" s="44"/>
      <c r="P214" s="45"/>
      <c r="Q214" s="45"/>
      <c r="R214" s="45"/>
      <c r="S214" s="46"/>
      <c r="T214" s="45"/>
      <c r="U214" s="45"/>
      <c r="V214" s="45"/>
      <c r="W214" s="47"/>
    </row>
    <row r="215" spans="1:23" ht="25.5" hidden="1" customHeight="1">
      <c r="A215" s="3"/>
      <c r="B215" s="3"/>
      <c r="C215" s="3"/>
      <c r="D215" s="3"/>
      <c r="E215" s="3"/>
      <c r="F215" s="40"/>
      <c r="G215" s="3"/>
      <c r="H215" s="41"/>
      <c r="I215" s="15"/>
      <c r="J215" s="15"/>
      <c r="K215" s="42"/>
      <c r="L215" s="73"/>
      <c r="M215" s="73"/>
      <c r="N215" s="43"/>
      <c r="O215" s="44"/>
      <c r="P215" s="45"/>
      <c r="Q215" s="45"/>
      <c r="R215" s="45"/>
      <c r="S215" s="46"/>
      <c r="T215" s="45"/>
      <c r="U215" s="45"/>
      <c r="V215" s="45"/>
      <c r="W215" s="47"/>
    </row>
    <row r="216" spans="1:23" ht="25.5" hidden="1" customHeight="1">
      <c r="A216" s="3"/>
      <c r="B216" s="3"/>
      <c r="C216" s="3"/>
      <c r="D216" s="3"/>
      <c r="E216" s="3"/>
      <c r="F216" s="40"/>
      <c r="G216" s="3"/>
      <c r="H216" s="41"/>
      <c r="I216" s="15"/>
      <c r="J216" s="15"/>
      <c r="K216" s="42"/>
      <c r="L216" s="73"/>
      <c r="M216" s="73"/>
      <c r="N216" s="43"/>
      <c r="O216" s="44"/>
      <c r="P216" s="45"/>
      <c r="Q216" s="45"/>
      <c r="R216" s="45"/>
      <c r="S216" s="46"/>
      <c r="T216" s="45"/>
      <c r="U216" s="45"/>
      <c r="V216" s="45"/>
      <c r="W216" s="47"/>
    </row>
    <row r="217" spans="1:23" ht="25.5" hidden="1" customHeight="1">
      <c r="A217" s="3"/>
      <c r="B217" s="3"/>
      <c r="C217" s="3"/>
      <c r="D217" s="3"/>
      <c r="E217" s="3"/>
      <c r="F217" s="40"/>
      <c r="G217" s="3"/>
      <c r="H217" s="41"/>
      <c r="I217" s="15"/>
      <c r="J217" s="15"/>
      <c r="K217" s="42"/>
      <c r="L217" s="73"/>
      <c r="M217" s="73"/>
      <c r="N217" s="43"/>
      <c r="O217" s="44"/>
      <c r="P217" s="45"/>
      <c r="Q217" s="45"/>
      <c r="R217" s="45"/>
      <c r="S217" s="46"/>
      <c r="T217" s="45"/>
      <c r="U217" s="45"/>
      <c r="V217" s="45"/>
      <c r="W217" s="47"/>
    </row>
    <row r="218" spans="1:23" ht="25.5" hidden="1" customHeight="1">
      <c r="A218" s="3"/>
      <c r="B218" s="3"/>
      <c r="C218" s="3"/>
      <c r="D218" s="3"/>
      <c r="E218" s="3"/>
      <c r="F218" s="40"/>
      <c r="G218" s="3"/>
      <c r="H218" s="41"/>
      <c r="I218" s="15"/>
      <c r="J218" s="15"/>
      <c r="K218" s="42"/>
      <c r="L218" s="73"/>
      <c r="M218" s="73"/>
      <c r="N218" s="43"/>
      <c r="O218" s="44"/>
      <c r="P218" s="45"/>
      <c r="Q218" s="45"/>
      <c r="R218" s="45"/>
      <c r="S218" s="46"/>
      <c r="T218" s="45"/>
      <c r="U218" s="45"/>
      <c r="V218" s="45"/>
      <c r="W218" s="47"/>
    </row>
    <row r="219" spans="1:23" ht="25.5" hidden="1" customHeight="1">
      <c r="A219" s="3"/>
      <c r="B219" s="3"/>
      <c r="C219" s="3"/>
      <c r="D219" s="3"/>
      <c r="E219" s="3"/>
      <c r="F219" s="40"/>
      <c r="G219" s="3"/>
      <c r="H219" s="41"/>
      <c r="I219" s="15"/>
      <c r="J219" s="15"/>
      <c r="K219" s="42"/>
      <c r="L219" s="73"/>
      <c r="M219" s="73"/>
      <c r="N219" s="43"/>
      <c r="O219" s="44"/>
      <c r="P219" s="45"/>
      <c r="Q219" s="45"/>
      <c r="R219" s="45"/>
      <c r="S219" s="46"/>
      <c r="T219" s="45"/>
      <c r="U219" s="45"/>
      <c r="V219" s="45"/>
      <c r="W219" s="47"/>
    </row>
    <row r="220" spans="1:23" ht="25.5" hidden="1" customHeight="1">
      <c r="A220" s="3"/>
      <c r="B220" s="3"/>
      <c r="C220" s="3"/>
      <c r="D220" s="3"/>
      <c r="E220" s="3"/>
      <c r="F220" s="40"/>
      <c r="G220" s="3"/>
      <c r="H220" s="41"/>
      <c r="I220" s="15"/>
      <c r="J220" s="15"/>
      <c r="K220" s="42"/>
      <c r="L220" s="73"/>
      <c r="M220" s="73"/>
      <c r="N220" s="43"/>
      <c r="O220" s="44"/>
      <c r="P220" s="45"/>
      <c r="Q220" s="45"/>
      <c r="R220" s="45"/>
      <c r="S220" s="46"/>
      <c r="T220" s="45"/>
      <c r="U220" s="45"/>
      <c r="V220" s="45"/>
      <c r="W220" s="47"/>
    </row>
    <row r="221" spans="1:23" ht="25.5" hidden="1" customHeight="1">
      <c r="A221" s="3"/>
      <c r="B221" s="3"/>
      <c r="C221" s="3"/>
      <c r="D221" s="3"/>
      <c r="E221" s="3"/>
      <c r="F221" s="40"/>
      <c r="G221" s="3"/>
      <c r="H221" s="41"/>
      <c r="I221" s="15"/>
      <c r="J221" s="15"/>
      <c r="K221" s="42"/>
      <c r="L221" s="73"/>
      <c r="M221" s="73"/>
      <c r="N221" s="43"/>
      <c r="O221" s="44"/>
      <c r="P221" s="45"/>
      <c r="Q221" s="45"/>
      <c r="R221" s="45"/>
      <c r="S221" s="46"/>
      <c r="T221" s="45"/>
      <c r="U221" s="45"/>
      <c r="V221" s="45"/>
      <c r="W221" s="47"/>
    </row>
    <row r="222" spans="1:23" ht="25.5" hidden="1" customHeight="1">
      <c r="A222" s="3"/>
      <c r="B222" s="3"/>
      <c r="C222" s="3"/>
      <c r="D222" s="3"/>
      <c r="E222" s="3"/>
      <c r="F222" s="40"/>
      <c r="G222" s="3"/>
      <c r="H222" s="41"/>
      <c r="I222" s="15"/>
      <c r="J222" s="15"/>
      <c r="K222" s="42"/>
      <c r="L222" s="73"/>
      <c r="M222" s="73"/>
      <c r="N222" s="43"/>
      <c r="O222" s="44"/>
      <c r="P222" s="45"/>
      <c r="Q222" s="45"/>
      <c r="R222" s="45"/>
      <c r="S222" s="46"/>
      <c r="T222" s="45"/>
      <c r="U222" s="45"/>
      <c r="V222" s="45"/>
      <c r="W222" s="47"/>
    </row>
    <row r="223" spans="1:23" ht="25.5" hidden="1" customHeight="1">
      <c r="A223" s="3"/>
      <c r="B223" s="3"/>
      <c r="C223" s="3"/>
      <c r="D223" s="3"/>
      <c r="E223" s="3"/>
      <c r="F223" s="40"/>
      <c r="G223" s="3"/>
      <c r="H223" s="41"/>
      <c r="I223" s="15"/>
      <c r="J223" s="15"/>
      <c r="K223" s="42"/>
      <c r="L223" s="73"/>
      <c r="M223" s="73"/>
      <c r="N223" s="43"/>
      <c r="O223" s="44"/>
      <c r="P223" s="45"/>
      <c r="Q223" s="45"/>
      <c r="R223" s="45"/>
      <c r="S223" s="46"/>
      <c r="T223" s="45"/>
      <c r="U223" s="45"/>
      <c r="V223" s="45"/>
      <c r="W223" s="47"/>
    </row>
    <row r="224" spans="1:23" ht="25.5" hidden="1" customHeight="1">
      <c r="A224" s="3"/>
      <c r="B224" s="3"/>
      <c r="C224" s="3"/>
      <c r="D224" s="3"/>
      <c r="E224" s="3"/>
      <c r="F224" s="40"/>
      <c r="G224" s="3"/>
      <c r="H224" s="41"/>
      <c r="I224" s="15"/>
      <c r="J224" s="15"/>
      <c r="K224" s="42"/>
      <c r="L224" s="73"/>
      <c r="M224" s="73"/>
      <c r="N224" s="43"/>
      <c r="O224" s="44"/>
      <c r="P224" s="45"/>
      <c r="Q224" s="45"/>
      <c r="R224" s="45"/>
      <c r="S224" s="46"/>
      <c r="T224" s="45"/>
      <c r="U224" s="45"/>
      <c r="V224" s="45"/>
      <c r="W224" s="47"/>
    </row>
    <row r="225" spans="1:23" ht="25.5" hidden="1" customHeight="1">
      <c r="A225" s="3"/>
      <c r="B225" s="3"/>
      <c r="C225" s="3"/>
      <c r="D225" s="3"/>
      <c r="E225" s="3"/>
      <c r="F225" s="40"/>
      <c r="G225" s="3"/>
      <c r="H225" s="41"/>
      <c r="I225" s="15"/>
      <c r="J225" s="15"/>
      <c r="K225" s="42"/>
      <c r="L225" s="73"/>
      <c r="M225" s="73"/>
      <c r="N225" s="43"/>
      <c r="O225" s="44"/>
      <c r="P225" s="45"/>
      <c r="Q225" s="45"/>
      <c r="R225" s="45"/>
      <c r="S225" s="46"/>
      <c r="T225" s="45"/>
      <c r="U225" s="45"/>
      <c r="V225" s="45"/>
      <c r="W225" s="47"/>
    </row>
    <row r="226" spans="1:23" ht="25.5" hidden="1" customHeight="1">
      <c r="A226" s="3"/>
      <c r="B226" s="3"/>
      <c r="C226" s="3"/>
      <c r="D226" s="3"/>
      <c r="E226" s="3"/>
      <c r="F226" s="40"/>
      <c r="G226" s="3"/>
      <c r="H226" s="41"/>
      <c r="I226" s="15"/>
      <c r="J226" s="15"/>
      <c r="K226" s="42"/>
      <c r="L226" s="73"/>
      <c r="M226" s="73"/>
      <c r="N226" s="43"/>
      <c r="O226" s="44"/>
      <c r="P226" s="45"/>
      <c r="Q226" s="45"/>
      <c r="R226" s="45"/>
      <c r="S226" s="46"/>
      <c r="T226" s="45"/>
      <c r="U226" s="45"/>
      <c r="V226" s="45"/>
      <c r="W226" s="47"/>
    </row>
    <row r="227" spans="1:23" ht="25.5" hidden="1" customHeight="1">
      <c r="A227" s="3"/>
      <c r="B227" s="3"/>
      <c r="C227" s="3"/>
      <c r="D227" s="3"/>
      <c r="E227" s="3"/>
      <c r="F227" s="40"/>
      <c r="G227" s="3"/>
      <c r="H227" s="41"/>
      <c r="I227" s="15"/>
      <c r="J227" s="15"/>
      <c r="K227" s="42"/>
      <c r="L227" s="73"/>
      <c r="M227" s="73"/>
      <c r="N227" s="43"/>
      <c r="O227" s="44"/>
      <c r="P227" s="45"/>
      <c r="Q227" s="45"/>
      <c r="R227" s="45"/>
      <c r="S227" s="46"/>
      <c r="T227" s="45"/>
      <c r="U227" s="45"/>
      <c r="V227" s="45"/>
      <c r="W227" s="47"/>
    </row>
    <row r="228" spans="1:23" ht="25.5" hidden="1" customHeight="1">
      <c r="A228" s="3"/>
      <c r="B228" s="3"/>
      <c r="C228" s="3"/>
      <c r="D228" s="3"/>
      <c r="E228" s="3"/>
      <c r="F228" s="40"/>
      <c r="G228" s="3"/>
      <c r="H228" s="41"/>
      <c r="I228" s="15"/>
      <c r="J228" s="15"/>
      <c r="K228" s="42"/>
      <c r="L228" s="73"/>
      <c r="M228" s="73"/>
      <c r="N228" s="43"/>
      <c r="O228" s="44"/>
      <c r="P228" s="45"/>
      <c r="Q228" s="45"/>
      <c r="R228" s="45"/>
      <c r="S228" s="46"/>
      <c r="T228" s="45"/>
      <c r="U228" s="45"/>
      <c r="V228" s="45"/>
      <c r="W228" s="47"/>
    </row>
    <row r="229" spans="1:23" ht="25.5" hidden="1" customHeight="1">
      <c r="A229" s="3"/>
      <c r="B229" s="3"/>
      <c r="C229" s="3"/>
      <c r="D229" s="3"/>
      <c r="E229" s="3"/>
      <c r="F229" s="40"/>
      <c r="G229" s="3"/>
      <c r="H229" s="41"/>
      <c r="I229" s="15"/>
      <c r="J229" s="15"/>
      <c r="K229" s="42"/>
      <c r="L229" s="73"/>
      <c r="M229" s="73"/>
      <c r="N229" s="43"/>
      <c r="O229" s="44"/>
      <c r="P229" s="45"/>
      <c r="Q229" s="45"/>
      <c r="R229" s="45"/>
      <c r="S229" s="46"/>
      <c r="T229" s="45"/>
      <c r="U229" s="45"/>
      <c r="V229" s="45"/>
      <c r="W229" s="47"/>
    </row>
    <row r="230" spans="1:23" ht="25.5" hidden="1" customHeight="1">
      <c r="A230" s="3"/>
      <c r="B230" s="3"/>
      <c r="C230" s="3"/>
      <c r="D230" s="3"/>
      <c r="E230" s="3"/>
      <c r="F230" s="40"/>
      <c r="G230" s="3"/>
      <c r="H230" s="41"/>
      <c r="I230" s="15"/>
      <c r="J230" s="15"/>
      <c r="K230" s="42"/>
      <c r="L230" s="73"/>
      <c r="M230" s="73"/>
      <c r="N230" s="43"/>
      <c r="O230" s="44"/>
      <c r="P230" s="45"/>
      <c r="Q230" s="45"/>
      <c r="R230" s="45"/>
      <c r="S230" s="46"/>
      <c r="T230" s="45"/>
      <c r="U230" s="45"/>
      <c r="V230" s="45"/>
      <c r="W230" s="47"/>
    </row>
    <row r="231" spans="1:23" ht="25.5" hidden="1" customHeight="1">
      <c r="A231" s="3"/>
      <c r="B231" s="3"/>
      <c r="C231" s="3"/>
      <c r="D231" s="3"/>
      <c r="E231" s="3"/>
      <c r="F231" s="40"/>
      <c r="G231" s="3"/>
      <c r="H231" s="41"/>
      <c r="I231" s="15"/>
      <c r="J231" s="15"/>
      <c r="K231" s="42"/>
      <c r="L231" s="73"/>
      <c r="M231" s="73"/>
      <c r="N231" s="43"/>
      <c r="O231" s="44"/>
      <c r="P231" s="45"/>
      <c r="Q231" s="45"/>
      <c r="R231" s="45"/>
      <c r="S231" s="46"/>
      <c r="T231" s="45"/>
      <c r="U231" s="45"/>
      <c r="V231" s="45"/>
      <c r="W231" s="47"/>
    </row>
    <row r="232" spans="1:23" ht="25.5" hidden="1" customHeight="1">
      <c r="A232" s="3"/>
      <c r="B232" s="3"/>
      <c r="C232" s="3"/>
      <c r="D232" s="3"/>
      <c r="E232" s="3"/>
      <c r="F232" s="40"/>
      <c r="G232" s="3"/>
      <c r="H232" s="41"/>
      <c r="I232" s="15"/>
      <c r="J232" s="15"/>
      <c r="K232" s="42"/>
      <c r="L232" s="73"/>
      <c r="M232" s="73"/>
      <c r="N232" s="43"/>
      <c r="O232" s="44"/>
      <c r="P232" s="45"/>
      <c r="Q232" s="45"/>
      <c r="R232" s="45"/>
      <c r="S232" s="46"/>
      <c r="T232" s="45"/>
      <c r="U232" s="45"/>
      <c r="V232" s="45"/>
      <c r="W232" s="47"/>
    </row>
    <row r="233" spans="1:23" ht="25.5" hidden="1" customHeight="1">
      <c r="A233" s="3"/>
      <c r="B233" s="3"/>
      <c r="C233" s="3"/>
      <c r="D233" s="3"/>
      <c r="E233" s="3"/>
      <c r="F233" s="40"/>
      <c r="G233" s="3"/>
      <c r="H233" s="41"/>
      <c r="I233" s="15"/>
      <c r="J233" s="15"/>
      <c r="K233" s="42"/>
      <c r="L233" s="73"/>
      <c r="M233" s="73"/>
      <c r="N233" s="43"/>
      <c r="O233" s="44"/>
      <c r="P233" s="45"/>
      <c r="Q233" s="45"/>
      <c r="R233" s="45"/>
      <c r="S233" s="46"/>
      <c r="T233" s="45"/>
      <c r="U233" s="45"/>
      <c r="V233" s="45"/>
      <c r="W233" s="47"/>
    </row>
    <row r="234" spans="1:23" ht="25.5" hidden="1" customHeight="1">
      <c r="A234" s="3"/>
      <c r="B234" s="3"/>
      <c r="C234" s="3"/>
      <c r="D234" s="3"/>
      <c r="E234" s="3"/>
      <c r="F234" s="40"/>
      <c r="G234" s="3"/>
      <c r="H234" s="41"/>
      <c r="I234" s="15"/>
      <c r="J234" s="15"/>
      <c r="K234" s="42"/>
      <c r="L234" s="73"/>
      <c r="M234" s="73"/>
      <c r="N234" s="43"/>
      <c r="O234" s="44"/>
      <c r="P234" s="45"/>
      <c r="Q234" s="45"/>
      <c r="R234" s="45"/>
      <c r="S234" s="46"/>
      <c r="T234" s="45"/>
      <c r="U234" s="45"/>
      <c r="V234" s="45"/>
      <c r="W234" s="47"/>
    </row>
    <row r="235" spans="1:23" ht="25.5" hidden="1" customHeight="1">
      <c r="A235" s="3"/>
      <c r="B235" s="3"/>
      <c r="C235" s="3"/>
      <c r="D235" s="3"/>
      <c r="E235" s="3"/>
      <c r="F235" s="40"/>
      <c r="G235" s="3"/>
      <c r="H235" s="41"/>
      <c r="I235" s="15"/>
      <c r="J235" s="15"/>
      <c r="K235" s="42"/>
      <c r="L235" s="73"/>
      <c r="M235" s="73"/>
      <c r="N235" s="43"/>
      <c r="O235" s="44"/>
      <c r="P235" s="45"/>
      <c r="Q235" s="45"/>
      <c r="R235" s="45"/>
      <c r="S235" s="46"/>
      <c r="T235" s="45"/>
      <c r="U235" s="45"/>
      <c r="V235" s="45"/>
      <c r="W235" s="47"/>
    </row>
    <row r="236" spans="1:23" ht="25.5" hidden="1" customHeight="1">
      <c r="A236" s="3"/>
      <c r="B236" s="3"/>
      <c r="C236" s="3"/>
      <c r="D236" s="3"/>
      <c r="E236" s="3"/>
      <c r="F236" s="40"/>
      <c r="G236" s="3"/>
      <c r="H236" s="41"/>
      <c r="I236" s="15"/>
      <c r="J236" s="15"/>
      <c r="K236" s="42"/>
      <c r="L236" s="73"/>
      <c r="M236" s="73"/>
      <c r="N236" s="43"/>
      <c r="O236" s="44"/>
      <c r="P236" s="45"/>
      <c r="Q236" s="45"/>
      <c r="R236" s="45"/>
      <c r="S236" s="46"/>
      <c r="T236" s="45"/>
      <c r="U236" s="45"/>
      <c r="V236" s="45"/>
      <c r="W236" s="47"/>
    </row>
    <row r="237" spans="1:23" ht="25.5" hidden="1" customHeight="1">
      <c r="A237" s="3"/>
      <c r="B237" s="3"/>
      <c r="C237" s="3"/>
      <c r="D237" s="3"/>
      <c r="E237" s="3"/>
      <c r="F237" s="40"/>
      <c r="G237" s="3"/>
      <c r="H237" s="41"/>
      <c r="I237" s="15"/>
      <c r="J237" s="15"/>
      <c r="K237" s="42"/>
      <c r="L237" s="73"/>
      <c r="M237" s="73"/>
      <c r="N237" s="43"/>
      <c r="O237" s="44"/>
      <c r="P237" s="45"/>
      <c r="Q237" s="45"/>
      <c r="R237" s="45"/>
      <c r="S237" s="46"/>
      <c r="T237" s="45"/>
      <c r="U237" s="45"/>
      <c r="V237" s="45"/>
      <c r="W237" s="47"/>
    </row>
    <row r="238" spans="1:23" ht="25.5" hidden="1" customHeight="1">
      <c r="A238" s="3"/>
      <c r="B238" s="3"/>
      <c r="C238" s="3"/>
      <c r="D238" s="3"/>
      <c r="E238" s="3"/>
      <c r="F238" s="40"/>
      <c r="G238" s="3"/>
      <c r="H238" s="41"/>
      <c r="I238" s="15"/>
      <c r="J238" s="15"/>
      <c r="K238" s="42"/>
      <c r="L238" s="73"/>
      <c r="M238" s="73"/>
      <c r="N238" s="43"/>
      <c r="O238" s="44"/>
      <c r="P238" s="45"/>
      <c r="Q238" s="45"/>
      <c r="R238" s="45"/>
      <c r="S238" s="46"/>
      <c r="T238" s="45"/>
      <c r="U238" s="45"/>
      <c r="V238" s="45"/>
      <c r="W238" s="47"/>
    </row>
    <row r="239" spans="1:23" ht="25.5" hidden="1" customHeight="1">
      <c r="A239" s="3"/>
      <c r="B239" s="3"/>
      <c r="C239" s="3"/>
      <c r="D239" s="3"/>
      <c r="E239" s="3"/>
      <c r="F239" s="40"/>
      <c r="G239" s="3"/>
      <c r="H239" s="41"/>
      <c r="I239" s="15"/>
      <c r="J239" s="15"/>
      <c r="K239" s="42"/>
      <c r="L239" s="73"/>
      <c r="M239" s="73"/>
      <c r="N239" s="43"/>
      <c r="O239" s="44"/>
      <c r="P239" s="45"/>
      <c r="Q239" s="45"/>
      <c r="R239" s="45"/>
      <c r="S239" s="46"/>
      <c r="T239" s="45"/>
      <c r="U239" s="45"/>
      <c r="V239" s="45"/>
      <c r="W239" s="47"/>
    </row>
    <row r="240" spans="1:23" ht="25.5" hidden="1" customHeight="1">
      <c r="A240" s="3"/>
      <c r="B240" s="3"/>
      <c r="C240" s="3"/>
      <c r="D240" s="3"/>
      <c r="E240" s="3"/>
      <c r="F240" s="40"/>
      <c r="G240" s="3"/>
      <c r="H240" s="41"/>
      <c r="I240" s="15"/>
      <c r="J240" s="15"/>
      <c r="K240" s="42"/>
      <c r="L240" s="73"/>
      <c r="M240" s="73"/>
      <c r="N240" s="43"/>
      <c r="O240" s="44"/>
      <c r="P240" s="45"/>
      <c r="Q240" s="45"/>
      <c r="R240" s="45"/>
      <c r="S240" s="46"/>
      <c r="T240" s="45"/>
      <c r="U240" s="45"/>
      <c r="V240" s="45"/>
      <c r="W240" s="47"/>
    </row>
    <row r="241" spans="1:23" ht="25.5" hidden="1" customHeight="1">
      <c r="A241" s="3"/>
      <c r="B241" s="3"/>
      <c r="C241" s="3"/>
      <c r="D241" s="3"/>
      <c r="E241" s="3"/>
      <c r="F241" s="40"/>
      <c r="G241" s="3"/>
      <c r="H241" s="41"/>
      <c r="I241" s="15"/>
      <c r="J241" s="15"/>
      <c r="K241" s="42"/>
      <c r="L241" s="73"/>
      <c r="M241" s="73"/>
      <c r="N241" s="43"/>
      <c r="O241" s="44"/>
      <c r="P241" s="45"/>
      <c r="Q241" s="45"/>
      <c r="R241" s="45"/>
      <c r="S241" s="46"/>
      <c r="T241" s="45"/>
      <c r="U241" s="45"/>
      <c r="V241" s="45"/>
      <c r="W241" s="47"/>
    </row>
    <row r="242" spans="1:23" ht="25.5" hidden="1" customHeight="1">
      <c r="A242" s="3"/>
      <c r="B242" s="3"/>
      <c r="C242" s="3"/>
      <c r="D242" s="3"/>
      <c r="E242" s="3"/>
      <c r="F242" s="40"/>
      <c r="G242" s="3"/>
      <c r="H242" s="41"/>
      <c r="I242" s="15"/>
      <c r="J242" s="15"/>
      <c r="K242" s="42"/>
      <c r="L242" s="73"/>
      <c r="M242" s="73"/>
      <c r="N242" s="43"/>
      <c r="O242" s="44"/>
      <c r="P242" s="45"/>
      <c r="Q242" s="45"/>
      <c r="R242" s="45"/>
      <c r="S242" s="46"/>
      <c r="T242" s="45"/>
      <c r="U242" s="45"/>
      <c r="V242" s="45"/>
      <c r="W242" s="47"/>
    </row>
    <row r="243" spans="1:23" ht="25.5" hidden="1" customHeight="1">
      <c r="A243" s="3"/>
      <c r="B243" s="3"/>
      <c r="C243" s="3"/>
      <c r="D243" s="3"/>
      <c r="E243" s="3"/>
      <c r="F243" s="40"/>
      <c r="G243" s="3"/>
      <c r="H243" s="41"/>
      <c r="I243" s="15"/>
      <c r="J243" s="15"/>
      <c r="K243" s="42"/>
      <c r="L243" s="73"/>
      <c r="M243" s="73"/>
      <c r="N243" s="43"/>
      <c r="O243" s="44"/>
      <c r="P243" s="45"/>
      <c r="Q243" s="45"/>
      <c r="R243" s="45"/>
      <c r="S243" s="46"/>
      <c r="T243" s="45"/>
      <c r="U243" s="45"/>
      <c r="V243" s="45"/>
      <c r="W243" s="47"/>
    </row>
    <row r="244" spans="1:23" ht="25.5" hidden="1" customHeight="1">
      <c r="A244" s="3"/>
      <c r="B244" s="3"/>
      <c r="C244" s="3"/>
      <c r="D244" s="3"/>
      <c r="E244" s="3"/>
      <c r="F244" s="40"/>
      <c r="G244" s="3"/>
      <c r="H244" s="41"/>
      <c r="I244" s="15"/>
      <c r="J244" s="15"/>
      <c r="K244" s="42"/>
      <c r="L244" s="73"/>
      <c r="M244" s="73"/>
      <c r="N244" s="43"/>
      <c r="O244" s="44"/>
      <c r="P244" s="45"/>
      <c r="Q244" s="45"/>
      <c r="R244" s="45"/>
      <c r="S244" s="46"/>
      <c r="T244" s="45"/>
      <c r="U244" s="45"/>
      <c r="V244" s="45"/>
      <c r="W244" s="47"/>
    </row>
    <row r="245" spans="1:23" ht="25.5" hidden="1" customHeight="1">
      <c r="A245" s="3"/>
      <c r="B245" s="3"/>
      <c r="C245" s="3"/>
      <c r="D245" s="3"/>
      <c r="E245" s="3"/>
      <c r="F245" s="40"/>
      <c r="G245" s="3"/>
      <c r="H245" s="41"/>
      <c r="I245" s="15"/>
      <c r="J245" s="15"/>
      <c r="K245" s="42"/>
      <c r="L245" s="73"/>
      <c r="M245" s="73"/>
      <c r="N245" s="43"/>
      <c r="O245" s="44"/>
      <c r="P245" s="45"/>
      <c r="Q245" s="45"/>
      <c r="R245" s="45"/>
      <c r="S245" s="46"/>
      <c r="T245" s="45"/>
      <c r="U245" s="45"/>
      <c r="V245" s="45"/>
      <c r="W245" s="47"/>
    </row>
    <row r="246" spans="1:23" ht="25.5" hidden="1" customHeight="1">
      <c r="A246" s="3"/>
      <c r="B246" s="3"/>
      <c r="C246" s="3"/>
      <c r="D246" s="3"/>
      <c r="E246" s="3"/>
      <c r="F246" s="40"/>
      <c r="G246" s="3"/>
      <c r="H246" s="41"/>
      <c r="I246" s="15"/>
      <c r="J246" s="15"/>
      <c r="K246" s="42"/>
      <c r="L246" s="73"/>
      <c r="M246" s="73"/>
      <c r="N246" s="43"/>
      <c r="O246" s="44"/>
      <c r="P246" s="45"/>
      <c r="Q246" s="45"/>
      <c r="R246" s="45"/>
      <c r="S246" s="46"/>
      <c r="T246" s="45"/>
      <c r="U246" s="45"/>
      <c r="V246" s="45"/>
      <c r="W246" s="47"/>
    </row>
    <row r="247" spans="1:23" ht="25.5" hidden="1" customHeight="1">
      <c r="A247" s="3"/>
      <c r="B247" s="3"/>
      <c r="C247" s="3"/>
      <c r="D247" s="3"/>
      <c r="E247" s="3"/>
      <c r="F247" s="40"/>
      <c r="G247" s="3"/>
      <c r="H247" s="41"/>
      <c r="I247" s="15"/>
      <c r="J247" s="15"/>
      <c r="K247" s="42"/>
      <c r="L247" s="73"/>
      <c r="M247" s="73"/>
      <c r="N247" s="43"/>
      <c r="O247" s="44"/>
      <c r="P247" s="45"/>
      <c r="Q247" s="45"/>
      <c r="R247" s="45"/>
      <c r="S247" s="46"/>
      <c r="T247" s="45"/>
      <c r="U247" s="45"/>
      <c r="V247" s="45"/>
      <c r="W247" s="47"/>
    </row>
    <row r="248" spans="1:23" ht="25.5" hidden="1" customHeight="1">
      <c r="A248" s="3"/>
      <c r="B248" s="3"/>
      <c r="C248" s="3"/>
      <c r="D248" s="3"/>
      <c r="E248" s="3"/>
      <c r="F248" s="40"/>
      <c r="G248" s="3"/>
      <c r="H248" s="41"/>
      <c r="I248" s="15"/>
      <c r="J248" s="15"/>
      <c r="K248" s="42"/>
      <c r="L248" s="73"/>
      <c r="M248" s="73"/>
      <c r="N248" s="43"/>
      <c r="O248" s="44"/>
      <c r="P248" s="45"/>
      <c r="Q248" s="45"/>
      <c r="R248" s="45"/>
      <c r="S248" s="46"/>
      <c r="T248" s="45"/>
      <c r="U248" s="45"/>
      <c r="V248" s="45"/>
      <c r="W248" s="47"/>
    </row>
    <row r="249" spans="1:23" ht="25.5" hidden="1" customHeight="1">
      <c r="A249" s="3"/>
      <c r="B249" s="3"/>
      <c r="C249" s="3"/>
      <c r="D249" s="3"/>
      <c r="E249" s="3"/>
      <c r="F249" s="40"/>
      <c r="G249" s="3"/>
      <c r="H249" s="41"/>
      <c r="I249" s="15"/>
      <c r="J249" s="15"/>
      <c r="K249" s="42"/>
      <c r="L249" s="73"/>
      <c r="M249" s="73"/>
      <c r="N249" s="43"/>
      <c r="O249" s="44"/>
      <c r="P249" s="45"/>
      <c r="Q249" s="45"/>
      <c r="R249" s="45"/>
      <c r="S249" s="46"/>
      <c r="T249" s="45"/>
      <c r="U249" s="45"/>
      <c r="V249" s="45"/>
      <c r="W249" s="47"/>
    </row>
    <row r="250" spans="1:23" ht="25.5" hidden="1" customHeight="1">
      <c r="A250" s="3"/>
      <c r="B250" s="3"/>
      <c r="C250" s="3"/>
      <c r="D250" s="3"/>
      <c r="E250" s="3"/>
      <c r="F250" s="40"/>
      <c r="G250" s="3"/>
      <c r="H250" s="41"/>
      <c r="I250" s="15"/>
      <c r="J250" s="15"/>
      <c r="K250" s="42"/>
      <c r="L250" s="73"/>
      <c r="M250" s="73"/>
      <c r="N250" s="43"/>
      <c r="O250" s="44"/>
      <c r="P250" s="45"/>
      <c r="Q250" s="45"/>
      <c r="R250" s="45"/>
      <c r="S250" s="46"/>
      <c r="T250" s="45"/>
      <c r="U250" s="45"/>
      <c r="V250" s="45"/>
      <c r="W250" s="47"/>
    </row>
    <row r="251" spans="1:23" ht="25.5" hidden="1" customHeight="1">
      <c r="A251" s="3"/>
      <c r="B251" s="3"/>
      <c r="C251" s="3"/>
      <c r="D251" s="3"/>
      <c r="E251" s="3"/>
      <c r="F251" s="40"/>
      <c r="G251" s="3"/>
      <c r="H251" s="41"/>
      <c r="I251" s="15"/>
      <c r="J251" s="15"/>
      <c r="K251" s="42"/>
      <c r="L251" s="73"/>
      <c r="M251" s="73"/>
      <c r="N251" s="43"/>
      <c r="O251" s="44"/>
      <c r="P251" s="45"/>
      <c r="Q251" s="45"/>
      <c r="R251" s="45"/>
      <c r="S251" s="46"/>
      <c r="T251" s="45"/>
      <c r="U251" s="45"/>
      <c r="V251" s="45"/>
      <c r="W251" s="47"/>
    </row>
    <row r="252" spans="1:23" ht="25.5" hidden="1" customHeight="1">
      <c r="A252" s="3"/>
      <c r="B252" s="3"/>
      <c r="C252" s="3"/>
      <c r="D252" s="3"/>
      <c r="E252" s="3"/>
      <c r="F252" s="40"/>
      <c r="G252" s="3"/>
      <c r="H252" s="41"/>
      <c r="I252" s="15"/>
      <c r="J252" s="15"/>
      <c r="K252" s="42"/>
      <c r="L252" s="73"/>
      <c r="M252" s="73"/>
      <c r="N252" s="43"/>
      <c r="O252" s="44"/>
      <c r="P252" s="45"/>
      <c r="Q252" s="45"/>
      <c r="R252" s="45"/>
      <c r="S252" s="46"/>
      <c r="T252" s="45"/>
      <c r="U252" s="45"/>
      <c r="V252" s="45"/>
      <c r="W252" s="47"/>
    </row>
    <row r="253" spans="1:23" ht="25.5" hidden="1" customHeight="1">
      <c r="A253" s="3"/>
      <c r="B253" s="3"/>
      <c r="C253" s="3"/>
      <c r="D253" s="3"/>
      <c r="E253" s="3"/>
      <c r="F253" s="40"/>
      <c r="G253" s="3"/>
      <c r="H253" s="41"/>
      <c r="I253" s="15"/>
      <c r="J253" s="15"/>
      <c r="K253" s="42"/>
      <c r="L253" s="73"/>
      <c r="M253" s="73"/>
      <c r="N253" s="43"/>
      <c r="O253" s="44"/>
      <c r="P253" s="45"/>
      <c r="Q253" s="45"/>
      <c r="R253" s="45"/>
      <c r="S253" s="46"/>
      <c r="T253" s="45"/>
      <c r="U253" s="45"/>
      <c r="V253" s="45"/>
      <c r="W253" s="47"/>
    </row>
    <row r="254" spans="1:23" ht="25.5" hidden="1" customHeight="1">
      <c r="A254" s="3"/>
      <c r="B254" s="3"/>
      <c r="C254" s="3"/>
      <c r="D254" s="3"/>
      <c r="E254" s="3"/>
      <c r="F254" s="40"/>
      <c r="G254" s="3"/>
      <c r="H254" s="41"/>
      <c r="I254" s="15"/>
      <c r="J254" s="15"/>
      <c r="K254" s="42"/>
      <c r="L254" s="73"/>
      <c r="M254" s="73"/>
      <c r="N254" s="43"/>
      <c r="O254" s="44"/>
      <c r="P254" s="45"/>
      <c r="Q254" s="45"/>
      <c r="R254" s="45"/>
      <c r="S254" s="46"/>
      <c r="T254" s="45"/>
      <c r="U254" s="45"/>
      <c r="V254" s="45"/>
      <c r="W254" s="47"/>
    </row>
    <row r="255" spans="1:23" ht="25.5" hidden="1" customHeight="1">
      <c r="A255" s="3"/>
      <c r="B255" s="3"/>
      <c r="C255" s="3"/>
      <c r="D255" s="3"/>
      <c r="E255" s="3"/>
      <c r="F255" s="40"/>
      <c r="G255" s="3"/>
      <c r="H255" s="41"/>
      <c r="I255" s="15"/>
      <c r="J255" s="15"/>
      <c r="K255" s="42"/>
      <c r="L255" s="73"/>
      <c r="M255" s="73"/>
      <c r="N255" s="43"/>
      <c r="O255" s="44"/>
      <c r="P255" s="45"/>
      <c r="Q255" s="45"/>
      <c r="R255" s="45"/>
      <c r="S255" s="46"/>
      <c r="T255" s="45"/>
      <c r="U255" s="45"/>
      <c r="V255" s="45"/>
      <c r="W255" s="47"/>
    </row>
    <row r="256" spans="1:23" ht="25.5" hidden="1" customHeight="1">
      <c r="A256" s="3"/>
      <c r="B256" s="3"/>
      <c r="C256" s="3"/>
      <c r="D256" s="3"/>
      <c r="E256" s="3"/>
      <c r="F256" s="40"/>
      <c r="G256" s="3"/>
      <c r="H256" s="41"/>
      <c r="I256" s="15"/>
      <c r="J256" s="15"/>
      <c r="K256" s="42"/>
      <c r="L256" s="73"/>
      <c r="M256" s="73"/>
      <c r="N256" s="43"/>
      <c r="O256" s="44"/>
      <c r="P256" s="45"/>
      <c r="Q256" s="45"/>
      <c r="R256" s="45"/>
      <c r="S256" s="46"/>
      <c r="T256" s="45"/>
      <c r="U256" s="45"/>
      <c r="V256" s="45"/>
      <c r="W256" s="47"/>
    </row>
    <row r="257" spans="1:23" ht="25.5" hidden="1" customHeight="1">
      <c r="A257" s="3"/>
      <c r="B257" s="3"/>
      <c r="C257" s="3"/>
      <c r="D257" s="3"/>
      <c r="E257" s="3"/>
      <c r="F257" s="40"/>
      <c r="G257" s="3"/>
      <c r="H257" s="41"/>
      <c r="I257" s="15"/>
      <c r="J257" s="15"/>
      <c r="K257" s="42"/>
      <c r="L257" s="73"/>
      <c r="M257" s="73"/>
      <c r="N257" s="43"/>
      <c r="O257" s="44"/>
      <c r="P257" s="45"/>
      <c r="Q257" s="45"/>
      <c r="R257" s="45"/>
      <c r="S257" s="46"/>
      <c r="T257" s="45"/>
      <c r="U257" s="45"/>
      <c r="V257" s="45"/>
      <c r="W257" s="47"/>
    </row>
    <row r="258" spans="1:23" ht="25.5" hidden="1" customHeight="1">
      <c r="A258" s="3"/>
      <c r="B258" s="3"/>
      <c r="C258" s="3"/>
      <c r="D258" s="3"/>
      <c r="E258" s="3"/>
      <c r="F258" s="40"/>
      <c r="G258" s="3"/>
      <c r="H258" s="41"/>
      <c r="I258" s="15"/>
      <c r="J258" s="15"/>
      <c r="K258" s="42"/>
      <c r="L258" s="73"/>
      <c r="M258" s="73"/>
      <c r="N258" s="43"/>
      <c r="O258" s="44"/>
      <c r="P258" s="45"/>
      <c r="Q258" s="45"/>
      <c r="R258" s="45"/>
      <c r="S258" s="46"/>
      <c r="T258" s="45"/>
      <c r="U258" s="45"/>
      <c r="V258" s="45"/>
      <c r="W258" s="47"/>
    </row>
    <row r="259" spans="1:23" ht="25.5" hidden="1" customHeight="1">
      <c r="A259" s="3"/>
      <c r="B259" s="3"/>
      <c r="C259" s="3"/>
      <c r="D259" s="3"/>
      <c r="E259" s="3"/>
      <c r="F259" s="40"/>
      <c r="G259" s="3"/>
      <c r="H259" s="41"/>
      <c r="I259" s="15"/>
      <c r="J259" s="15"/>
      <c r="K259" s="42"/>
      <c r="L259" s="73"/>
      <c r="M259" s="73"/>
      <c r="N259" s="43"/>
      <c r="O259" s="44"/>
      <c r="P259" s="45"/>
      <c r="Q259" s="45"/>
      <c r="R259" s="45"/>
      <c r="S259" s="46"/>
      <c r="T259" s="45"/>
      <c r="U259" s="45"/>
      <c r="V259" s="45"/>
      <c r="W259" s="47"/>
    </row>
    <row r="260" spans="1:23" ht="25.5" hidden="1" customHeight="1">
      <c r="A260" s="3"/>
      <c r="B260" s="3"/>
      <c r="C260" s="3"/>
      <c r="D260" s="3"/>
      <c r="E260" s="3"/>
      <c r="F260" s="40"/>
      <c r="G260" s="3"/>
      <c r="H260" s="41"/>
      <c r="I260" s="15"/>
      <c r="J260" s="15"/>
      <c r="K260" s="42"/>
      <c r="L260" s="73"/>
      <c r="M260" s="73"/>
      <c r="N260" s="43"/>
      <c r="O260" s="44"/>
      <c r="P260" s="45"/>
      <c r="Q260" s="45"/>
      <c r="R260" s="45"/>
      <c r="S260" s="46"/>
      <c r="T260" s="45"/>
      <c r="U260" s="45"/>
      <c r="V260" s="45"/>
      <c r="W260" s="47"/>
    </row>
    <row r="261" spans="1:23" ht="25.5" hidden="1" customHeight="1">
      <c r="A261" s="3"/>
      <c r="B261" s="3"/>
      <c r="C261" s="3"/>
      <c r="D261" s="3"/>
      <c r="E261" s="3"/>
      <c r="F261" s="40"/>
      <c r="G261" s="3"/>
      <c r="H261" s="41"/>
      <c r="I261" s="15"/>
      <c r="J261" s="15"/>
      <c r="K261" s="42"/>
      <c r="L261" s="73"/>
      <c r="M261" s="73"/>
      <c r="N261" s="43"/>
      <c r="O261" s="44"/>
      <c r="P261" s="45"/>
      <c r="Q261" s="45"/>
      <c r="R261" s="45"/>
      <c r="S261" s="46"/>
      <c r="T261" s="45"/>
      <c r="U261" s="45"/>
      <c r="V261" s="45"/>
      <c r="W261" s="47"/>
    </row>
    <row r="262" spans="1:23" ht="25.5" hidden="1" customHeight="1">
      <c r="A262" s="3"/>
      <c r="B262" s="3"/>
      <c r="C262" s="3"/>
      <c r="D262" s="3"/>
      <c r="E262" s="3"/>
      <c r="F262" s="40"/>
      <c r="G262" s="3"/>
      <c r="H262" s="41"/>
      <c r="I262" s="15"/>
      <c r="J262" s="15"/>
      <c r="K262" s="42"/>
      <c r="L262" s="73"/>
      <c r="M262" s="73"/>
      <c r="N262" s="43"/>
      <c r="O262" s="44"/>
      <c r="P262" s="45"/>
      <c r="Q262" s="45"/>
      <c r="R262" s="45"/>
      <c r="S262" s="46"/>
      <c r="T262" s="45"/>
      <c r="U262" s="45"/>
      <c r="V262" s="45"/>
      <c r="W262" s="47"/>
    </row>
    <row r="263" spans="1:23" ht="25.5" hidden="1" customHeight="1">
      <c r="A263" s="3"/>
      <c r="B263" s="3"/>
      <c r="C263" s="3"/>
      <c r="D263" s="3"/>
      <c r="E263" s="3"/>
      <c r="F263" s="40"/>
      <c r="G263" s="3"/>
      <c r="H263" s="41"/>
      <c r="I263" s="15"/>
      <c r="J263" s="15"/>
      <c r="K263" s="42"/>
      <c r="L263" s="73"/>
      <c r="M263" s="73"/>
      <c r="N263" s="43"/>
      <c r="O263" s="44"/>
      <c r="P263" s="45"/>
      <c r="Q263" s="45"/>
      <c r="R263" s="45"/>
      <c r="S263" s="46"/>
      <c r="T263" s="45"/>
      <c r="U263" s="45"/>
      <c r="V263" s="45"/>
      <c r="W263" s="47"/>
    </row>
    <row r="264" spans="1:23" ht="25.5" hidden="1" customHeight="1">
      <c r="A264" s="3"/>
      <c r="B264" s="3"/>
      <c r="C264" s="3"/>
      <c r="D264" s="3"/>
      <c r="E264" s="3"/>
      <c r="F264" s="40"/>
      <c r="G264" s="3"/>
      <c r="H264" s="41"/>
      <c r="I264" s="15"/>
      <c r="J264" s="15"/>
      <c r="K264" s="42"/>
      <c r="L264" s="73"/>
      <c r="M264" s="73"/>
      <c r="N264" s="43"/>
      <c r="O264" s="44"/>
      <c r="P264" s="45"/>
      <c r="Q264" s="45"/>
      <c r="R264" s="45"/>
      <c r="S264" s="46"/>
      <c r="T264" s="45"/>
      <c r="U264" s="45"/>
      <c r="V264" s="45"/>
      <c r="W264" s="47"/>
    </row>
    <row r="265" spans="1:23" ht="25.5" hidden="1" customHeight="1">
      <c r="A265" s="3"/>
      <c r="B265" s="3"/>
      <c r="C265" s="3"/>
      <c r="D265" s="3"/>
      <c r="E265" s="3"/>
      <c r="F265" s="40"/>
      <c r="G265" s="3"/>
      <c r="H265" s="41"/>
      <c r="I265" s="15"/>
      <c r="J265" s="15"/>
      <c r="K265" s="42"/>
      <c r="L265" s="73"/>
      <c r="M265" s="73"/>
      <c r="N265" s="43"/>
      <c r="O265" s="44"/>
      <c r="P265" s="45"/>
      <c r="Q265" s="45"/>
      <c r="R265" s="45"/>
      <c r="S265" s="46"/>
      <c r="T265" s="45"/>
      <c r="U265" s="45"/>
      <c r="V265" s="45"/>
      <c r="W265" s="47"/>
    </row>
    <row r="266" spans="1:23" ht="25.5" hidden="1" customHeight="1">
      <c r="A266" s="3"/>
      <c r="B266" s="3"/>
      <c r="C266" s="3"/>
      <c r="D266" s="3"/>
      <c r="E266" s="3"/>
      <c r="F266" s="40"/>
      <c r="G266" s="3"/>
      <c r="H266" s="41"/>
      <c r="I266" s="15"/>
      <c r="J266" s="15"/>
      <c r="K266" s="42"/>
      <c r="L266" s="73"/>
      <c r="M266" s="73"/>
      <c r="N266" s="43"/>
      <c r="O266" s="44"/>
      <c r="P266" s="45"/>
      <c r="Q266" s="45"/>
      <c r="R266" s="45"/>
      <c r="S266" s="46"/>
      <c r="T266" s="45"/>
      <c r="U266" s="45"/>
      <c r="V266" s="45"/>
      <c r="W266" s="47"/>
    </row>
    <row r="267" spans="1:23" ht="25.5" hidden="1" customHeight="1">
      <c r="A267" s="3"/>
      <c r="B267" s="3"/>
      <c r="C267" s="3"/>
      <c r="D267" s="3"/>
      <c r="E267" s="3"/>
      <c r="F267" s="40"/>
      <c r="G267" s="3"/>
      <c r="H267" s="41"/>
      <c r="I267" s="15"/>
      <c r="J267" s="15"/>
      <c r="K267" s="42"/>
      <c r="L267" s="73"/>
      <c r="M267" s="73"/>
      <c r="N267" s="43"/>
      <c r="O267" s="44"/>
      <c r="P267" s="45"/>
      <c r="Q267" s="45"/>
      <c r="R267" s="45"/>
      <c r="S267" s="46"/>
      <c r="T267" s="45"/>
      <c r="U267" s="45"/>
      <c r="V267" s="45"/>
      <c r="W267" s="47"/>
    </row>
    <row r="268" spans="1:23" ht="25.5" hidden="1" customHeight="1">
      <c r="A268" s="3"/>
      <c r="B268" s="3"/>
      <c r="C268" s="3"/>
      <c r="D268" s="3"/>
      <c r="E268" s="3"/>
      <c r="F268" s="40"/>
      <c r="G268" s="3"/>
      <c r="H268" s="41"/>
      <c r="I268" s="15"/>
      <c r="J268" s="15"/>
      <c r="K268" s="42"/>
      <c r="L268" s="73"/>
      <c r="M268" s="73"/>
      <c r="N268" s="43"/>
      <c r="O268" s="44"/>
      <c r="P268" s="45"/>
      <c r="Q268" s="45"/>
      <c r="R268" s="45"/>
      <c r="S268" s="46"/>
      <c r="T268" s="45"/>
      <c r="U268" s="45"/>
      <c r="V268" s="45"/>
      <c r="W268" s="47"/>
    </row>
    <row r="269" spans="1:23" ht="25.5" hidden="1" customHeight="1">
      <c r="A269" s="3"/>
      <c r="B269" s="3"/>
      <c r="C269" s="3"/>
      <c r="D269" s="3"/>
      <c r="E269" s="3"/>
      <c r="F269" s="40"/>
      <c r="G269" s="3"/>
      <c r="H269" s="41"/>
      <c r="I269" s="15"/>
      <c r="J269" s="15"/>
      <c r="K269" s="42"/>
      <c r="L269" s="73"/>
      <c r="M269" s="73"/>
      <c r="N269" s="43"/>
      <c r="O269" s="44"/>
      <c r="P269" s="45"/>
      <c r="Q269" s="45"/>
      <c r="R269" s="45"/>
      <c r="S269" s="46"/>
      <c r="T269" s="45"/>
      <c r="U269" s="45"/>
      <c r="V269" s="45"/>
      <c r="W269" s="47"/>
    </row>
    <row r="270" spans="1:23" ht="25.5" hidden="1" customHeight="1">
      <c r="A270" s="3"/>
      <c r="B270" s="3"/>
      <c r="C270" s="3"/>
      <c r="D270" s="3"/>
      <c r="E270" s="3"/>
      <c r="F270" s="40"/>
      <c r="G270" s="3"/>
      <c r="H270" s="41"/>
      <c r="I270" s="15"/>
      <c r="J270" s="15"/>
      <c r="K270" s="42"/>
      <c r="L270" s="73"/>
      <c r="M270" s="73"/>
      <c r="N270" s="43"/>
      <c r="O270" s="44"/>
      <c r="P270" s="45"/>
      <c r="Q270" s="45"/>
      <c r="R270" s="45"/>
      <c r="S270" s="46"/>
      <c r="T270" s="45"/>
      <c r="U270" s="45"/>
      <c r="V270" s="45"/>
      <c r="W270" s="47"/>
    </row>
    <row r="271" spans="1:23" ht="25.5" hidden="1" customHeight="1">
      <c r="A271" s="3"/>
      <c r="B271" s="3"/>
      <c r="C271" s="3"/>
      <c r="D271" s="3"/>
      <c r="E271" s="3"/>
      <c r="F271" s="40"/>
      <c r="G271" s="3"/>
      <c r="H271" s="41"/>
      <c r="I271" s="15"/>
      <c r="J271" s="15"/>
      <c r="K271" s="42"/>
      <c r="L271" s="73"/>
      <c r="M271" s="73"/>
      <c r="N271" s="43"/>
      <c r="O271" s="44"/>
      <c r="P271" s="45"/>
      <c r="Q271" s="45"/>
      <c r="R271" s="45"/>
      <c r="S271" s="46"/>
      <c r="T271" s="45"/>
      <c r="U271" s="45"/>
      <c r="V271" s="45"/>
      <c r="W271" s="47"/>
    </row>
    <row r="272" spans="1:23" ht="25.5" hidden="1" customHeight="1">
      <c r="A272" s="3"/>
      <c r="B272" s="3"/>
      <c r="C272" s="3"/>
      <c r="D272" s="3"/>
      <c r="E272" s="3"/>
      <c r="F272" s="40"/>
      <c r="G272" s="3"/>
      <c r="H272" s="41"/>
      <c r="I272" s="15"/>
      <c r="J272" s="15"/>
      <c r="K272" s="42"/>
      <c r="L272" s="73"/>
      <c r="M272" s="73"/>
      <c r="N272" s="43"/>
      <c r="O272" s="44"/>
      <c r="P272" s="45"/>
      <c r="Q272" s="45"/>
      <c r="R272" s="45"/>
      <c r="S272" s="46"/>
      <c r="T272" s="45"/>
      <c r="U272" s="45"/>
      <c r="V272" s="45"/>
      <c r="W272" s="47"/>
    </row>
    <row r="273" spans="1:23" ht="25.5" hidden="1" customHeight="1">
      <c r="A273" s="3"/>
      <c r="B273" s="3"/>
      <c r="C273" s="3"/>
      <c r="D273" s="3"/>
      <c r="E273" s="3"/>
      <c r="F273" s="40"/>
      <c r="G273" s="3"/>
      <c r="H273" s="41"/>
      <c r="I273" s="15"/>
      <c r="J273" s="15"/>
      <c r="K273" s="42"/>
      <c r="L273" s="73"/>
      <c r="M273" s="73"/>
      <c r="N273" s="43"/>
      <c r="O273" s="44"/>
      <c r="P273" s="45"/>
      <c r="Q273" s="45"/>
      <c r="R273" s="45"/>
      <c r="S273" s="46"/>
      <c r="T273" s="45"/>
      <c r="U273" s="45"/>
      <c r="V273" s="45"/>
      <c r="W273" s="47"/>
    </row>
    <row r="274" spans="1:23" ht="25.5" hidden="1" customHeight="1">
      <c r="A274" s="3"/>
      <c r="B274" s="3"/>
      <c r="C274" s="3"/>
      <c r="D274" s="3"/>
      <c r="E274" s="3"/>
      <c r="F274" s="40"/>
      <c r="G274" s="3"/>
      <c r="H274" s="41"/>
      <c r="I274" s="15"/>
      <c r="J274" s="15"/>
      <c r="K274" s="42"/>
      <c r="L274" s="73"/>
      <c r="M274" s="73"/>
      <c r="N274" s="43"/>
      <c r="O274" s="44"/>
      <c r="P274" s="45"/>
      <c r="Q274" s="45"/>
      <c r="R274" s="45"/>
      <c r="S274" s="46"/>
      <c r="T274" s="45"/>
      <c r="U274" s="45"/>
      <c r="V274" s="45"/>
      <c r="W274" s="47"/>
    </row>
    <row r="275" spans="1:23" ht="25.5" hidden="1" customHeight="1">
      <c r="A275" s="3"/>
      <c r="B275" s="3"/>
      <c r="C275" s="3"/>
      <c r="D275" s="3"/>
      <c r="E275" s="3"/>
      <c r="F275" s="40"/>
      <c r="G275" s="3"/>
      <c r="H275" s="41"/>
      <c r="I275" s="15"/>
      <c r="J275" s="15"/>
      <c r="K275" s="42"/>
      <c r="L275" s="73"/>
      <c r="M275" s="73"/>
      <c r="N275" s="43"/>
      <c r="O275" s="44"/>
      <c r="P275" s="45"/>
      <c r="Q275" s="45"/>
      <c r="R275" s="45"/>
      <c r="S275" s="46"/>
      <c r="T275" s="45"/>
      <c r="U275" s="45"/>
      <c r="V275" s="45"/>
      <c r="W275" s="47"/>
    </row>
    <row r="276" spans="1:23" ht="25.5" hidden="1" customHeight="1">
      <c r="A276" s="3"/>
      <c r="B276" s="3"/>
      <c r="C276" s="3"/>
      <c r="D276" s="3"/>
      <c r="E276" s="3"/>
      <c r="F276" s="40"/>
      <c r="G276" s="3"/>
      <c r="H276" s="41"/>
      <c r="I276" s="15"/>
      <c r="J276" s="15"/>
      <c r="K276" s="42"/>
      <c r="L276" s="73"/>
      <c r="M276" s="73"/>
      <c r="N276" s="43"/>
      <c r="O276" s="44"/>
      <c r="P276" s="45"/>
      <c r="Q276" s="45"/>
      <c r="R276" s="45"/>
      <c r="S276" s="46"/>
      <c r="T276" s="45"/>
      <c r="U276" s="45"/>
      <c r="V276" s="45"/>
      <c r="W276" s="47"/>
    </row>
    <row r="277" spans="1:23" ht="25.5" hidden="1" customHeight="1">
      <c r="A277" s="3"/>
      <c r="B277" s="3"/>
      <c r="C277" s="3"/>
      <c r="D277" s="3"/>
      <c r="E277" s="3"/>
      <c r="F277" s="40"/>
      <c r="G277" s="3"/>
      <c r="H277" s="41"/>
      <c r="I277" s="15"/>
      <c r="J277" s="15"/>
      <c r="K277" s="42"/>
      <c r="L277" s="73"/>
      <c r="M277" s="73"/>
      <c r="N277" s="43"/>
      <c r="O277" s="44"/>
      <c r="P277" s="45"/>
      <c r="Q277" s="45"/>
      <c r="R277" s="45"/>
      <c r="S277" s="46"/>
      <c r="T277" s="45"/>
      <c r="U277" s="45"/>
      <c r="V277" s="45"/>
      <c r="W277" s="47"/>
    </row>
    <row r="278" spans="1:23" ht="25.5" hidden="1" customHeight="1">
      <c r="A278" s="3"/>
      <c r="B278" s="3"/>
      <c r="C278" s="3"/>
      <c r="D278" s="3"/>
      <c r="E278" s="3"/>
      <c r="F278" s="40"/>
      <c r="G278" s="3"/>
      <c r="H278" s="41"/>
      <c r="I278" s="15"/>
      <c r="J278" s="15"/>
      <c r="K278" s="42"/>
      <c r="L278" s="73"/>
      <c r="M278" s="73"/>
      <c r="N278" s="43"/>
      <c r="O278" s="44"/>
      <c r="P278" s="45"/>
      <c r="Q278" s="45"/>
      <c r="R278" s="45"/>
      <c r="S278" s="46"/>
      <c r="T278" s="45"/>
      <c r="U278" s="45"/>
      <c r="V278" s="45"/>
      <c r="W278" s="47"/>
    </row>
    <row r="279" spans="1:23" ht="25.5" hidden="1" customHeight="1">
      <c r="A279" s="3"/>
      <c r="B279" s="3"/>
      <c r="C279" s="3"/>
      <c r="D279" s="3"/>
      <c r="E279" s="3"/>
      <c r="F279" s="40"/>
      <c r="G279" s="3"/>
      <c r="H279" s="41"/>
      <c r="I279" s="15"/>
      <c r="J279" s="15"/>
      <c r="K279" s="42"/>
      <c r="L279" s="73"/>
      <c r="M279" s="73"/>
      <c r="N279" s="43"/>
      <c r="O279" s="44"/>
      <c r="P279" s="45"/>
      <c r="Q279" s="45"/>
      <c r="R279" s="45"/>
      <c r="S279" s="46"/>
      <c r="T279" s="45"/>
      <c r="U279" s="45"/>
      <c r="V279" s="45"/>
      <c r="W279" s="47"/>
    </row>
    <row r="280" spans="1:23" ht="25.5" hidden="1" customHeight="1">
      <c r="A280" s="3"/>
      <c r="B280" s="3"/>
      <c r="C280" s="3"/>
      <c r="D280" s="3"/>
      <c r="E280" s="3"/>
      <c r="F280" s="40"/>
      <c r="G280" s="3"/>
      <c r="H280" s="41"/>
      <c r="I280" s="15"/>
      <c r="J280" s="15"/>
      <c r="K280" s="42"/>
      <c r="L280" s="73"/>
      <c r="M280" s="73"/>
      <c r="N280" s="43"/>
      <c r="O280" s="44"/>
      <c r="P280" s="45"/>
      <c r="Q280" s="45"/>
      <c r="R280" s="45"/>
      <c r="S280" s="46"/>
      <c r="T280" s="45"/>
      <c r="U280" s="45"/>
      <c r="V280" s="45"/>
      <c r="W280" s="47"/>
    </row>
    <row r="281" spans="1:23" ht="25.5" hidden="1" customHeight="1">
      <c r="A281" s="3"/>
      <c r="B281" s="3"/>
      <c r="C281" s="3"/>
      <c r="D281" s="3"/>
      <c r="E281" s="3"/>
      <c r="F281" s="40"/>
      <c r="G281" s="3"/>
      <c r="H281" s="41"/>
      <c r="I281" s="15"/>
      <c r="J281" s="15"/>
      <c r="K281" s="42"/>
      <c r="L281" s="73"/>
      <c r="M281" s="73"/>
      <c r="N281" s="43"/>
      <c r="O281" s="44"/>
      <c r="P281" s="45"/>
      <c r="Q281" s="45"/>
      <c r="R281" s="45"/>
      <c r="S281" s="46"/>
      <c r="T281" s="45"/>
      <c r="U281" s="45"/>
      <c r="V281" s="45"/>
      <c r="W281" s="47"/>
    </row>
    <row r="282" spans="1:23" ht="25.5" hidden="1" customHeight="1">
      <c r="A282" s="3"/>
      <c r="B282" s="3"/>
      <c r="C282" s="3"/>
      <c r="D282" s="3"/>
      <c r="E282" s="3"/>
      <c r="F282" s="40"/>
      <c r="G282" s="3"/>
      <c r="H282" s="41"/>
      <c r="I282" s="15"/>
      <c r="J282" s="15"/>
      <c r="K282" s="42"/>
      <c r="L282" s="73"/>
      <c r="M282" s="73"/>
      <c r="N282" s="43"/>
      <c r="O282" s="44"/>
      <c r="P282" s="45"/>
      <c r="Q282" s="45"/>
      <c r="R282" s="45"/>
      <c r="S282" s="46"/>
      <c r="T282" s="45"/>
      <c r="U282" s="45"/>
      <c r="V282" s="45"/>
      <c r="W282" s="47"/>
    </row>
    <row r="283" spans="1:23" ht="25.5" hidden="1" customHeight="1">
      <c r="A283" s="3"/>
      <c r="B283" s="3"/>
      <c r="C283" s="3"/>
      <c r="D283" s="3"/>
      <c r="E283" s="3"/>
      <c r="F283" s="40"/>
      <c r="G283" s="3"/>
      <c r="H283" s="41"/>
      <c r="I283" s="15"/>
      <c r="J283" s="15"/>
      <c r="K283" s="42"/>
      <c r="L283" s="73"/>
      <c r="M283" s="73"/>
      <c r="N283" s="43"/>
      <c r="O283" s="48"/>
      <c r="P283" s="49"/>
      <c r="Q283" s="49"/>
      <c r="R283" s="49"/>
      <c r="S283" s="50"/>
      <c r="T283" s="49"/>
      <c r="U283" s="49"/>
      <c r="V283" s="49"/>
      <c r="W283" s="51"/>
    </row>
    <row r="284" spans="1:23" ht="25.5" hidden="1" customHeight="1">
      <c r="A284" s="3"/>
      <c r="B284" s="3"/>
      <c r="C284" s="3"/>
      <c r="D284" s="3"/>
      <c r="E284" s="3"/>
      <c r="F284" s="40"/>
      <c r="G284" s="3"/>
      <c r="H284" s="41"/>
      <c r="I284" s="15"/>
      <c r="J284" s="15"/>
      <c r="K284" s="42"/>
      <c r="L284" s="73"/>
      <c r="M284" s="73"/>
      <c r="N284" s="43"/>
      <c r="O284" s="48"/>
      <c r="P284" s="49"/>
      <c r="Q284" s="49"/>
      <c r="R284" s="49"/>
      <c r="S284" s="50"/>
      <c r="T284" s="49"/>
      <c r="U284" s="49"/>
      <c r="V284" s="49"/>
      <c r="W284" s="51"/>
    </row>
    <row r="285" spans="1:23" ht="25.5" hidden="1" customHeight="1">
      <c r="A285" s="3"/>
      <c r="B285" s="3"/>
      <c r="C285" s="3"/>
      <c r="D285" s="3"/>
      <c r="E285" s="3"/>
      <c r="F285" s="40"/>
      <c r="G285" s="3"/>
      <c r="H285" s="41"/>
      <c r="I285" s="15"/>
      <c r="J285" s="15"/>
      <c r="K285" s="42"/>
      <c r="L285" s="73"/>
      <c r="M285" s="73"/>
      <c r="N285" s="43"/>
      <c r="O285" s="48"/>
      <c r="P285" s="49"/>
      <c r="Q285" s="49"/>
      <c r="R285" s="49"/>
      <c r="S285" s="50"/>
      <c r="T285" s="49"/>
      <c r="U285" s="49"/>
      <c r="V285" s="49"/>
      <c r="W285" s="51"/>
    </row>
    <row r="286" spans="1:23" ht="25.5" hidden="1" customHeight="1">
      <c r="A286" s="3"/>
      <c r="B286" s="3"/>
      <c r="C286" s="3"/>
      <c r="D286" s="3"/>
      <c r="E286" s="3"/>
      <c r="F286" s="40"/>
      <c r="G286" s="3"/>
      <c r="H286" s="41"/>
      <c r="I286" s="15"/>
      <c r="J286" s="15"/>
      <c r="K286" s="42"/>
      <c r="L286" s="73"/>
      <c r="M286" s="73"/>
      <c r="N286" s="43"/>
      <c r="O286" s="48"/>
      <c r="P286" s="49"/>
      <c r="Q286" s="49"/>
      <c r="R286" s="49"/>
      <c r="S286" s="50"/>
      <c r="T286" s="49"/>
      <c r="U286" s="49"/>
      <c r="V286" s="49"/>
      <c r="W286" s="51"/>
    </row>
    <row r="287" spans="1:23" ht="25.5" hidden="1" customHeight="1">
      <c r="A287" s="3"/>
      <c r="B287" s="3"/>
      <c r="C287" s="3"/>
      <c r="D287" s="3"/>
      <c r="E287" s="3"/>
      <c r="F287" s="40"/>
      <c r="G287" s="3"/>
      <c r="H287" s="41"/>
      <c r="I287" s="15"/>
      <c r="J287" s="15"/>
      <c r="K287" s="42"/>
      <c r="L287" s="73"/>
      <c r="M287" s="73"/>
      <c r="N287" s="43"/>
      <c r="O287" s="48"/>
      <c r="P287" s="49"/>
      <c r="Q287" s="49"/>
      <c r="R287" s="49"/>
      <c r="S287" s="50"/>
      <c r="T287" s="49"/>
      <c r="U287" s="49"/>
      <c r="V287" s="49"/>
      <c r="W287" s="51"/>
    </row>
    <row r="288" spans="1:23" ht="25.5" hidden="1" customHeight="1">
      <c r="A288" s="3"/>
      <c r="B288" s="3"/>
      <c r="C288" s="3"/>
      <c r="D288" s="3"/>
      <c r="E288" s="3"/>
      <c r="F288" s="40"/>
      <c r="G288" s="3"/>
      <c r="H288" s="41"/>
      <c r="I288" s="15"/>
      <c r="J288" s="15"/>
      <c r="K288" s="42"/>
      <c r="L288" s="73"/>
      <c r="M288" s="73"/>
      <c r="N288" s="43"/>
      <c r="O288" s="48"/>
      <c r="P288" s="49"/>
      <c r="Q288" s="49"/>
      <c r="R288" s="49"/>
      <c r="S288" s="50"/>
      <c r="T288" s="49"/>
      <c r="U288" s="49"/>
      <c r="V288" s="49"/>
      <c r="W288" s="51"/>
    </row>
    <row r="289" spans="1:23" ht="25.5" hidden="1" customHeight="1">
      <c r="A289" s="3"/>
      <c r="B289" s="3"/>
      <c r="C289" s="3"/>
      <c r="D289" s="3"/>
      <c r="E289" s="3"/>
      <c r="F289" s="40"/>
      <c r="G289" s="3"/>
      <c r="H289" s="41"/>
      <c r="I289" s="15"/>
      <c r="J289" s="15"/>
      <c r="K289" s="42"/>
      <c r="L289" s="73"/>
      <c r="M289" s="73"/>
      <c r="N289" s="43"/>
      <c r="O289" s="48"/>
      <c r="P289" s="49"/>
      <c r="Q289" s="49"/>
      <c r="R289" s="49"/>
      <c r="S289" s="50"/>
      <c r="T289" s="49"/>
      <c r="U289" s="49"/>
      <c r="V289" s="49"/>
      <c r="W289" s="51"/>
    </row>
    <row r="290" spans="1:23" ht="25.5" hidden="1" customHeight="1">
      <c r="A290" s="3"/>
      <c r="B290" s="3"/>
      <c r="C290" s="3"/>
      <c r="D290" s="3"/>
      <c r="E290" s="3"/>
      <c r="F290" s="40"/>
      <c r="G290" s="3"/>
      <c r="H290" s="41"/>
      <c r="I290" s="15"/>
      <c r="J290" s="15"/>
      <c r="K290" s="42"/>
      <c r="L290" s="73"/>
      <c r="M290" s="73"/>
      <c r="N290" s="43"/>
      <c r="O290" s="48"/>
      <c r="P290" s="49"/>
      <c r="Q290" s="49"/>
      <c r="R290" s="49"/>
      <c r="S290" s="50"/>
      <c r="T290" s="49"/>
      <c r="U290" s="49"/>
      <c r="V290" s="49"/>
      <c r="W290" s="51"/>
    </row>
    <row r="291" spans="1:23" ht="25.5" hidden="1" customHeight="1">
      <c r="A291" s="3"/>
      <c r="B291" s="3"/>
      <c r="C291" s="3"/>
      <c r="D291" s="3"/>
      <c r="E291" s="3"/>
      <c r="F291" s="40"/>
      <c r="G291" s="3"/>
      <c r="H291" s="41"/>
      <c r="I291" s="15"/>
      <c r="J291" s="15"/>
      <c r="K291" s="42"/>
      <c r="L291" s="73"/>
      <c r="M291" s="73"/>
      <c r="N291" s="43"/>
      <c r="O291" s="48"/>
      <c r="P291" s="49"/>
      <c r="Q291" s="49"/>
      <c r="R291" s="49"/>
      <c r="S291" s="50"/>
      <c r="T291" s="49"/>
      <c r="U291" s="49"/>
      <c r="V291" s="49"/>
      <c r="W291" s="51"/>
    </row>
    <row r="292" spans="1:23" ht="25.5" hidden="1" customHeight="1">
      <c r="A292" s="3"/>
      <c r="B292" s="3"/>
      <c r="C292" s="3"/>
      <c r="D292" s="3"/>
      <c r="E292" s="3"/>
      <c r="F292" s="40"/>
      <c r="G292" s="3"/>
      <c r="H292" s="41"/>
      <c r="I292" s="15"/>
      <c r="J292" s="15"/>
      <c r="K292" s="42"/>
      <c r="L292" s="73"/>
      <c r="M292" s="73"/>
      <c r="N292" s="43"/>
      <c r="O292" s="48"/>
      <c r="P292" s="49"/>
      <c r="Q292" s="49"/>
      <c r="R292" s="49"/>
      <c r="S292" s="50"/>
      <c r="T292" s="49"/>
      <c r="U292" s="49"/>
      <c r="V292" s="49"/>
      <c r="W292" s="51"/>
    </row>
    <row r="293" spans="1:23" ht="25.5" hidden="1" customHeight="1">
      <c r="A293" s="3"/>
      <c r="B293" s="3"/>
      <c r="C293" s="3"/>
      <c r="D293" s="3"/>
      <c r="E293" s="3"/>
      <c r="F293" s="40"/>
      <c r="G293" s="3"/>
      <c r="H293" s="41"/>
      <c r="I293" s="15"/>
      <c r="J293" s="15"/>
      <c r="K293" s="42"/>
      <c r="L293" s="73"/>
      <c r="M293" s="73"/>
      <c r="N293" s="43"/>
      <c r="O293" s="48"/>
      <c r="P293" s="49"/>
      <c r="Q293" s="49"/>
      <c r="R293" s="49"/>
      <c r="S293" s="50"/>
      <c r="T293" s="49"/>
      <c r="U293" s="49"/>
      <c r="V293" s="49"/>
      <c r="W293" s="51"/>
    </row>
    <row r="294" spans="1:23" ht="25.5" hidden="1" customHeight="1">
      <c r="A294" s="3"/>
      <c r="B294" s="3"/>
      <c r="C294" s="3"/>
      <c r="D294" s="3"/>
      <c r="E294" s="3"/>
      <c r="F294" s="40"/>
      <c r="G294" s="3"/>
      <c r="H294" s="41"/>
      <c r="I294" s="15"/>
      <c r="J294" s="15"/>
      <c r="K294" s="42"/>
      <c r="L294" s="73"/>
      <c r="M294" s="73"/>
      <c r="N294" s="43"/>
      <c r="O294" s="48"/>
      <c r="P294" s="49"/>
      <c r="Q294" s="49"/>
      <c r="R294" s="49"/>
      <c r="S294" s="50"/>
      <c r="T294" s="49"/>
      <c r="U294" s="49"/>
      <c r="V294" s="49"/>
      <c r="W294" s="51"/>
    </row>
    <row r="295" spans="1:23" ht="25.5" hidden="1" customHeight="1">
      <c r="A295" s="3"/>
      <c r="B295" s="3"/>
      <c r="C295" s="3"/>
      <c r="D295" s="3"/>
      <c r="E295" s="3"/>
      <c r="F295" s="40"/>
      <c r="G295" s="3"/>
      <c r="H295" s="41"/>
      <c r="I295" s="15"/>
      <c r="J295" s="15"/>
      <c r="K295" s="42"/>
      <c r="L295" s="73"/>
      <c r="M295" s="73"/>
      <c r="N295" s="43"/>
      <c r="O295" s="48"/>
      <c r="P295" s="49"/>
      <c r="Q295" s="49"/>
      <c r="R295" s="49"/>
      <c r="S295" s="50"/>
      <c r="T295" s="49"/>
      <c r="U295" s="49"/>
      <c r="V295" s="49"/>
      <c r="W295" s="51"/>
    </row>
    <row r="296" spans="1:23" ht="25.5" hidden="1" customHeight="1">
      <c r="A296" s="3"/>
      <c r="B296" s="3"/>
      <c r="C296" s="3"/>
      <c r="D296" s="3"/>
      <c r="E296" s="3"/>
      <c r="F296" s="40"/>
      <c r="G296" s="3"/>
      <c r="H296" s="41"/>
      <c r="I296" s="15"/>
      <c r="J296" s="15"/>
      <c r="K296" s="42"/>
      <c r="L296" s="73"/>
      <c r="M296" s="73"/>
      <c r="N296" s="43"/>
      <c r="O296" s="48"/>
      <c r="P296" s="49"/>
      <c r="Q296" s="49"/>
      <c r="R296" s="49"/>
      <c r="S296" s="50"/>
      <c r="T296" s="49"/>
      <c r="U296" s="49"/>
      <c r="V296" s="49"/>
      <c r="W296" s="51"/>
    </row>
    <row r="297" spans="1:23" ht="25.5" hidden="1" customHeight="1">
      <c r="A297" s="3"/>
      <c r="B297" s="3"/>
      <c r="C297" s="3"/>
      <c r="D297" s="3"/>
      <c r="E297" s="3"/>
      <c r="F297" s="40"/>
      <c r="G297" s="3"/>
      <c r="H297" s="41"/>
      <c r="I297" s="15"/>
      <c r="J297" s="15"/>
      <c r="K297" s="42"/>
      <c r="L297" s="73"/>
      <c r="M297" s="73"/>
      <c r="N297" s="43"/>
      <c r="O297" s="48"/>
      <c r="P297" s="49"/>
      <c r="Q297" s="49"/>
      <c r="R297" s="49"/>
      <c r="S297" s="50"/>
      <c r="T297" s="49"/>
      <c r="U297" s="49"/>
      <c r="V297" s="49"/>
      <c r="W297" s="51"/>
    </row>
    <row r="298" spans="1:23" ht="25.5" hidden="1" customHeight="1">
      <c r="A298" s="3"/>
      <c r="B298" s="3"/>
      <c r="C298" s="3"/>
      <c r="D298" s="3"/>
      <c r="E298" s="3"/>
      <c r="F298" s="40"/>
      <c r="G298" s="3"/>
      <c r="H298" s="41"/>
      <c r="I298" s="15"/>
      <c r="J298" s="15"/>
      <c r="K298" s="42"/>
      <c r="L298" s="73"/>
      <c r="M298" s="73"/>
      <c r="N298" s="43"/>
      <c r="O298" s="48"/>
      <c r="P298" s="49"/>
      <c r="Q298" s="49"/>
      <c r="R298" s="49"/>
      <c r="S298" s="50"/>
      <c r="T298" s="49"/>
      <c r="U298" s="49"/>
      <c r="V298" s="49"/>
      <c r="W298" s="51"/>
    </row>
    <row r="299" spans="1:23" ht="25.5" hidden="1" customHeight="1">
      <c r="A299" s="3"/>
      <c r="B299" s="3"/>
      <c r="C299" s="3"/>
      <c r="D299" s="3"/>
      <c r="E299" s="3"/>
      <c r="F299" s="40"/>
      <c r="G299" s="3"/>
      <c r="H299" s="41"/>
      <c r="I299" s="15"/>
      <c r="J299" s="15"/>
      <c r="K299" s="42"/>
      <c r="L299" s="73"/>
      <c r="M299" s="73"/>
      <c r="N299" s="43"/>
      <c r="O299" s="48"/>
      <c r="P299" s="49"/>
      <c r="Q299" s="49"/>
      <c r="R299" s="49"/>
      <c r="S299" s="50"/>
      <c r="T299" s="49"/>
      <c r="U299" s="49"/>
      <c r="V299" s="49"/>
      <c r="W299" s="51"/>
    </row>
    <row r="300" spans="1:23" ht="25.5" hidden="1" customHeight="1">
      <c r="A300" s="3"/>
      <c r="B300" s="3"/>
      <c r="C300" s="3"/>
      <c r="D300" s="3"/>
      <c r="E300" s="3"/>
      <c r="F300" s="40"/>
      <c r="G300" s="3"/>
      <c r="H300" s="41"/>
      <c r="I300" s="15"/>
      <c r="J300" s="15"/>
      <c r="K300" s="42"/>
      <c r="L300" s="73"/>
      <c r="M300" s="73"/>
      <c r="N300" s="43"/>
      <c r="O300" s="48"/>
      <c r="P300" s="49"/>
      <c r="Q300" s="49"/>
      <c r="R300" s="49"/>
      <c r="S300" s="50"/>
      <c r="T300" s="49"/>
      <c r="U300" s="49"/>
      <c r="V300" s="49"/>
      <c r="W300" s="51"/>
    </row>
    <row r="301" spans="1:23" ht="25.5" hidden="1" customHeight="1">
      <c r="A301" s="3"/>
      <c r="B301" s="3"/>
      <c r="C301" s="3"/>
      <c r="D301" s="3"/>
      <c r="E301" s="3"/>
      <c r="F301" s="40"/>
      <c r="G301" s="3"/>
      <c r="H301" s="41"/>
      <c r="I301" s="15"/>
      <c r="J301" s="15"/>
      <c r="K301" s="42"/>
      <c r="L301" s="73"/>
      <c r="M301" s="73"/>
      <c r="N301" s="43"/>
      <c r="O301" s="48"/>
      <c r="P301" s="49"/>
      <c r="Q301" s="49"/>
      <c r="R301" s="49"/>
      <c r="S301" s="50"/>
      <c r="T301" s="49"/>
      <c r="U301" s="49"/>
      <c r="V301" s="49"/>
      <c r="W301" s="51"/>
    </row>
    <row r="302" spans="1:23" ht="25.5" hidden="1" customHeight="1">
      <c r="A302" s="3"/>
      <c r="B302" s="3"/>
      <c r="C302" s="3"/>
      <c r="D302" s="3"/>
      <c r="E302" s="3"/>
      <c r="F302" s="40"/>
      <c r="G302" s="3"/>
      <c r="H302" s="41"/>
      <c r="I302" s="15"/>
      <c r="J302" s="15"/>
      <c r="K302" s="42"/>
      <c r="L302" s="73"/>
      <c r="M302" s="73"/>
      <c r="N302" s="43"/>
      <c r="O302" s="48"/>
      <c r="P302" s="49"/>
      <c r="Q302" s="49"/>
      <c r="R302" s="49"/>
      <c r="S302" s="50"/>
      <c r="T302" s="49"/>
      <c r="U302" s="49"/>
      <c r="V302" s="49"/>
      <c r="W302" s="51"/>
    </row>
    <row r="303" spans="1:23" ht="25.5" hidden="1" customHeight="1">
      <c r="A303" s="3"/>
      <c r="B303" s="3"/>
      <c r="C303" s="3"/>
      <c r="D303" s="3"/>
      <c r="E303" s="3"/>
      <c r="F303" s="40"/>
      <c r="G303" s="3"/>
      <c r="H303" s="41"/>
      <c r="I303" s="15"/>
      <c r="J303" s="15"/>
      <c r="K303" s="42"/>
      <c r="L303" s="73"/>
      <c r="M303" s="73"/>
      <c r="N303" s="43"/>
      <c r="O303" s="48"/>
      <c r="P303" s="49"/>
      <c r="Q303" s="49"/>
      <c r="R303" s="49"/>
      <c r="S303" s="50"/>
      <c r="T303" s="49"/>
      <c r="U303" s="49"/>
      <c r="V303" s="49"/>
      <c r="W303" s="51"/>
    </row>
    <row r="304" spans="1:23" ht="25.5" hidden="1" customHeight="1">
      <c r="A304" s="3"/>
      <c r="B304" s="3"/>
      <c r="C304" s="3"/>
      <c r="D304" s="3"/>
      <c r="E304" s="3"/>
      <c r="F304" s="40"/>
      <c r="G304" s="3"/>
      <c r="H304" s="41"/>
      <c r="I304" s="15"/>
      <c r="J304" s="15"/>
      <c r="K304" s="42"/>
      <c r="L304" s="73"/>
      <c r="M304" s="73"/>
      <c r="N304" s="43"/>
      <c r="O304" s="48"/>
      <c r="P304" s="49"/>
      <c r="Q304" s="49"/>
      <c r="R304" s="49"/>
      <c r="S304" s="50"/>
      <c r="T304" s="49"/>
      <c r="U304" s="49"/>
      <c r="V304" s="49"/>
      <c r="W304" s="51"/>
    </row>
    <row r="305" spans="1:23" ht="25.5" hidden="1" customHeight="1">
      <c r="A305" s="3"/>
      <c r="B305" s="3"/>
      <c r="C305" s="3"/>
      <c r="D305" s="3"/>
      <c r="E305" s="3"/>
      <c r="F305" s="40"/>
      <c r="G305" s="3"/>
      <c r="H305" s="41"/>
      <c r="I305" s="15"/>
      <c r="J305" s="15"/>
      <c r="K305" s="42"/>
      <c r="L305" s="73"/>
      <c r="M305" s="73"/>
      <c r="N305" s="43"/>
      <c r="O305" s="48"/>
      <c r="P305" s="49"/>
      <c r="Q305" s="49"/>
      <c r="R305" s="49"/>
      <c r="S305" s="50"/>
      <c r="T305" s="49"/>
      <c r="U305" s="49"/>
      <c r="V305" s="49"/>
      <c r="W305" s="51"/>
    </row>
    <row r="306" spans="1:23" ht="25.5" hidden="1" customHeight="1">
      <c r="A306" s="3"/>
      <c r="B306" s="3"/>
      <c r="C306" s="3"/>
      <c r="D306" s="3"/>
      <c r="E306" s="3"/>
      <c r="F306" s="40"/>
      <c r="G306" s="3"/>
      <c r="H306" s="41"/>
      <c r="I306" s="15"/>
      <c r="J306" s="15"/>
      <c r="K306" s="42"/>
      <c r="L306" s="73"/>
      <c r="M306" s="73"/>
      <c r="N306" s="43"/>
      <c r="O306" s="48"/>
      <c r="P306" s="49"/>
      <c r="Q306" s="49"/>
      <c r="R306" s="49"/>
      <c r="S306" s="50"/>
      <c r="T306" s="49"/>
      <c r="U306" s="49"/>
      <c r="V306" s="49"/>
      <c r="W306" s="51"/>
    </row>
    <row r="307" spans="1:23" ht="25.5" hidden="1" customHeight="1">
      <c r="A307" s="3"/>
      <c r="B307" s="3"/>
      <c r="C307" s="3"/>
      <c r="D307" s="3"/>
      <c r="E307" s="3"/>
      <c r="F307" s="40"/>
      <c r="G307" s="3"/>
      <c r="H307" s="41"/>
      <c r="I307" s="15"/>
      <c r="J307" s="15"/>
      <c r="K307" s="42"/>
      <c r="L307" s="73"/>
      <c r="M307" s="73"/>
      <c r="N307" s="43"/>
      <c r="O307" s="48"/>
      <c r="P307" s="49"/>
      <c r="Q307" s="49"/>
      <c r="R307" s="49"/>
      <c r="S307" s="50"/>
      <c r="T307" s="49"/>
      <c r="U307" s="49"/>
      <c r="V307" s="49"/>
      <c r="W307" s="51"/>
    </row>
    <row r="308" spans="1:23" ht="25.5" hidden="1" customHeight="1">
      <c r="A308" s="3"/>
      <c r="B308" s="3"/>
      <c r="C308" s="3"/>
      <c r="D308" s="3"/>
      <c r="E308" s="3"/>
      <c r="F308" s="40"/>
      <c r="G308" s="3"/>
      <c r="H308" s="41"/>
      <c r="I308" s="15"/>
      <c r="J308" s="15"/>
      <c r="K308" s="42"/>
      <c r="L308" s="73"/>
      <c r="M308" s="73"/>
      <c r="N308" s="43"/>
      <c r="O308" s="48"/>
      <c r="P308" s="49"/>
      <c r="Q308" s="49"/>
      <c r="R308" s="49"/>
      <c r="S308" s="50"/>
      <c r="T308" s="49"/>
      <c r="U308" s="49"/>
      <c r="V308" s="49"/>
      <c r="W308" s="51"/>
    </row>
    <row r="309" spans="1:23" ht="25.5" hidden="1" customHeight="1">
      <c r="A309" s="3"/>
      <c r="B309" s="3"/>
      <c r="C309" s="3"/>
      <c r="D309" s="3"/>
      <c r="E309" s="3"/>
      <c r="F309" s="40"/>
      <c r="G309" s="3"/>
      <c r="H309" s="41"/>
      <c r="I309" s="15"/>
      <c r="J309" s="15"/>
      <c r="K309" s="42"/>
      <c r="L309" s="73"/>
      <c r="M309" s="73"/>
      <c r="N309" s="43"/>
      <c r="O309" s="48"/>
      <c r="P309" s="49"/>
      <c r="Q309" s="49"/>
      <c r="R309" s="49"/>
      <c r="S309" s="50"/>
      <c r="T309" s="49"/>
      <c r="U309" s="49"/>
      <c r="V309" s="49"/>
      <c r="W309" s="51"/>
    </row>
    <row r="310" spans="1:23" ht="25.5" hidden="1" customHeight="1">
      <c r="A310" s="3"/>
      <c r="B310" s="3"/>
      <c r="C310" s="3"/>
      <c r="D310" s="3"/>
      <c r="E310" s="3"/>
      <c r="F310" s="40"/>
      <c r="G310" s="3"/>
      <c r="H310" s="41"/>
      <c r="I310" s="15"/>
      <c r="J310" s="15"/>
      <c r="K310" s="42"/>
      <c r="L310" s="73"/>
      <c r="M310" s="73"/>
      <c r="N310" s="43"/>
      <c r="O310" s="48"/>
      <c r="P310" s="49"/>
      <c r="Q310" s="49"/>
      <c r="R310" s="49"/>
      <c r="S310" s="50"/>
      <c r="T310" s="49"/>
      <c r="U310" s="49"/>
      <c r="V310" s="49"/>
      <c r="W310" s="51"/>
    </row>
    <row r="311" spans="1:23" ht="25.5" hidden="1" customHeight="1">
      <c r="A311" s="3"/>
      <c r="B311" s="3"/>
      <c r="C311" s="3"/>
      <c r="D311" s="3"/>
      <c r="E311" s="3"/>
      <c r="F311" s="40"/>
      <c r="G311" s="3"/>
      <c r="H311" s="41"/>
      <c r="I311" s="15"/>
      <c r="J311" s="15"/>
      <c r="K311" s="42"/>
      <c r="L311" s="73"/>
      <c r="M311" s="73"/>
      <c r="N311" s="43"/>
      <c r="O311" s="48"/>
      <c r="P311" s="49"/>
      <c r="Q311" s="49"/>
      <c r="R311" s="49"/>
      <c r="S311" s="50"/>
      <c r="T311" s="49"/>
      <c r="U311" s="49"/>
      <c r="V311" s="49"/>
      <c r="W311" s="51"/>
    </row>
    <row r="312" spans="1:23" ht="25.5" hidden="1" customHeight="1">
      <c r="A312" s="3"/>
      <c r="B312" s="3"/>
      <c r="C312" s="3"/>
      <c r="D312" s="3"/>
      <c r="E312" s="3"/>
      <c r="F312" s="40"/>
      <c r="G312" s="3"/>
      <c r="H312" s="41"/>
      <c r="I312" s="15"/>
      <c r="J312" s="15"/>
      <c r="K312" s="42"/>
      <c r="L312" s="73"/>
      <c r="M312" s="73"/>
      <c r="N312" s="43"/>
      <c r="O312" s="48"/>
      <c r="P312" s="49"/>
      <c r="Q312" s="49"/>
      <c r="R312" s="49"/>
      <c r="S312" s="50"/>
      <c r="T312" s="49"/>
      <c r="U312" s="49"/>
      <c r="V312" s="49"/>
      <c r="W312" s="51"/>
    </row>
    <row r="313" spans="1:23" ht="25.5" hidden="1" customHeight="1">
      <c r="A313" s="3"/>
      <c r="B313" s="3"/>
      <c r="C313" s="3"/>
      <c r="D313" s="3"/>
      <c r="E313" s="3"/>
      <c r="F313" s="40"/>
      <c r="G313" s="3"/>
      <c r="H313" s="41"/>
      <c r="I313" s="15"/>
      <c r="J313" s="15"/>
      <c r="K313" s="42"/>
      <c r="L313" s="73"/>
      <c r="M313" s="73"/>
      <c r="N313" s="43"/>
      <c r="O313" s="48"/>
      <c r="P313" s="49"/>
      <c r="Q313" s="49"/>
      <c r="R313" s="49"/>
      <c r="S313" s="50"/>
      <c r="T313" s="49"/>
      <c r="U313" s="49"/>
      <c r="V313" s="49"/>
      <c r="W313" s="51"/>
    </row>
    <row r="314" spans="1:23" ht="25.5" hidden="1" customHeight="1">
      <c r="A314" s="3"/>
      <c r="B314" s="3"/>
      <c r="C314" s="3"/>
      <c r="D314" s="3"/>
      <c r="E314" s="3"/>
      <c r="F314" s="40"/>
      <c r="G314" s="3"/>
      <c r="H314" s="41"/>
      <c r="I314" s="15"/>
      <c r="J314" s="15"/>
      <c r="K314" s="42"/>
      <c r="L314" s="73"/>
      <c r="M314" s="73"/>
      <c r="N314" s="43"/>
      <c r="O314" s="48"/>
      <c r="P314" s="49"/>
      <c r="Q314" s="49"/>
      <c r="R314" s="49"/>
      <c r="S314" s="50"/>
      <c r="T314" s="49"/>
      <c r="U314" s="49"/>
      <c r="V314" s="49"/>
      <c r="W314" s="51"/>
    </row>
    <row r="315" spans="1:23" ht="25.5" hidden="1" customHeight="1">
      <c r="A315" s="3"/>
      <c r="B315" s="3"/>
      <c r="C315" s="3"/>
      <c r="D315" s="3"/>
      <c r="E315" s="3"/>
      <c r="F315" s="40"/>
      <c r="G315" s="3"/>
      <c r="H315" s="41"/>
      <c r="I315" s="15"/>
      <c r="J315" s="15"/>
      <c r="K315" s="42"/>
      <c r="L315" s="73"/>
      <c r="M315" s="73"/>
      <c r="N315" s="43"/>
      <c r="O315" s="48"/>
      <c r="P315" s="49"/>
      <c r="Q315" s="49"/>
      <c r="R315" s="49"/>
      <c r="S315" s="50"/>
      <c r="T315" s="49"/>
      <c r="U315" s="49"/>
      <c r="V315" s="49"/>
      <c r="W315" s="51"/>
    </row>
    <row r="316" spans="1:23" ht="25.5" hidden="1" customHeight="1">
      <c r="A316" s="3"/>
      <c r="B316" s="3"/>
      <c r="C316" s="3"/>
      <c r="D316" s="3"/>
      <c r="E316" s="3"/>
      <c r="F316" s="40"/>
      <c r="G316" s="3"/>
      <c r="H316" s="41"/>
      <c r="I316" s="15"/>
      <c r="J316" s="15"/>
      <c r="K316" s="42"/>
      <c r="L316" s="73"/>
      <c r="M316" s="73"/>
      <c r="N316" s="43"/>
      <c r="O316" s="48"/>
      <c r="P316" s="49"/>
      <c r="Q316" s="49"/>
      <c r="R316" s="49"/>
      <c r="S316" s="50"/>
      <c r="T316" s="49"/>
      <c r="U316" s="49"/>
      <c r="V316" s="49"/>
      <c r="W316" s="51"/>
    </row>
    <row r="317" spans="1:23" ht="25.5" hidden="1" customHeight="1">
      <c r="A317" s="3"/>
      <c r="B317" s="3"/>
      <c r="C317" s="3"/>
      <c r="D317" s="3"/>
      <c r="E317" s="3"/>
      <c r="F317" s="40"/>
      <c r="G317" s="3"/>
      <c r="H317" s="41"/>
      <c r="I317" s="15"/>
      <c r="J317" s="15"/>
      <c r="K317" s="42"/>
      <c r="L317" s="73"/>
      <c r="M317" s="73"/>
      <c r="N317" s="43"/>
      <c r="O317" s="48"/>
      <c r="P317" s="49"/>
      <c r="Q317" s="49"/>
      <c r="R317" s="49"/>
      <c r="S317" s="50"/>
      <c r="T317" s="49"/>
      <c r="U317" s="49"/>
      <c r="V317" s="49"/>
      <c r="W317" s="51"/>
    </row>
    <row r="318" spans="1:23" ht="25.5" hidden="1" customHeight="1">
      <c r="A318" s="3"/>
      <c r="B318" s="3"/>
      <c r="C318" s="3"/>
      <c r="D318" s="3"/>
      <c r="E318" s="3"/>
      <c r="F318" s="40"/>
      <c r="G318" s="3"/>
      <c r="H318" s="41"/>
      <c r="I318" s="15"/>
      <c r="J318" s="15"/>
      <c r="K318" s="42"/>
      <c r="L318" s="73"/>
      <c r="M318" s="73"/>
      <c r="N318" s="43"/>
      <c r="O318" s="48"/>
      <c r="P318" s="49"/>
      <c r="Q318" s="49"/>
      <c r="R318" s="49"/>
      <c r="S318" s="50"/>
      <c r="T318" s="49"/>
      <c r="U318" s="49"/>
      <c r="V318" s="49"/>
      <c r="W318" s="51"/>
    </row>
    <row r="319" spans="1:23" ht="25.5" hidden="1" customHeight="1">
      <c r="A319" s="3"/>
      <c r="B319" s="3"/>
      <c r="C319" s="3"/>
      <c r="D319" s="3"/>
      <c r="E319" s="3"/>
      <c r="F319" s="40"/>
      <c r="G319" s="3"/>
      <c r="H319" s="41"/>
      <c r="I319" s="15"/>
      <c r="J319" s="15"/>
      <c r="K319" s="42"/>
      <c r="L319" s="73"/>
      <c r="M319" s="73"/>
      <c r="N319" s="43"/>
      <c r="O319" s="48"/>
      <c r="P319" s="49"/>
      <c r="Q319" s="49"/>
      <c r="R319" s="49"/>
      <c r="S319" s="50"/>
      <c r="T319" s="49"/>
      <c r="U319" s="49"/>
      <c r="V319" s="49"/>
      <c r="W319" s="51"/>
    </row>
    <row r="320" spans="1:23" ht="25.5" hidden="1" customHeight="1">
      <c r="A320" s="3"/>
      <c r="B320" s="3"/>
      <c r="C320" s="3"/>
      <c r="D320" s="3"/>
      <c r="E320" s="3"/>
      <c r="F320" s="40"/>
      <c r="G320" s="3"/>
      <c r="H320" s="41"/>
      <c r="I320" s="15"/>
      <c r="J320" s="15"/>
      <c r="K320" s="42"/>
      <c r="L320" s="73"/>
      <c r="M320" s="73"/>
      <c r="N320" s="43"/>
      <c r="O320" s="48"/>
      <c r="P320" s="49"/>
      <c r="Q320" s="49"/>
      <c r="R320" s="49"/>
      <c r="S320" s="50"/>
      <c r="T320" s="49"/>
      <c r="U320" s="49"/>
      <c r="V320" s="49"/>
      <c r="W320" s="51"/>
    </row>
    <row r="321" spans="1:23" ht="25.5" hidden="1" customHeight="1">
      <c r="A321" s="3"/>
      <c r="B321" s="3"/>
      <c r="C321" s="3"/>
      <c r="D321" s="3"/>
      <c r="E321" s="3"/>
      <c r="F321" s="40"/>
      <c r="G321" s="3"/>
      <c r="H321" s="41"/>
      <c r="I321" s="15"/>
      <c r="J321" s="15"/>
      <c r="K321" s="42"/>
      <c r="L321" s="73"/>
      <c r="M321" s="73"/>
      <c r="N321" s="43"/>
      <c r="O321" s="48"/>
      <c r="P321" s="49"/>
      <c r="Q321" s="49"/>
      <c r="R321" s="49"/>
      <c r="S321" s="50"/>
      <c r="T321" s="49"/>
      <c r="U321" s="49"/>
      <c r="V321" s="49"/>
      <c r="W321" s="51"/>
    </row>
    <row r="322" spans="1:23" ht="25.5" hidden="1" customHeight="1">
      <c r="A322" s="3"/>
      <c r="B322" s="3"/>
      <c r="C322" s="3"/>
      <c r="D322" s="3"/>
      <c r="E322" s="3"/>
      <c r="F322" s="40"/>
      <c r="G322" s="3"/>
      <c r="H322" s="41"/>
      <c r="I322" s="15"/>
      <c r="J322" s="15"/>
      <c r="K322" s="42"/>
      <c r="L322" s="73"/>
      <c r="M322" s="73"/>
      <c r="N322" s="43"/>
      <c r="O322" s="48"/>
      <c r="P322" s="49"/>
      <c r="Q322" s="49"/>
      <c r="R322" s="49"/>
      <c r="S322" s="50"/>
      <c r="T322" s="49"/>
      <c r="U322" s="49"/>
      <c r="V322" s="49"/>
      <c r="W322" s="51"/>
    </row>
    <row r="323" spans="1:23" ht="25.5" hidden="1" customHeight="1">
      <c r="A323" s="3"/>
      <c r="B323" s="3"/>
      <c r="C323" s="3"/>
      <c r="D323" s="3"/>
      <c r="E323" s="3"/>
      <c r="F323" s="40"/>
      <c r="G323" s="3"/>
      <c r="H323" s="41"/>
      <c r="I323" s="15"/>
      <c r="J323" s="15"/>
      <c r="K323" s="42"/>
      <c r="L323" s="73"/>
      <c r="M323" s="73"/>
      <c r="N323" s="43"/>
      <c r="O323" s="48"/>
      <c r="P323" s="49"/>
      <c r="Q323" s="49"/>
      <c r="R323" s="49"/>
      <c r="S323" s="50"/>
      <c r="T323" s="49"/>
      <c r="U323" s="49"/>
      <c r="V323" s="49"/>
      <c r="W323" s="51"/>
    </row>
    <row r="324" spans="1:23" ht="25.5" hidden="1" customHeight="1">
      <c r="A324" s="3"/>
      <c r="B324" s="3"/>
      <c r="C324" s="3"/>
      <c r="D324" s="3"/>
      <c r="E324" s="3"/>
      <c r="F324" s="40"/>
      <c r="G324" s="3"/>
      <c r="H324" s="41"/>
      <c r="I324" s="15"/>
      <c r="J324" s="15"/>
      <c r="K324" s="42"/>
      <c r="L324" s="73"/>
      <c r="M324" s="73"/>
      <c r="N324" s="43"/>
      <c r="O324" s="48"/>
      <c r="P324" s="49"/>
      <c r="Q324" s="49"/>
      <c r="R324" s="49"/>
      <c r="S324" s="50"/>
      <c r="T324" s="49"/>
      <c r="U324" s="49"/>
      <c r="V324" s="49"/>
      <c r="W324" s="51"/>
    </row>
    <row r="325" spans="1:23" ht="25.5" hidden="1" customHeight="1">
      <c r="A325" s="3"/>
      <c r="B325" s="3"/>
      <c r="C325" s="3"/>
      <c r="D325" s="3"/>
      <c r="E325" s="3"/>
      <c r="F325" s="40"/>
      <c r="G325" s="3"/>
      <c r="H325" s="41"/>
      <c r="I325" s="15"/>
      <c r="J325" s="15"/>
      <c r="K325" s="42"/>
      <c r="L325" s="73"/>
      <c r="M325" s="73"/>
      <c r="N325" s="43"/>
      <c r="O325" s="48"/>
      <c r="P325" s="49"/>
      <c r="Q325" s="49"/>
      <c r="R325" s="49"/>
      <c r="S325" s="50"/>
      <c r="T325" s="49"/>
      <c r="U325" s="49"/>
      <c r="V325" s="49"/>
      <c r="W325" s="51"/>
    </row>
    <row r="326" spans="1:23" ht="25.5" hidden="1" customHeight="1">
      <c r="A326" s="3"/>
      <c r="B326" s="3"/>
      <c r="C326" s="3"/>
      <c r="D326" s="3"/>
      <c r="E326" s="3"/>
      <c r="F326" s="40"/>
      <c r="G326" s="3"/>
      <c r="H326" s="41"/>
      <c r="I326" s="15"/>
      <c r="J326" s="15"/>
      <c r="K326" s="42"/>
      <c r="L326" s="73"/>
      <c r="M326" s="73"/>
      <c r="N326" s="43"/>
      <c r="O326" s="48"/>
      <c r="P326" s="49"/>
      <c r="Q326" s="49"/>
      <c r="R326" s="49"/>
      <c r="S326" s="50"/>
      <c r="T326" s="49"/>
      <c r="U326" s="49"/>
      <c r="V326" s="49"/>
      <c r="W326" s="51"/>
    </row>
    <row r="327" spans="1:23" ht="25.5" hidden="1" customHeight="1">
      <c r="A327" s="3"/>
      <c r="B327" s="3"/>
      <c r="C327" s="3"/>
      <c r="D327" s="3"/>
      <c r="E327" s="3"/>
      <c r="F327" s="40"/>
      <c r="G327" s="3"/>
      <c r="H327" s="41"/>
      <c r="I327" s="15"/>
      <c r="J327" s="15"/>
      <c r="K327" s="42"/>
      <c r="L327" s="73"/>
      <c r="M327" s="73"/>
      <c r="N327" s="43"/>
      <c r="O327" s="48"/>
      <c r="P327" s="49"/>
      <c r="Q327" s="49"/>
      <c r="R327" s="49"/>
      <c r="S327" s="50"/>
      <c r="T327" s="49"/>
      <c r="U327" s="49"/>
      <c r="V327" s="49"/>
      <c r="W327" s="51"/>
    </row>
    <row r="328" spans="1:23" ht="25.5" hidden="1" customHeight="1">
      <c r="A328" s="3"/>
      <c r="B328" s="3"/>
      <c r="C328" s="3"/>
      <c r="D328" s="3"/>
      <c r="E328" s="3"/>
      <c r="F328" s="40"/>
      <c r="G328" s="3"/>
      <c r="H328" s="41"/>
      <c r="I328" s="15"/>
      <c r="J328" s="15"/>
      <c r="K328" s="42"/>
      <c r="L328" s="73"/>
      <c r="M328" s="73"/>
      <c r="N328" s="43"/>
      <c r="O328" s="48"/>
      <c r="P328" s="49"/>
      <c r="Q328" s="49"/>
      <c r="R328" s="49"/>
      <c r="S328" s="50"/>
      <c r="T328" s="49"/>
      <c r="U328" s="49"/>
      <c r="V328" s="49"/>
      <c r="W328" s="51"/>
    </row>
    <row r="329" spans="1:23" ht="25.5" hidden="1" customHeight="1">
      <c r="A329" s="3"/>
      <c r="B329" s="3"/>
      <c r="C329" s="3"/>
      <c r="D329" s="3"/>
      <c r="E329" s="3"/>
      <c r="F329" s="40"/>
      <c r="G329" s="3"/>
      <c r="H329" s="41"/>
      <c r="I329" s="15"/>
      <c r="J329" s="15"/>
      <c r="K329" s="42"/>
      <c r="L329" s="73"/>
      <c r="M329" s="73"/>
      <c r="N329" s="43"/>
      <c r="O329" s="48"/>
      <c r="P329" s="49"/>
      <c r="Q329" s="49"/>
      <c r="R329" s="49"/>
      <c r="S329" s="50"/>
      <c r="T329" s="49"/>
      <c r="U329" s="49"/>
      <c r="V329" s="49"/>
      <c r="W329" s="51"/>
    </row>
    <row r="330" spans="1:23" ht="25.5" hidden="1" customHeight="1">
      <c r="A330" s="3"/>
      <c r="B330" s="3"/>
      <c r="C330" s="3"/>
      <c r="D330" s="3"/>
      <c r="E330" s="3"/>
      <c r="F330" s="40"/>
      <c r="G330" s="3"/>
      <c r="H330" s="41"/>
      <c r="I330" s="15"/>
      <c r="J330" s="15"/>
      <c r="K330" s="42"/>
      <c r="L330" s="73"/>
      <c r="M330" s="73"/>
      <c r="N330" s="43"/>
      <c r="O330" s="48"/>
      <c r="P330" s="49"/>
      <c r="Q330" s="49"/>
      <c r="R330" s="49"/>
      <c r="S330" s="50"/>
      <c r="T330" s="49"/>
      <c r="U330" s="49"/>
      <c r="V330" s="49"/>
      <c r="W330" s="51"/>
    </row>
    <row r="331" spans="1:23" ht="25.5" hidden="1" customHeight="1">
      <c r="A331" s="3"/>
      <c r="B331" s="3"/>
      <c r="C331" s="3"/>
      <c r="D331" s="3"/>
      <c r="E331" s="3"/>
      <c r="F331" s="40"/>
      <c r="G331" s="3"/>
      <c r="H331" s="41"/>
      <c r="I331" s="15"/>
      <c r="J331" s="15"/>
      <c r="K331" s="42"/>
      <c r="L331" s="73"/>
      <c r="M331" s="73"/>
      <c r="N331" s="43"/>
      <c r="O331" s="48"/>
      <c r="P331" s="49"/>
      <c r="Q331" s="49"/>
      <c r="R331" s="49"/>
      <c r="S331" s="50"/>
      <c r="T331" s="49"/>
      <c r="U331" s="49"/>
      <c r="V331" s="49"/>
      <c r="W331" s="51"/>
    </row>
    <row r="332" spans="1:23" ht="25.5" hidden="1" customHeight="1">
      <c r="A332" s="3"/>
      <c r="B332" s="3"/>
      <c r="C332" s="3"/>
      <c r="D332" s="3"/>
      <c r="E332" s="3"/>
      <c r="F332" s="40"/>
      <c r="G332" s="3"/>
      <c r="H332" s="41"/>
      <c r="I332" s="15"/>
      <c r="J332" s="15"/>
      <c r="K332" s="42"/>
      <c r="L332" s="73"/>
      <c r="M332" s="73"/>
      <c r="N332" s="43"/>
      <c r="O332" s="48"/>
      <c r="P332" s="49"/>
      <c r="Q332" s="49"/>
      <c r="R332" s="49"/>
      <c r="S332" s="50"/>
      <c r="T332" s="49"/>
      <c r="U332" s="49"/>
      <c r="V332" s="49"/>
      <c r="W332" s="51"/>
    </row>
    <row r="333" spans="1:23" ht="25.5" hidden="1" customHeight="1">
      <c r="A333" s="3"/>
      <c r="B333" s="3"/>
      <c r="C333" s="3"/>
      <c r="D333" s="3"/>
      <c r="E333" s="3"/>
      <c r="F333" s="40"/>
      <c r="G333" s="3"/>
      <c r="H333" s="41"/>
      <c r="I333" s="15"/>
      <c r="J333" s="15"/>
      <c r="K333" s="42"/>
      <c r="L333" s="73"/>
      <c r="M333" s="73"/>
      <c r="N333" s="43"/>
      <c r="O333" s="48"/>
      <c r="P333" s="49"/>
      <c r="Q333" s="49"/>
      <c r="R333" s="49"/>
      <c r="S333" s="50"/>
      <c r="T333" s="49"/>
      <c r="U333" s="49"/>
      <c r="V333" s="49"/>
      <c r="W333" s="51"/>
    </row>
    <row r="334" spans="1:23" ht="25.5" hidden="1" customHeight="1">
      <c r="A334" s="3"/>
      <c r="B334" s="3"/>
      <c r="C334" s="3"/>
      <c r="D334" s="3"/>
      <c r="E334" s="3"/>
      <c r="F334" s="40"/>
      <c r="G334" s="3"/>
      <c r="H334" s="41"/>
      <c r="I334" s="15"/>
      <c r="J334" s="15"/>
      <c r="K334" s="42"/>
      <c r="L334" s="73"/>
      <c r="M334" s="73"/>
      <c r="N334" s="43"/>
      <c r="O334" s="48"/>
      <c r="P334" s="49"/>
      <c r="Q334" s="49"/>
      <c r="R334" s="49"/>
      <c r="S334" s="50"/>
      <c r="T334" s="49"/>
      <c r="U334" s="49"/>
      <c r="V334" s="49"/>
      <c r="W334" s="51"/>
    </row>
    <row r="335" spans="1:23" ht="25.5" hidden="1" customHeight="1">
      <c r="A335" s="3"/>
      <c r="B335" s="3"/>
      <c r="C335" s="3"/>
      <c r="D335" s="3"/>
      <c r="E335" s="3"/>
      <c r="F335" s="40"/>
      <c r="G335" s="3"/>
      <c r="H335" s="41"/>
      <c r="I335" s="15"/>
      <c r="J335" s="15"/>
      <c r="K335" s="42"/>
      <c r="L335" s="73"/>
      <c r="M335" s="73"/>
      <c r="N335" s="43"/>
      <c r="O335" s="48"/>
      <c r="P335" s="49"/>
      <c r="Q335" s="49"/>
      <c r="R335" s="49"/>
      <c r="S335" s="50"/>
      <c r="T335" s="49"/>
      <c r="U335" s="49"/>
      <c r="V335" s="49"/>
      <c r="W335" s="51"/>
    </row>
    <row r="336" spans="1:23" ht="25.5" hidden="1" customHeight="1">
      <c r="A336" s="3"/>
      <c r="B336" s="3"/>
      <c r="C336" s="3"/>
      <c r="D336" s="3"/>
      <c r="E336" s="3"/>
      <c r="F336" s="40"/>
      <c r="G336" s="3"/>
      <c r="H336" s="41"/>
      <c r="I336" s="15"/>
      <c r="J336" s="15"/>
      <c r="K336" s="42"/>
      <c r="L336" s="73"/>
      <c r="M336" s="73"/>
      <c r="N336" s="43"/>
      <c r="O336" s="48"/>
      <c r="P336" s="49"/>
      <c r="Q336" s="49"/>
      <c r="R336" s="49"/>
      <c r="S336" s="50"/>
      <c r="T336" s="49"/>
      <c r="U336" s="49"/>
      <c r="V336" s="49"/>
      <c r="W336" s="51"/>
    </row>
    <row r="337" spans="1:23" ht="25.5" hidden="1" customHeight="1">
      <c r="A337" s="3"/>
      <c r="B337" s="3"/>
      <c r="C337" s="3"/>
      <c r="D337" s="3"/>
      <c r="E337" s="3"/>
      <c r="F337" s="40"/>
      <c r="G337" s="3"/>
      <c r="H337" s="41"/>
      <c r="I337" s="15"/>
      <c r="J337" s="15"/>
      <c r="K337" s="42"/>
      <c r="L337" s="73"/>
      <c r="M337" s="73"/>
      <c r="N337" s="43"/>
      <c r="O337" s="48"/>
      <c r="P337" s="49"/>
      <c r="Q337" s="49"/>
      <c r="R337" s="49"/>
      <c r="S337" s="50"/>
      <c r="T337" s="49"/>
      <c r="U337" s="49"/>
      <c r="V337" s="49"/>
      <c r="W337" s="51"/>
    </row>
    <row r="338" spans="1:23" ht="25.5" hidden="1" customHeight="1">
      <c r="A338" s="3"/>
      <c r="B338" s="3"/>
      <c r="C338" s="3"/>
      <c r="D338" s="3"/>
      <c r="E338" s="3"/>
      <c r="F338" s="40"/>
      <c r="G338" s="3"/>
      <c r="H338" s="41"/>
      <c r="I338" s="15"/>
      <c r="J338" s="15"/>
      <c r="K338" s="42"/>
      <c r="L338" s="73"/>
      <c r="M338" s="73"/>
      <c r="N338" s="43"/>
      <c r="O338" s="48"/>
      <c r="P338" s="49"/>
      <c r="Q338" s="49"/>
      <c r="R338" s="49"/>
      <c r="S338" s="50"/>
      <c r="T338" s="49"/>
      <c r="U338" s="49"/>
      <c r="V338" s="49"/>
      <c r="W338" s="51"/>
    </row>
    <row r="339" spans="1:23" ht="25.5" hidden="1" customHeight="1">
      <c r="A339" s="3"/>
      <c r="B339" s="3"/>
      <c r="C339" s="3"/>
      <c r="D339" s="3"/>
      <c r="E339" s="3"/>
      <c r="F339" s="40"/>
      <c r="G339" s="3"/>
      <c r="H339" s="41"/>
      <c r="I339" s="15"/>
      <c r="J339" s="15"/>
      <c r="K339" s="42"/>
      <c r="L339" s="73"/>
      <c r="M339" s="73"/>
      <c r="N339" s="43"/>
      <c r="O339" s="48"/>
      <c r="P339" s="49"/>
      <c r="Q339" s="49"/>
      <c r="R339" s="49"/>
      <c r="S339" s="50"/>
      <c r="T339" s="49"/>
      <c r="U339" s="49"/>
      <c r="V339" s="49"/>
      <c r="W339" s="51"/>
    </row>
    <row r="340" spans="1:23" ht="25.5" hidden="1" customHeight="1">
      <c r="A340" s="3"/>
      <c r="B340" s="3"/>
      <c r="C340" s="3"/>
      <c r="D340" s="3"/>
      <c r="E340" s="3"/>
      <c r="F340" s="40"/>
      <c r="G340" s="3"/>
      <c r="H340" s="41"/>
      <c r="I340" s="15"/>
      <c r="J340" s="15"/>
      <c r="K340" s="42"/>
      <c r="L340" s="73"/>
      <c r="M340" s="73"/>
      <c r="N340" s="43"/>
      <c r="O340" s="48"/>
      <c r="P340" s="49"/>
      <c r="Q340" s="49"/>
      <c r="R340" s="49"/>
      <c r="S340" s="50"/>
      <c r="T340" s="49"/>
      <c r="U340" s="49"/>
      <c r="V340" s="49"/>
      <c r="W340" s="51"/>
    </row>
    <row r="341" spans="1:23" ht="25.5" hidden="1" customHeight="1">
      <c r="A341" s="3"/>
      <c r="B341" s="3"/>
      <c r="C341" s="3"/>
      <c r="D341" s="3"/>
      <c r="E341" s="3"/>
      <c r="F341" s="40"/>
      <c r="G341" s="3"/>
      <c r="H341" s="41"/>
      <c r="I341" s="15"/>
      <c r="J341" s="15"/>
      <c r="K341" s="42"/>
      <c r="L341" s="73"/>
      <c r="M341" s="73"/>
      <c r="N341" s="43"/>
      <c r="O341" s="48"/>
      <c r="P341" s="49"/>
      <c r="Q341" s="49"/>
      <c r="R341" s="49"/>
      <c r="S341" s="50"/>
      <c r="T341" s="49"/>
      <c r="U341" s="49"/>
      <c r="V341" s="49"/>
      <c r="W341" s="51"/>
    </row>
    <row r="342" spans="1:23" ht="25.5" hidden="1" customHeight="1">
      <c r="A342" s="3"/>
      <c r="B342" s="3"/>
      <c r="C342" s="3"/>
      <c r="D342" s="3"/>
      <c r="E342" s="3"/>
      <c r="F342" s="40"/>
      <c r="G342" s="3"/>
      <c r="H342" s="41"/>
      <c r="I342" s="15"/>
      <c r="J342" s="15"/>
      <c r="K342" s="42"/>
      <c r="L342" s="73"/>
      <c r="M342" s="73"/>
      <c r="N342" s="43"/>
      <c r="O342" s="48"/>
      <c r="P342" s="49"/>
      <c r="Q342" s="49"/>
      <c r="R342" s="49"/>
      <c r="S342" s="50"/>
      <c r="T342" s="49"/>
      <c r="U342" s="49"/>
      <c r="V342" s="49"/>
      <c r="W342" s="51"/>
    </row>
    <row r="343" spans="1:23" ht="25.5" hidden="1" customHeight="1">
      <c r="A343" s="3"/>
      <c r="B343" s="3"/>
      <c r="C343" s="3"/>
      <c r="D343" s="3"/>
      <c r="E343" s="3"/>
      <c r="F343" s="40"/>
      <c r="G343" s="3"/>
      <c r="H343" s="41"/>
      <c r="I343" s="15"/>
      <c r="J343" s="15"/>
      <c r="K343" s="42"/>
      <c r="L343" s="73"/>
      <c r="M343" s="73"/>
      <c r="N343" s="43"/>
      <c r="O343" s="48"/>
      <c r="P343" s="49"/>
      <c r="Q343" s="49"/>
      <c r="R343" s="49"/>
      <c r="S343" s="50"/>
      <c r="T343" s="49"/>
      <c r="U343" s="49"/>
      <c r="V343" s="49"/>
      <c r="W343" s="51"/>
    </row>
    <row r="344" spans="1:23" ht="25.5" hidden="1" customHeight="1">
      <c r="A344" s="3"/>
      <c r="B344" s="3"/>
      <c r="C344" s="3"/>
      <c r="D344" s="3"/>
      <c r="E344" s="3"/>
      <c r="F344" s="40"/>
      <c r="G344" s="3"/>
      <c r="H344" s="41"/>
      <c r="I344" s="15"/>
      <c r="J344" s="15"/>
      <c r="K344" s="42"/>
      <c r="L344" s="73"/>
      <c r="M344" s="73"/>
      <c r="N344" s="43"/>
      <c r="O344" s="48"/>
      <c r="P344" s="49"/>
      <c r="Q344" s="49"/>
      <c r="R344" s="49"/>
      <c r="S344" s="50"/>
      <c r="T344" s="49"/>
      <c r="U344" s="49"/>
      <c r="V344" s="49"/>
      <c r="W344" s="51"/>
    </row>
    <row r="345" spans="1:23" ht="25.5" hidden="1" customHeight="1">
      <c r="A345" s="3"/>
      <c r="B345" s="3"/>
      <c r="C345" s="3"/>
      <c r="D345" s="3"/>
      <c r="E345" s="3"/>
      <c r="F345" s="40"/>
      <c r="G345" s="3"/>
      <c r="H345" s="41"/>
      <c r="I345" s="15"/>
      <c r="J345" s="15"/>
      <c r="K345" s="42"/>
      <c r="L345" s="73"/>
      <c r="M345" s="73"/>
      <c r="N345" s="43"/>
      <c r="O345" s="48"/>
      <c r="P345" s="49"/>
      <c r="Q345" s="49"/>
      <c r="R345" s="49"/>
      <c r="S345" s="50"/>
      <c r="T345" s="49"/>
      <c r="U345" s="49"/>
      <c r="V345" s="49"/>
      <c r="W345" s="51"/>
    </row>
    <row r="346" spans="1:23" ht="25.5" hidden="1" customHeight="1">
      <c r="A346" s="3"/>
      <c r="B346" s="3"/>
      <c r="C346" s="3"/>
      <c r="D346" s="3"/>
      <c r="E346" s="3"/>
      <c r="F346" s="40"/>
      <c r="G346" s="3"/>
      <c r="H346" s="41"/>
      <c r="I346" s="15"/>
      <c r="J346" s="15"/>
      <c r="K346" s="42"/>
      <c r="L346" s="73"/>
      <c r="M346" s="73"/>
      <c r="N346" s="43"/>
      <c r="O346" s="48"/>
      <c r="P346" s="49"/>
      <c r="Q346" s="49"/>
      <c r="R346" s="49"/>
      <c r="S346" s="50"/>
      <c r="T346" s="49"/>
      <c r="U346" s="49"/>
      <c r="V346" s="49"/>
      <c r="W346" s="51"/>
    </row>
    <row r="347" spans="1:23" ht="25.5" hidden="1" customHeight="1">
      <c r="A347" s="3"/>
      <c r="B347" s="3"/>
      <c r="C347" s="3"/>
      <c r="D347" s="3"/>
      <c r="E347" s="3"/>
      <c r="F347" s="40"/>
      <c r="G347" s="3"/>
      <c r="H347" s="41"/>
      <c r="I347" s="15"/>
      <c r="J347" s="15"/>
      <c r="K347" s="42"/>
      <c r="L347" s="73"/>
      <c r="M347" s="73"/>
      <c r="N347" s="43"/>
      <c r="O347" s="48"/>
      <c r="P347" s="49"/>
      <c r="Q347" s="49"/>
      <c r="R347" s="49"/>
      <c r="S347" s="50"/>
      <c r="T347" s="49"/>
      <c r="U347" s="49"/>
      <c r="V347" s="49"/>
      <c r="W347" s="51"/>
    </row>
    <row r="348" spans="1:23" ht="25.5" hidden="1" customHeight="1">
      <c r="A348" s="3"/>
      <c r="B348" s="3"/>
      <c r="C348" s="3"/>
      <c r="D348" s="3"/>
      <c r="E348" s="3"/>
      <c r="F348" s="40"/>
      <c r="G348" s="3"/>
      <c r="H348" s="41"/>
      <c r="I348" s="15"/>
      <c r="J348" s="15"/>
      <c r="K348" s="42"/>
      <c r="L348" s="73"/>
      <c r="M348" s="73"/>
      <c r="N348" s="43"/>
      <c r="O348" s="48"/>
      <c r="P348" s="49"/>
      <c r="Q348" s="49"/>
      <c r="R348" s="49"/>
      <c r="S348" s="50"/>
      <c r="T348" s="49"/>
      <c r="U348" s="49"/>
      <c r="V348" s="49"/>
      <c r="W348" s="51"/>
    </row>
    <row r="349" spans="1:23" ht="25.5" hidden="1" customHeight="1">
      <c r="A349" s="3"/>
      <c r="B349" s="3"/>
      <c r="C349" s="3"/>
      <c r="D349" s="3"/>
      <c r="E349" s="3"/>
      <c r="F349" s="40"/>
      <c r="G349" s="3"/>
      <c r="H349" s="41"/>
      <c r="I349" s="15"/>
      <c r="J349" s="15"/>
      <c r="K349" s="42"/>
      <c r="L349" s="73"/>
      <c r="M349" s="73"/>
      <c r="N349" s="43"/>
      <c r="O349" s="48"/>
      <c r="P349" s="49"/>
      <c r="Q349" s="49"/>
      <c r="R349" s="49"/>
      <c r="S349" s="50"/>
      <c r="T349" s="49"/>
      <c r="U349" s="49"/>
      <c r="V349" s="49"/>
      <c r="W349" s="51"/>
    </row>
    <row r="350" spans="1:23" ht="25.5" hidden="1" customHeight="1">
      <c r="A350" s="3"/>
      <c r="B350" s="3"/>
      <c r="C350" s="3"/>
      <c r="D350" s="3"/>
      <c r="E350" s="3"/>
      <c r="F350" s="40"/>
      <c r="G350" s="3"/>
      <c r="H350" s="41"/>
      <c r="I350" s="15"/>
      <c r="J350" s="15"/>
      <c r="K350" s="42"/>
      <c r="L350" s="73"/>
      <c r="M350" s="73"/>
      <c r="N350" s="43"/>
      <c r="O350" s="48"/>
      <c r="P350" s="49"/>
      <c r="Q350" s="49"/>
      <c r="R350" s="49"/>
      <c r="S350" s="50"/>
      <c r="T350" s="49"/>
      <c r="U350" s="49"/>
      <c r="V350" s="49"/>
      <c r="W350" s="51"/>
    </row>
    <row r="351" spans="1:23" ht="25.5" hidden="1" customHeight="1">
      <c r="A351" s="3"/>
      <c r="B351" s="3"/>
      <c r="C351" s="3"/>
      <c r="D351" s="3"/>
      <c r="E351" s="3"/>
      <c r="F351" s="40"/>
      <c r="G351" s="3"/>
      <c r="H351" s="41"/>
      <c r="I351" s="15"/>
      <c r="J351" s="15"/>
      <c r="K351" s="42"/>
      <c r="L351" s="73"/>
      <c r="M351" s="73"/>
      <c r="N351" s="43"/>
      <c r="O351" s="48"/>
      <c r="P351" s="49"/>
      <c r="Q351" s="49"/>
      <c r="R351" s="49"/>
      <c r="S351" s="50"/>
      <c r="T351" s="49"/>
      <c r="U351" s="49"/>
      <c r="V351" s="49"/>
      <c r="W351" s="51"/>
    </row>
    <row r="352" spans="1:23" ht="25.5" hidden="1" customHeight="1">
      <c r="A352" s="3"/>
      <c r="B352" s="3"/>
      <c r="C352" s="3"/>
      <c r="D352" s="3"/>
      <c r="E352" s="3"/>
      <c r="F352" s="40"/>
      <c r="G352" s="3"/>
      <c r="H352" s="41"/>
      <c r="I352" s="15"/>
      <c r="J352" s="15"/>
      <c r="K352" s="42"/>
      <c r="L352" s="73"/>
      <c r="M352" s="73"/>
      <c r="N352" s="43"/>
      <c r="O352" s="48"/>
      <c r="P352" s="49"/>
      <c r="Q352" s="49"/>
      <c r="R352" s="49"/>
      <c r="S352" s="50"/>
      <c r="T352" s="49"/>
      <c r="U352" s="49"/>
      <c r="V352" s="49"/>
      <c r="W352" s="51"/>
    </row>
    <row r="353" spans="1:23" ht="25.5" hidden="1" customHeight="1">
      <c r="A353" s="3"/>
      <c r="B353" s="3"/>
      <c r="C353" s="3"/>
      <c r="D353" s="3"/>
      <c r="E353" s="3"/>
      <c r="F353" s="40"/>
      <c r="G353" s="3"/>
      <c r="H353" s="41"/>
      <c r="I353" s="15"/>
      <c r="J353" s="15"/>
      <c r="K353" s="42"/>
      <c r="L353" s="73"/>
      <c r="M353" s="73"/>
      <c r="N353" s="43"/>
      <c r="O353" s="48"/>
      <c r="P353" s="49"/>
      <c r="Q353" s="49"/>
      <c r="R353" s="49"/>
      <c r="S353" s="50"/>
      <c r="T353" s="49"/>
      <c r="U353" s="49"/>
      <c r="V353" s="49"/>
      <c r="W353" s="51"/>
    </row>
    <row r="354" spans="1:23" ht="25.5" hidden="1" customHeight="1">
      <c r="A354" s="3"/>
      <c r="B354" s="3"/>
      <c r="C354" s="3"/>
      <c r="D354" s="3"/>
      <c r="E354" s="3"/>
      <c r="F354" s="40"/>
      <c r="G354" s="3"/>
      <c r="H354" s="41"/>
      <c r="I354" s="15"/>
      <c r="J354" s="15"/>
      <c r="K354" s="42"/>
      <c r="L354" s="73"/>
      <c r="M354" s="73"/>
      <c r="N354" s="43"/>
      <c r="O354" s="48"/>
      <c r="P354" s="49"/>
      <c r="Q354" s="49"/>
      <c r="R354" s="49"/>
      <c r="S354" s="50"/>
      <c r="T354" s="49"/>
      <c r="U354" s="49"/>
      <c r="V354" s="49"/>
      <c r="W354" s="51"/>
    </row>
    <row r="355" spans="1:23" ht="25.5" hidden="1" customHeight="1">
      <c r="A355" s="3"/>
      <c r="B355" s="3"/>
      <c r="C355" s="3"/>
      <c r="D355" s="3"/>
      <c r="E355" s="3"/>
      <c r="F355" s="40"/>
      <c r="G355" s="3"/>
      <c r="H355" s="41"/>
      <c r="I355" s="15"/>
      <c r="J355" s="15"/>
      <c r="K355" s="42"/>
      <c r="L355" s="73"/>
      <c r="M355" s="73"/>
      <c r="N355" s="43"/>
      <c r="O355" s="48"/>
      <c r="P355" s="49"/>
      <c r="Q355" s="49"/>
      <c r="R355" s="49"/>
      <c r="S355" s="50"/>
      <c r="T355" s="49"/>
      <c r="U355" s="49"/>
      <c r="V355" s="49"/>
      <c r="W355" s="51"/>
    </row>
    <row r="356" spans="1:23" ht="25.5" hidden="1" customHeight="1">
      <c r="A356" s="3"/>
      <c r="B356" s="3"/>
      <c r="C356" s="3"/>
      <c r="D356" s="3"/>
      <c r="E356" s="3"/>
      <c r="F356" s="40"/>
      <c r="G356" s="3"/>
      <c r="H356" s="41"/>
      <c r="I356" s="15"/>
      <c r="J356" s="15"/>
      <c r="K356" s="42"/>
      <c r="L356" s="73"/>
      <c r="M356" s="73"/>
      <c r="N356" s="43"/>
      <c r="O356" s="48"/>
      <c r="P356" s="49"/>
      <c r="Q356" s="49"/>
      <c r="R356" s="49"/>
      <c r="S356" s="50"/>
      <c r="T356" s="49"/>
      <c r="U356" s="49"/>
      <c r="V356" s="49"/>
      <c r="W356" s="51"/>
    </row>
    <row r="357" spans="1:23" ht="25.5" hidden="1" customHeight="1">
      <c r="A357" s="3"/>
      <c r="B357" s="3"/>
      <c r="C357" s="3"/>
      <c r="D357" s="3"/>
      <c r="E357" s="3"/>
      <c r="F357" s="40"/>
      <c r="G357" s="3"/>
      <c r="H357" s="41"/>
      <c r="I357" s="15"/>
      <c r="J357" s="15"/>
      <c r="K357" s="42"/>
      <c r="L357" s="73"/>
      <c r="M357" s="73"/>
      <c r="N357" s="43"/>
      <c r="O357" s="48"/>
      <c r="P357" s="49"/>
      <c r="Q357" s="49"/>
      <c r="R357" s="49"/>
      <c r="S357" s="50"/>
      <c r="T357" s="49"/>
      <c r="U357" s="49"/>
      <c r="V357" s="49"/>
      <c r="W357" s="51"/>
    </row>
    <row r="358" spans="1:23" ht="25.5" hidden="1" customHeight="1">
      <c r="A358" s="3"/>
      <c r="B358" s="3"/>
      <c r="C358" s="3"/>
      <c r="D358" s="3"/>
      <c r="E358" s="3"/>
      <c r="F358" s="40"/>
      <c r="G358" s="3"/>
      <c r="H358" s="41"/>
      <c r="I358" s="15"/>
      <c r="J358" s="15"/>
      <c r="K358" s="42"/>
      <c r="L358" s="73"/>
      <c r="M358" s="73"/>
      <c r="N358" s="43"/>
      <c r="O358" s="48"/>
      <c r="P358" s="49"/>
      <c r="Q358" s="49"/>
      <c r="R358" s="49"/>
      <c r="S358" s="50"/>
      <c r="T358" s="49"/>
      <c r="U358" s="49"/>
      <c r="V358" s="49"/>
      <c r="W358" s="51"/>
    </row>
    <row r="359" spans="1:23" ht="25.5" hidden="1" customHeight="1">
      <c r="A359" s="3"/>
      <c r="B359" s="3"/>
      <c r="C359" s="3"/>
      <c r="D359" s="3"/>
      <c r="E359" s="3"/>
      <c r="F359" s="40"/>
      <c r="G359" s="3"/>
      <c r="H359" s="41"/>
      <c r="I359" s="15"/>
      <c r="J359" s="15"/>
      <c r="K359" s="42"/>
      <c r="L359" s="73"/>
      <c r="M359" s="73"/>
      <c r="N359" s="43"/>
      <c r="O359" s="48"/>
      <c r="P359" s="49"/>
      <c r="Q359" s="49"/>
      <c r="R359" s="49"/>
      <c r="S359" s="50"/>
      <c r="T359" s="49"/>
      <c r="U359" s="49"/>
      <c r="V359" s="49"/>
      <c r="W359" s="51"/>
    </row>
    <row r="360" spans="1:23" ht="25.5" hidden="1" customHeight="1">
      <c r="A360" s="3"/>
      <c r="B360" s="3"/>
      <c r="C360" s="3"/>
      <c r="D360" s="3"/>
      <c r="E360" s="3"/>
      <c r="F360" s="40"/>
      <c r="G360" s="3"/>
      <c r="H360" s="41"/>
      <c r="I360" s="15"/>
      <c r="J360" s="15"/>
      <c r="K360" s="42"/>
      <c r="L360" s="73"/>
      <c r="M360" s="73"/>
      <c r="N360" s="43"/>
      <c r="O360" s="48"/>
      <c r="P360" s="49"/>
      <c r="Q360" s="49"/>
      <c r="R360" s="49"/>
      <c r="S360" s="50"/>
      <c r="T360" s="49"/>
      <c r="U360" s="49"/>
      <c r="V360" s="49"/>
      <c r="W360" s="51"/>
    </row>
    <row r="361" spans="1:23" ht="25.5" hidden="1" customHeight="1">
      <c r="A361" s="3"/>
      <c r="B361" s="3"/>
      <c r="C361" s="3"/>
      <c r="D361" s="3"/>
      <c r="E361" s="3"/>
      <c r="F361" s="40"/>
      <c r="G361" s="3"/>
      <c r="H361" s="41"/>
      <c r="I361" s="15"/>
      <c r="J361" s="15"/>
      <c r="K361" s="42"/>
      <c r="L361" s="73"/>
      <c r="M361" s="73"/>
      <c r="N361" s="43"/>
      <c r="O361" s="48"/>
      <c r="P361" s="49"/>
      <c r="Q361" s="49"/>
      <c r="R361" s="49"/>
      <c r="S361" s="50"/>
      <c r="T361" s="49"/>
      <c r="U361" s="49"/>
      <c r="V361" s="49"/>
      <c r="W361" s="51"/>
    </row>
    <row r="362" spans="1:23" ht="25.5" hidden="1" customHeight="1">
      <c r="A362" s="3"/>
      <c r="B362" s="3"/>
      <c r="C362" s="3"/>
      <c r="D362" s="3"/>
      <c r="E362" s="3"/>
      <c r="F362" s="40"/>
      <c r="G362" s="3"/>
      <c r="H362" s="41"/>
      <c r="I362" s="15"/>
      <c r="J362" s="15"/>
      <c r="K362" s="42"/>
      <c r="L362" s="73"/>
      <c r="M362" s="73"/>
      <c r="N362" s="43"/>
      <c r="O362" s="48"/>
      <c r="P362" s="49"/>
      <c r="Q362" s="49"/>
      <c r="R362" s="49"/>
      <c r="S362" s="50"/>
      <c r="T362" s="49"/>
      <c r="U362" s="49"/>
      <c r="V362" s="49"/>
      <c r="W362" s="51"/>
    </row>
    <row r="363" spans="1:23" ht="25.5" hidden="1" customHeight="1">
      <c r="A363" s="3"/>
      <c r="B363" s="3"/>
      <c r="C363" s="3"/>
      <c r="D363" s="3"/>
      <c r="E363" s="3"/>
      <c r="F363" s="40"/>
      <c r="G363" s="3"/>
      <c r="H363" s="41"/>
      <c r="I363" s="15"/>
      <c r="J363" s="15"/>
      <c r="K363" s="42"/>
      <c r="L363" s="73"/>
      <c r="M363" s="73"/>
      <c r="N363" s="43"/>
      <c r="O363" s="48"/>
      <c r="P363" s="49"/>
      <c r="Q363" s="49"/>
      <c r="R363" s="49"/>
      <c r="S363" s="50"/>
      <c r="T363" s="49"/>
      <c r="U363" s="49"/>
      <c r="V363" s="49"/>
      <c r="W363" s="51"/>
    </row>
    <row r="364" spans="1:23" ht="25.5" hidden="1" customHeight="1">
      <c r="A364" s="3"/>
      <c r="B364" s="3"/>
      <c r="C364" s="3"/>
      <c r="D364" s="3"/>
      <c r="E364" s="3"/>
      <c r="F364" s="40"/>
      <c r="G364" s="3"/>
      <c r="H364" s="41"/>
      <c r="I364" s="15"/>
      <c r="J364" s="15"/>
      <c r="K364" s="42"/>
      <c r="L364" s="73"/>
      <c r="M364" s="73"/>
      <c r="N364" s="43"/>
      <c r="O364" s="48"/>
      <c r="P364" s="49"/>
      <c r="Q364" s="49"/>
      <c r="R364" s="49"/>
      <c r="S364" s="50"/>
      <c r="T364" s="49"/>
      <c r="U364" s="49"/>
      <c r="V364" s="49"/>
      <c r="W364" s="51"/>
    </row>
    <row r="365" spans="1:23" ht="25.5" hidden="1" customHeight="1">
      <c r="A365" s="3"/>
      <c r="B365" s="3"/>
      <c r="C365" s="3"/>
      <c r="D365" s="3"/>
      <c r="E365" s="3"/>
      <c r="F365" s="40"/>
      <c r="G365" s="3"/>
      <c r="H365" s="41"/>
      <c r="I365" s="15"/>
      <c r="J365" s="15"/>
      <c r="K365" s="42"/>
      <c r="L365" s="73"/>
      <c r="M365" s="73"/>
      <c r="N365" s="43"/>
      <c r="O365" s="48"/>
      <c r="P365" s="49"/>
      <c r="Q365" s="49"/>
      <c r="R365" s="49"/>
      <c r="S365" s="50"/>
      <c r="T365" s="49"/>
      <c r="U365" s="49"/>
      <c r="V365" s="49"/>
      <c r="W365" s="51"/>
    </row>
    <row r="366" spans="1:23" ht="25.5" hidden="1" customHeight="1">
      <c r="A366" s="3"/>
      <c r="B366" s="3"/>
      <c r="C366" s="3"/>
      <c r="D366" s="3"/>
      <c r="E366" s="3"/>
      <c r="F366" s="40"/>
      <c r="G366" s="3"/>
      <c r="H366" s="41"/>
      <c r="I366" s="15"/>
      <c r="J366" s="15"/>
      <c r="K366" s="42"/>
      <c r="L366" s="73"/>
      <c r="M366" s="73"/>
      <c r="N366" s="43"/>
      <c r="O366" s="48"/>
      <c r="P366" s="49"/>
      <c r="Q366" s="49"/>
      <c r="R366" s="49"/>
      <c r="S366" s="50"/>
      <c r="T366" s="49"/>
      <c r="U366" s="49"/>
      <c r="V366" s="49"/>
      <c r="W366" s="51"/>
    </row>
    <row r="367" spans="1:23" ht="25.5" hidden="1" customHeight="1">
      <c r="A367" s="3"/>
      <c r="B367" s="3"/>
      <c r="C367" s="3"/>
      <c r="D367" s="3"/>
      <c r="E367" s="3"/>
      <c r="F367" s="40"/>
      <c r="G367" s="3"/>
      <c r="H367" s="41"/>
      <c r="I367" s="15"/>
      <c r="J367" s="15"/>
      <c r="K367" s="42"/>
      <c r="L367" s="73"/>
      <c r="M367" s="73"/>
      <c r="N367" s="43"/>
      <c r="O367" s="48"/>
      <c r="P367" s="49"/>
      <c r="Q367" s="49"/>
      <c r="R367" s="49"/>
      <c r="S367" s="50"/>
      <c r="T367" s="49"/>
      <c r="U367" s="49"/>
      <c r="V367" s="49"/>
      <c r="W367" s="51"/>
    </row>
    <row r="368" spans="1:23" ht="25.5" hidden="1" customHeight="1">
      <c r="A368" s="3"/>
      <c r="B368" s="3"/>
      <c r="C368" s="3"/>
      <c r="D368" s="3"/>
      <c r="E368" s="3"/>
      <c r="F368" s="40"/>
      <c r="G368" s="3"/>
      <c r="H368" s="41"/>
      <c r="I368" s="15"/>
      <c r="J368" s="15"/>
      <c r="K368" s="42"/>
      <c r="L368" s="73"/>
      <c r="M368" s="73"/>
      <c r="N368" s="43"/>
      <c r="O368" s="48"/>
      <c r="P368" s="49"/>
      <c r="Q368" s="49"/>
      <c r="R368" s="49"/>
      <c r="S368" s="50"/>
      <c r="T368" s="49"/>
      <c r="U368" s="49"/>
      <c r="V368" s="49"/>
      <c r="W368" s="51"/>
    </row>
    <row r="369" spans="1:23" ht="25.5" hidden="1" customHeight="1">
      <c r="A369" s="3"/>
      <c r="B369" s="3"/>
      <c r="C369" s="3"/>
      <c r="D369" s="3"/>
      <c r="E369" s="3"/>
      <c r="F369" s="40"/>
      <c r="G369" s="3"/>
      <c r="H369" s="41"/>
      <c r="I369" s="15"/>
      <c r="J369" s="15"/>
      <c r="K369" s="42"/>
      <c r="L369" s="73"/>
      <c r="M369" s="73"/>
      <c r="N369" s="43"/>
      <c r="O369" s="48"/>
      <c r="P369" s="49"/>
      <c r="Q369" s="49"/>
      <c r="R369" s="49"/>
      <c r="S369" s="50"/>
      <c r="T369" s="49"/>
      <c r="U369" s="49"/>
      <c r="V369" s="49"/>
      <c r="W369" s="51"/>
    </row>
    <row r="370" spans="1:23" ht="25.5" hidden="1" customHeight="1">
      <c r="A370" s="3"/>
      <c r="B370" s="3"/>
      <c r="C370" s="3"/>
      <c r="D370" s="3"/>
      <c r="E370" s="3"/>
      <c r="F370" s="40"/>
      <c r="G370" s="3"/>
      <c r="H370" s="41"/>
      <c r="I370" s="15"/>
      <c r="J370" s="15"/>
      <c r="K370" s="42"/>
      <c r="L370" s="73"/>
      <c r="M370" s="73"/>
      <c r="N370" s="43"/>
      <c r="O370" s="48"/>
      <c r="P370" s="49"/>
      <c r="Q370" s="49"/>
      <c r="R370" s="49"/>
      <c r="S370" s="50"/>
      <c r="T370" s="49"/>
      <c r="U370" s="49"/>
      <c r="V370" s="49"/>
      <c r="W370" s="51"/>
    </row>
    <row r="371" spans="1:23" ht="25.5" hidden="1" customHeight="1">
      <c r="A371" s="3"/>
      <c r="B371" s="3"/>
      <c r="C371" s="3"/>
      <c r="D371" s="3"/>
      <c r="E371" s="3"/>
      <c r="F371" s="40"/>
      <c r="G371" s="3"/>
      <c r="H371" s="41"/>
      <c r="I371" s="15"/>
      <c r="J371" s="15"/>
      <c r="K371" s="42"/>
      <c r="L371" s="73"/>
      <c r="M371" s="73"/>
      <c r="N371" s="43"/>
      <c r="O371" s="48"/>
      <c r="P371" s="49"/>
      <c r="Q371" s="49"/>
      <c r="R371" s="49"/>
      <c r="S371" s="50"/>
      <c r="T371" s="49"/>
      <c r="U371" s="49"/>
      <c r="V371" s="49"/>
      <c r="W371" s="51"/>
    </row>
    <row r="372" spans="1:23" ht="25.5" hidden="1" customHeight="1">
      <c r="A372" s="3"/>
      <c r="B372" s="3"/>
      <c r="C372" s="3"/>
      <c r="D372" s="3"/>
      <c r="E372" s="3"/>
      <c r="F372" s="40"/>
      <c r="G372" s="3"/>
      <c r="H372" s="41"/>
      <c r="I372" s="15"/>
      <c r="J372" s="15"/>
      <c r="K372" s="42"/>
      <c r="L372" s="73"/>
      <c r="M372" s="73"/>
      <c r="N372" s="43"/>
      <c r="O372" s="48"/>
      <c r="P372" s="49"/>
      <c r="Q372" s="49"/>
      <c r="R372" s="49"/>
      <c r="S372" s="50"/>
      <c r="T372" s="49"/>
      <c r="U372" s="49"/>
      <c r="V372" s="49"/>
      <c r="W372" s="51"/>
    </row>
    <row r="373" spans="1:23" ht="25.5" hidden="1" customHeight="1">
      <c r="A373" s="3"/>
      <c r="B373" s="3"/>
      <c r="C373" s="3"/>
      <c r="D373" s="3"/>
      <c r="E373" s="3"/>
      <c r="F373" s="40"/>
      <c r="G373" s="3"/>
      <c r="H373" s="41"/>
      <c r="I373" s="15"/>
      <c r="J373" s="15"/>
      <c r="K373" s="42"/>
      <c r="L373" s="73"/>
      <c r="M373" s="73"/>
      <c r="N373" s="43"/>
      <c r="O373" s="48"/>
      <c r="P373" s="49"/>
      <c r="Q373" s="49"/>
      <c r="R373" s="49"/>
      <c r="S373" s="50"/>
      <c r="T373" s="49"/>
      <c r="U373" s="49"/>
      <c r="V373" s="49"/>
      <c r="W373" s="51"/>
    </row>
    <row r="374" spans="1:23" ht="25.5" hidden="1" customHeight="1">
      <c r="A374" s="3"/>
      <c r="B374" s="3"/>
      <c r="C374" s="3"/>
      <c r="D374" s="3"/>
      <c r="E374" s="3"/>
      <c r="F374" s="40"/>
      <c r="G374" s="3"/>
      <c r="H374" s="41"/>
      <c r="I374" s="15"/>
      <c r="J374" s="15"/>
      <c r="K374" s="42"/>
      <c r="L374" s="73"/>
      <c r="M374" s="73"/>
      <c r="N374" s="43"/>
      <c r="O374" s="48"/>
      <c r="P374" s="49"/>
      <c r="Q374" s="49"/>
      <c r="R374" s="49"/>
      <c r="S374" s="50"/>
      <c r="T374" s="49"/>
      <c r="U374" s="49"/>
      <c r="V374" s="49"/>
      <c r="W374" s="51"/>
    </row>
    <row r="375" spans="1:23" ht="25.5" hidden="1" customHeight="1">
      <c r="A375" s="3"/>
      <c r="B375" s="3"/>
      <c r="C375" s="3"/>
      <c r="D375" s="3"/>
      <c r="E375" s="3"/>
      <c r="F375" s="40"/>
      <c r="G375" s="3"/>
      <c r="H375" s="41"/>
      <c r="I375" s="15"/>
      <c r="J375" s="15"/>
      <c r="K375" s="42"/>
      <c r="L375" s="73"/>
      <c r="M375" s="73"/>
      <c r="N375" s="43"/>
      <c r="O375" s="48"/>
      <c r="P375" s="49"/>
      <c r="Q375" s="49"/>
      <c r="R375" s="49"/>
      <c r="S375" s="50"/>
      <c r="T375" s="49"/>
      <c r="U375" s="49"/>
      <c r="V375" s="49"/>
      <c r="W375" s="51"/>
    </row>
    <row r="376" spans="1:23" ht="25.5" hidden="1" customHeight="1">
      <c r="A376" s="3"/>
      <c r="B376" s="3"/>
      <c r="C376" s="3"/>
      <c r="D376" s="3"/>
      <c r="E376" s="3"/>
      <c r="F376" s="40"/>
      <c r="G376" s="3"/>
      <c r="H376" s="41"/>
      <c r="I376" s="15"/>
      <c r="J376" s="15"/>
      <c r="K376" s="42"/>
      <c r="L376" s="73"/>
      <c r="M376" s="73"/>
      <c r="N376" s="43"/>
      <c r="O376" s="48"/>
      <c r="P376" s="49"/>
      <c r="Q376" s="49"/>
      <c r="R376" s="49"/>
      <c r="S376" s="50"/>
      <c r="T376" s="49"/>
      <c r="U376" s="49"/>
      <c r="V376" s="49"/>
      <c r="W376" s="51"/>
    </row>
    <row r="377" spans="1:23" ht="25.5" hidden="1" customHeight="1">
      <c r="A377" s="3"/>
      <c r="B377" s="3"/>
      <c r="C377" s="3"/>
      <c r="D377" s="3"/>
      <c r="E377" s="3"/>
      <c r="F377" s="40"/>
      <c r="G377" s="3"/>
      <c r="H377" s="41"/>
      <c r="I377" s="15"/>
      <c r="J377" s="15"/>
      <c r="K377" s="42"/>
      <c r="L377" s="73"/>
      <c r="M377" s="73"/>
      <c r="N377" s="43"/>
      <c r="O377" s="48"/>
      <c r="P377" s="49"/>
      <c r="Q377" s="49"/>
      <c r="R377" s="49"/>
      <c r="S377" s="50"/>
      <c r="T377" s="49"/>
      <c r="U377" s="49"/>
      <c r="V377" s="49"/>
      <c r="W377" s="51"/>
    </row>
    <row r="378" spans="1:23" ht="25.5" hidden="1" customHeight="1">
      <c r="A378" s="3"/>
      <c r="B378" s="3"/>
      <c r="C378" s="3"/>
      <c r="D378" s="3"/>
      <c r="E378" s="3"/>
      <c r="F378" s="40"/>
      <c r="G378" s="3"/>
      <c r="H378" s="41"/>
      <c r="I378" s="15"/>
      <c r="J378" s="15"/>
      <c r="K378" s="42"/>
      <c r="L378" s="73"/>
      <c r="M378" s="73"/>
      <c r="N378" s="43"/>
      <c r="O378" s="48"/>
      <c r="P378" s="49"/>
      <c r="Q378" s="49"/>
      <c r="R378" s="49"/>
      <c r="S378" s="50"/>
      <c r="T378" s="49"/>
      <c r="U378" s="49"/>
      <c r="V378" s="49"/>
      <c r="W378" s="51"/>
    </row>
    <row r="379" spans="1:23" ht="25.5" hidden="1" customHeight="1">
      <c r="A379" s="3"/>
      <c r="B379" s="3"/>
      <c r="C379" s="3"/>
      <c r="D379" s="3"/>
      <c r="E379" s="3"/>
      <c r="F379" s="40"/>
      <c r="G379" s="3"/>
      <c r="H379" s="41"/>
      <c r="I379" s="15"/>
      <c r="J379" s="15"/>
      <c r="K379" s="42"/>
      <c r="L379" s="73"/>
      <c r="M379" s="73"/>
      <c r="N379" s="43"/>
      <c r="O379" s="48"/>
      <c r="P379" s="49"/>
      <c r="Q379" s="49"/>
      <c r="R379" s="49"/>
      <c r="S379" s="50"/>
      <c r="T379" s="49"/>
      <c r="U379" s="49"/>
      <c r="V379" s="49"/>
      <c r="W379" s="51"/>
    </row>
    <row r="380" spans="1:23" ht="25.5" hidden="1" customHeight="1">
      <c r="A380" s="3"/>
      <c r="B380" s="3"/>
      <c r="C380" s="3"/>
      <c r="D380" s="3"/>
      <c r="E380" s="3"/>
      <c r="F380" s="40"/>
      <c r="G380" s="3"/>
      <c r="H380" s="41"/>
      <c r="I380" s="15"/>
      <c r="J380" s="15"/>
      <c r="K380" s="42"/>
      <c r="L380" s="73"/>
      <c r="M380" s="73"/>
      <c r="N380" s="43"/>
      <c r="O380" s="48"/>
      <c r="P380" s="49"/>
      <c r="Q380" s="49"/>
      <c r="R380" s="49"/>
      <c r="S380" s="50"/>
      <c r="T380" s="49"/>
      <c r="U380" s="49"/>
      <c r="V380" s="49"/>
      <c r="W380" s="51"/>
    </row>
    <row r="381" spans="1:23" ht="25.5" hidden="1" customHeight="1">
      <c r="A381" s="3"/>
      <c r="B381" s="3"/>
      <c r="C381" s="3"/>
      <c r="D381" s="3"/>
      <c r="E381" s="3"/>
      <c r="F381" s="40"/>
      <c r="G381" s="3"/>
      <c r="H381" s="41"/>
      <c r="I381" s="15"/>
      <c r="J381" s="15"/>
      <c r="K381" s="42"/>
      <c r="L381" s="73"/>
      <c r="M381" s="73"/>
      <c r="N381" s="43"/>
      <c r="O381" s="48"/>
      <c r="P381" s="49"/>
      <c r="Q381" s="49"/>
      <c r="R381" s="49"/>
      <c r="S381" s="50"/>
      <c r="T381" s="49"/>
      <c r="U381" s="49"/>
      <c r="V381" s="49"/>
      <c r="W381" s="51"/>
    </row>
    <row r="382" spans="1:23" ht="25.5" hidden="1" customHeight="1">
      <c r="A382" s="3"/>
      <c r="B382" s="3"/>
      <c r="C382" s="3"/>
      <c r="D382" s="3"/>
      <c r="E382" s="3"/>
      <c r="F382" s="40"/>
      <c r="G382" s="3"/>
      <c r="H382" s="41"/>
      <c r="I382" s="15"/>
      <c r="J382" s="15"/>
      <c r="K382" s="42"/>
      <c r="L382" s="73"/>
      <c r="M382" s="73"/>
      <c r="N382" s="43"/>
      <c r="O382" s="48"/>
      <c r="P382" s="49"/>
      <c r="Q382" s="49"/>
      <c r="R382" s="49"/>
      <c r="S382" s="50"/>
      <c r="T382" s="49"/>
      <c r="U382" s="49"/>
      <c r="V382" s="49"/>
      <c r="W382" s="51"/>
    </row>
    <row r="383" spans="1:23" ht="25.5" hidden="1" customHeight="1">
      <c r="A383" s="3"/>
      <c r="B383" s="3"/>
      <c r="C383" s="3"/>
      <c r="D383" s="3"/>
      <c r="E383" s="3"/>
      <c r="F383" s="40"/>
      <c r="G383" s="3"/>
      <c r="H383" s="41"/>
      <c r="I383" s="15"/>
      <c r="J383" s="15"/>
      <c r="K383" s="42"/>
      <c r="L383" s="73"/>
      <c r="M383" s="73"/>
      <c r="N383" s="43"/>
      <c r="O383" s="48"/>
      <c r="P383" s="49"/>
      <c r="Q383" s="49"/>
      <c r="R383" s="49"/>
      <c r="S383" s="50"/>
      <c r="T383" s="49"/>
      <c r="U383" s="49"/>
      <c r="V383" s="49"/>
      <c r="W383" s="51"/>
    </row>
    <row r="384" spans="1:23" ht="25.5" hidden="1" customHeight="1">
      <c r="A384" s="3"/>
      <c r="B384" s="3"/>
      <c r="C384" s="3"/>
      <c r="D384" s="3"/>
      <c r="E384" s="3"/>
      <c r="F384" s="40"/>
      <c r="G384" s="3"/>
      <c r="H384" s="41"/>
      <c r="I384" s="15"/>
      <c r="J384" s="15"/>
      <c r="K384" s="42"/>
      <c r="L384" s="73"/>
      <c r="M384" s="73"/>
      <c r="N384" s="43"/>
      <c r="O384" s="48"/>
      <c r="P384" s="49"/>
      <c r="Q384" s="49"/>
      <c r="R384" s="49"/>
      <c r="S384" s="50"/>
      <c r="T384" s="49"/>
      <c r="U384" s="49"/>
      <c r="V384" s="49"/>
      <c r="W384" s="51"/>
    </row>
    <row r="385" spans="1:23" ht="25.5" hidden="1" customHeight="1">
      <c r="A385" s="3"/>
      <c r="B385" s="3"/>
      <c r="C385" s="3"/>
      <c r="D385" s="3"/>
      <c r="E385" s="3"/>
      <c r="F385" s="40"/>
      <c r="G385" s="3"/>
      <c r="H385" s="41"/>
      <c r="I385" s="15"/>
      <c r="J385" s="15"/>
      <c r="K385" s="42"/>
      <c r="L385" s="73"/>
      <c r="M385" s="73"/>
      <c r="N385" s="43"/>
      <c r="O385" s="48"/>
      <c r="P385" s="49"/>
      <c r="Q385" s="49"/>
      <c r="R385" s="49"/>
      <c r="S385" s="50"/>
      <c r="T385" s="49"/>
      <c r="U385" s="49"/>
      <c r="V385" s="49"/>
      <c r="W385" s="51"/>
    </row>
    <row r="386" spans="1:23" ht="25.5" hidden="1" customHeight="1">
      <c r="A386" s="3"/>
      <c r="B386" s="3"/>
      <c r="C386" s="3"/>
      <c r="D386" s="3"/>
      <c r="E386" s="3"/>
      <c r="F386" s="40"/>
      <c r="G386" s="3"/>
      <c r="H386" s="41"/>
      <c r="I386" s="15"/>
      <c r="J386" s="15"/>
      <c r="K386" s="42"/>
      <c r="L386" s="73"/>
      <c r="M386" s="73"/>
      <c r="N386" s="43"/>
      <c r="O386" s="48"/>
      <c r="P386" s="49"/>
      <c r="Q386" s="49"/>
      <c r="R386" s="49"/>
      <c r="S386" s="50"/>
      <c r="T386" s="49"/>
      <c r="U386" s="49"/>
      <c r="V386" s="49"/>
      <c r="W386" s="51"/>
    </row>
    <row r="387" spans="1:23" ht="25.5" hidden="1" customHeight="1">
      <c r="A387" s="3"/>
      <c r="B387" s="3"/>
      <c r="C387" s="3"/>
      <c r="D387" s="3"/>
      <c r="E387" s="3"/>
      <c r="F387" s="40"/>
      <c r="G387" s="3"/>
      <c r="H387" s="41"/>
      <c r="I387" s="15"/>
      <c r="J387" s="15"/>
      <c r="K387" s="42"/>
      <c r="L387" s="73"/>
      <c r="M387" s="73"/>
      <c r="N387" s="43"/>
      <c r="O387" s="48"/>
      <c r="P387" s="49"/>
      <c r="Q387" s="49"/>
      <c r="R387" s="49"/>
      <c r="S387" s="50"/>
      <c r="T387" s="49"/>
      <c r="U387" s="49"/>
      <c r="V387" s="49"/>
      <c r="W387" s="51"/>
    </row>
    <row r="388" spans="1:23" ht="25.5" hidden="1" customHeight="1">
      <c r="A388" s="3"/>
      <c r="B388" s="3"/>
      <c r="C388" s="3"/>
      <c r="D388" s="3"/>
      <c r="E388" s="3"/>
      <c r="F388" s="40"/>
      <c r="G388" s="3"/>
      <c r="H388" s="41"/>
      <c r="I388" s="15"/>
      <c r="J388" s="15"/>
      <c r="K388" s="42"/>
      <c r="L388" s="73"/>
      <c r="M388" s="73"/>
      <c r="N388" s="43"/>
      <c r="O388" s="48"/>
      <c r="P388" s="49"/>
      <c r="Q388" s="49"/>
      <c r="R388" s="49"/>
      <c r="S388" s="50"/>
      <c r="T388" s="49"/>
      <c r="U388" s="49"/>
      <c r="V388" s="49"/>
      <c r="W388" s="51"/>
    </row>
    <row r="389" spans="1:23" ht="25.5" hidden="1" customHeight="1">
      <c r="A389" s="3"/>
      <c r="B389" s="3"/>
      <c r="C389" s="3"/>
      <c r="D389" s="3"/>
      <c r="E389" s="3"/>
      <c r="F389" s="40"/>
      <c r="G389" s="3"/>
      <c r="H389" s="41"/>
      <c r="I389" s="15"/>
      <c r="J389" s="15"/>
      <c r="K389" s="42"/>
      <c r="L389" s="73"/>
      <c r="M389" s="73"/>
      <c r="N389" s="43"/>
      <c r="O389" s="48"/>
      <c r="P389" s="49"/>
      <c r="Q389" s="49"/>
      <c r="R389" s="49"/>
      <c r="S389" s="50"/>
      <c r="T389" s="49"/>
      <c r="U389" s="49"/>
      <c r="V389" s="49"/>
      <c r="W389" s="51"/>
    </row>
    <row r="390" spans="1:23" ht="25.5" hidden="1" customHeight="1">
      <c r="A390" s="3"/>
      <c r="B390" s="3"/>
      <c r="C390" s="3"/>
      <c r="D390" s="3"/>
      <c r="E390" s="3"/>
      <c r="F390" s="40"/>
      <c r="G390" s="3"/>
      <c r="H390" s="41"/>
      <c r="I390" s="15"/>
      <c r="J390" s="15"/>
      <c r="K390" s="42"/>
      <c r="L390" s="73"/>
      <c r="M390" s="73"/>
      <c r="N390" s="43"/>
      <c r="O390" s="48"/>
      <c r="P390" s="49"/>
      <c r="Q390" s="49"/>
      <c r="R390" s="49"/>
      <c r="S390" s="50"/>
      <c r="T390" s="49"/>
      <c r="U390" s="49"/>
      <c r="V390" s="49"/>
      <c r="W390" s="51"/>
    </row>
    <row r="391" spans="1:23" ht="25.5" hidden="1" customHeight="1">
      <c r="A391" s="3"/>
      <c r="B391" s="3"/>
      <c r="C391" s="3"/>
      <c r="D391" s="3"/>
      <c r="E391" s="3"/>
      <c r="F391" s="40"/>
      <c r="G391" s="3"/>
      <c r="H391" s="41"/>
      <c r="I391" s="15"/>
      <c r="J391" s="15"/>
      <c r="K391" s="42"/>
      <c r="L391" s="73"/>
      <c r="M391" s="73"/>
      <c r="N391" s="43"/>
      <c r="O391" s="48"/>
      <c r="P391" s="49"/>
      <c r="Q391" s="49"/>
      <c r="R391" s="49"/>
      <c r="S391" s="50"/>
      <c r="T391" s="49"/>
      <c r="U391" s="49"/>
      <c r="V391" s="49"/>
      <c r="W391" s="51"/>
    </row>
    <row r="392" spans="1:23" ht="25.5" hidden="1" customHeight="1">
      <c r="A392" s="3"/>
      <c r="B392" s="3"/>
      <c r="C392" s="3"/>
      <c r="D392" s="3"/>
      <c r="E392" s="3"/>
      <c r="F392" s="40"/>
      <c r="G392" s="3"/>
      <c r="H392" s="41"/>
      <c r="I392" s="15"/>
      <c r="J392" s="15"/>
      <c r="K392" s="42"/>
      <c r="L392" s="73"/>
      <c r="M392" s="73"/>
      <c r="N392" s="43"/>
      <c r="O392" s="48"/>
      <c r="P392" s="49"/>
      <c r="Q392" s="49"/>
      <c r="R392" s="49"/>
      <c r="S392" s="50"/>
      <c r="T392" s="49"/>
      <c r="U392" s="49"/>
      <c r="V392" s="49"/>
      <c r="W392" s="51"/>
    </row>
    <row r="393" spans="1:23" ht="25.5" hidden="1" customHeight="1">
      <c r="A393" s="3"/>
      <c r="B393" s="3"/>
      <c r="C393" s="3"/>
      <c r="D393" s="3"/>
      <c r="E393" s="3"/>
      <c r="F393" s="40"/>
      <c r="G393" s="3"/>
      <c r="H393" s="41"/>
      <c r="I393" s="15"/>
      <c r="J393" s="15"/>
      <c r="K393" s="42"/>
      <c r="L393" s="73"/>
      <c r="M393" s="73"/>
      <c r="N393" s="43"/>
      <c r="O393" s="48"/>
      <c r="P393" s="49"/>
      <c r="Q393" s="49"/>
      <c r="R393" s="49"/>
      <c r="S393" s="50"/>
      <c r="T393" s="49"/>
      <c r="U393" s="49"/>
      <c r="V393" s="49"/>
      <c r="W393" s="51"/>
    </row>
    <row r="394" spans="1:23" ht="25.5" hidden="1" customHeight="1">
      <c r="A394" s="3"/>
      <c r="B394" s="3"/>
      <c r="C394" s="3"/>
      <c r="D394" s="3"/>
      <c r="E394" s="3"/>
      <c r="F394" s="40"/>
      <c r="G394" s="3"/>
      <c r="H394" s="41"/>
      <c r="I394" s="15"/>
      <c r="J394" s="15"/>
      <c r="K394" s="42"/>
      <c r="L394" s="73"/>
      <c r="M394" s="73"/>
      <c r="N394" s="43"/>
      <c r="O394" s="48"/>
      <c r="P394" s="49"/>
      <c r="Q394" s="49"/>
      <c r="R394" s="49"/>
      <c r="S394" s="50"/>
      <c r="T394" s="49"/>
      <c r="U394" s="49"/>
      <c r="V394" s="49"/>
      <c r="W394" s="51"/>
    </row>
    <row r="395" spans="1:23" ht="25.5" hidden="1" customHeight="1">
      <c r="A395" s="3"/>
      <c r="B395" s="3"/>
      <c r="C395" s="3"/>
      <c r="D395" s="3"/>
      <c r="E395" s="3"/>
      <c r="F395" s="40"/>
      <c r="G395" s="3"/>
      <c r="H395" s="41"/>
      <c r="I395" s="15"/>
      <c r="J395" s="15"/>
      <c r="K395" s="42"/>
      <c r="L395" s="73"/>
      <c r="M395" s="73"/>
      <c r="N395" s="43"/>
      <c r="O395" s="48"/>
      <c r="P395" s="49"/>
      <c r="Q395" s="49"/>
      <c r="R395" s="49"/>
      <c r="S395" s="50"/>
      <c r="T395" s="49"/>
      <c r="U395" s="49"/>
      <c r="V395" s="49"/>
      <c r="W395" s="51"/>
    </row>
    <row r="396" spans="1:23" ht="25.5" hidden="1" customHeight="1">
      <c r="A396" s="3"/>
      <c r="B396" s="3"/>
      <c r="C396" s="3"/>
      <c r="D396" s="3"/>
      <c r="E396" s="3"/>
      <c r="F396" s="40"/>
      <c r="G396" s="3"/>
      <c r="H396" s="41"/>
      <c r="I396" s="15"/>
      <c r="J396" s="15"/>
      <c r="K396" s="42"/>
      <c r="L396" s="73"/>
      <c r="M396" s="73"/>
      <c r="N396" s="43"/>
      <c r="O396" s="48"/>
      <c r="P396" s="49"/>
      <c r="Q396" s="49"/>
      <c r="R396" s="49"/>
      <c r="S396" s="50"/>
      <c r="T396" s="49"/>
      <c r="U396" s="49"/>
      <c r="V396" s="49"/>
      <c r="W396" s="51"/>
    </row>
    <row r="397" spans="1:23" ht="25.5" hidden="1" customHeight="1">
      <c r="A397" s="3"/>
      <c r="B397" s="3"/>
      <c r="C397" s="3"/>
      <c r="D397" s="3"/>
      <c r="E397" s="3"/>
      <c r="F397" s="40"/>
      <c r="G397" s="3"/>
      <c r="H397" s="41"/>
      <c r="I397" s="15"/>
      <c r="J397" s="15"/>
      <c r="K397" s="42"/>
      <c r="L397" s="73"/>
      <c r="M397" s="73"/>
      <c r="N397" s="43"/>
      <c r="O397" s="48"/>
      <c r="P397" s="49"/>
      <c r="Q397" s="49"/>
      <c r="R397" s="49"/>
      <c r="S397" s="50"/>
      <c r="T397" s="49"/>
      <c r="U397" s="49"/>
      <c r="V397" s="49"/>
      <c r="W397" s="51"/>
    </row>
    <row r="398" spans="1:23" ht="25.5" hidden="1" customHeight="1">
      <c r="A398" s="3"/>
      <c r="B398" s="3"/>
      <c r="C398" s="3"/>
      <c r="D398" s="3"/>
      <c r="E398" s="3"/>
      <c r="F398" s="40"/>
      <c r="G398" s="3"/>
      <c r="H398" s="41"/>
      <c r="I398" s="15"/>
      <c r="J398" s="15"/>
      <c r="K398" s="42"/>
      <c r="L398" s="73"/>
      <c r="M398" s="73"/>
      <c r="N398" s="43"/>
      <c r="O398" s="48"/>
      <c r="P398" s="49"/>
      <c r="Q398" s="49"/>
      <c r="R398" s="49"/>
      <c r="S398" s="50"/>
      <c r="T398" s="49"/>
      <c r="U398" s="49"/>
      <c r="V398" s="49"/>
      <c r="W398" s="51"/>
    </row>
    <row r="399" spans="1:23" ht="25.5" hidden="1" customHeight="1">
      <c r="A399" s="3"/>
      <c r="B399" s="3"/>
      <c r="C399" s="3"/>
      <c r="D399" s="3"/>
      <c r="E399" s="3"/>
      <c r="F399" s="40"/>
      <c r="G399" s="3"/>
      <c r="H399" s="41"/>
      <c r="I399" s="15"/>
      <c r="J399" s="15"/>
      <c r="K399" s="42"/>
      <c r="L399" s="73"/>
      <c r="M399" s="73"/>
      <c r="N399" s="43"/>
      <c r="O399" s="48"/>
      <c r="P399" s="49"/>
      <c r="Q399" s="49"/>
      <c r="R399" s="49"/>
      <c r="S399" s="50"/>
      <c r="T399" s="49"/>
      <c r="U399" s="49"/>
      <c r="V399" s="49"/>
      <c r="W399" s="51"/>
    </row>
    <row r="400" spans="1:23" ht="25.5" hidden="1" customHeight="1">
      <c r="A400" s="3"/>
      <c r="B400" s="3"/>
      <c r="C400" s="3"/>
      <c r="D400" s="3"/>
      <c r="E400" s="3"/>
      <c r="F400" s="40"/>
      <c r="G400" s="3"/>
      <c r="H400" s="41"/>
      <c r="I400" s="15"/>
      <c r="J400" s="15"/>
      <c r="K400" s="42"/>
      <c r="L400" s="73"/>
      <c r="M400" s="73"/>
      <c r="N400" s="43"/>
      <c r="O400" s="48"/>
      <c r="P400" s="49"/>
      <c r="Q400" s="49"/>
      <c r="R400" s="49"/>
      <c r="S400" s="50"/>
      <c r="T400" s="49"/>
      <c r="U400" s="49"/>
      <c r="V400" s="49"/>
      <c r="W400" s="51"/>
    </row>
    <row r="401" spans="1:23" ht="25.5" hidden="1" customHeight="1">
      <c r="A401" s="3"/>
      <c r="B401" s="3"/>
      <c r="C401" s="3"/>
      <c r="D401" s="3"/>
      <c r="E401" s="3"/>
      <c r="F401" s="40"/>
      <c r="G401" s="3"/>
      <c r="H401" s="41"/>
      <c r="I401" s="15"/>
      <c r="J401" s="15"/>
      <c r="K401" s="42"/>
      <c r="L401" s="73"/>
      <c r="M401" s="73"/>
      <c r="N401" s="43"/>
      <c r="O401" s="48"/>
      <c r="P401" s="49"/>
      <c r="Q401" s="49"/>
      <c r="R401" s="49"/>
      <c r="S401" s="50"/>
      <c r="T401" s="49"/>
      <c r="U401" s="49"/>
      <c r="V401" s="49"/>
      <c r="W401" s="51"/>
    </row>
    <row r="402" spans="1:23" ht="25.5" hidden="1" customHeight="1">
      <c r="A402" s="3"/>
      <c r="B402" s="3"/>
      <c r="C402" s="3"/>
      <c r="D402" s="3"/>
      <c r="E402" s="3"/>
      <c r="F402" s="40"/>
      <c r="G402" s="3"/>
      <c r="H402" s="41"/>
      <c r="I402" s="15"/>
      <c r="J402" s="15"/>
      <c r="K402" s="42"/>
      <c r="L402" s="73"/>
      <c r="M402" s="73"/>
      <c r="N402" s="43"/>
      <c r="O402" s="48"/>
      <c r="P402" s="49"/>
      <c r="Q402" s="49"/>
      <c r="R402" s="49"/>
      <c r="S402" s="50"/>
      <c r="T402" s="49"/>
      <c r="U402" s="49"/>
      <c r="V402" s="49"/>
      <c r="W402" s="51"/>
    </row>
    <row r="403" spans="1:23" ht="25.5" hidden="1" customHeight="1">
      <c r="A403" s="3"/>
      <c r="B403" s="3"/>
      <c r="C403" s="3"/>
      <c r="D403" s="3"/>
      <c r="E403" s="3"/>
      <c r="F403" s="40"/>
      <c r="G403" s="3"/>
      <c r="H403" s="41"/>
      <c r="I403" s="15"/>
      <c r="J403" s="15"/>
      <c r="K403" s="42"/>
      <c r="L403" s="73"/>
      <c r="M403" s="73"/>
      <c r="N403" s="43"/>
      <c r="O403" s="48"/>
      <c r="P403" s="49"/>
      <c r="Q403" s="49"/>
      <c r="R403" s="49"/>
      <c r="S403" s="50"/>
      <c r="T403" s="49"/>
      <c r="U403" s="49"/>
      <c r="V403" s="49"/>
      <c r="W403" s="51"/>
    </row>
    <row r="404" spans="1:23" ht="25.5" hidden="1" customHeight="1">
      <c r="A404" s="3"/>
      <c r="B404" s="3"/>
      <c r="C404" s="3"/>
      <c r="D404" s="3"/>
      <c r="E404" s="3"/>
      <c r="F404" s="40"/>
      <c r="G404" s="3"/>
      <c r="H404" s="41"/>
      <c r="I404" s="15"/>
      <c r="J404" s="15"/>
      <c r="K404" s="42"/>
      <c r="L404" s="73"/>
      <c r="M404" s="73"/>
      <c r="N404" s="43"/>
      <c r="O404" s="48"/>
      <c r="P404" s="49"/>
      <c r="Q404" s="49"/>
      <c r="R404" s="49"/>
      <c r="S404" s="50"/>
      <c r="T404" s="49"/>
      <c r="U404" s="49"/>
      <c r="V404" s="49"/>
      <c r="W404" s="51"/>
    </row>
    <row r="405" spans="1:23" ht="25.5" hidden="1" customHeight="1">
      <c r="A405" s="3"/>
      <c r="B405" s="3"/>
      <c r="C405" s="3"/>
      <c r="D405" s="3"/>
      <c r="E405" s="3"/>
      <c r="F405" s="40"/>
      <c r="G405" s="3"/>
      <c r="H405" s="41"/>
      <c r="I405" s="15"/>
      <c r="J405" s="15"/>
      <c r="K405" s="42"/>
      <c r="L405" s="73"/>
      <c r="M405" s="73"/>
      <c r="N405" s="43"/>
      <c r="O405" s="48"/>
      <c r="P405" s="49"/>
      <c r="Q405" s="49"/>
      <c r="R405" s="49"/>
      <c r="S405" s="50"/>
      <c r="T405" s="49"/>
      <c r="U405" s="49"/>
      <c r="V405" s="49"/>
      <c r="W405" s="51"/>
    </row>
    <row r="406" spans="1:23" ht="25.5" hidden="1" customHeight="1">
      <c r="A406" s="3"/>
      <c r="B406" s="3"/>
      <c r="C406" s="3"/>
      <c r="D406" s="3"/>
      <c r="E406" s="3"/>
      <c r="F406" s="40"/>
      <c r="G406" s="3"/>
      <c r="H406" s="41"/>
      <c r="I406" s="15"/>
      <c r="J406" s="15"/>
      <c r="K406" s="42"/>
      <c r="L406" s="73"/>
      <c r="M406" s="73"/>
      <c r="N406" s="43"/>
      <c r="O406" s="48"/>
      <c r="P406" s="49"/>
      <c r="Q406" s="49"/>
      <c r="R406" s="49"/>
      <c r="S406" s="50"/>
      <c r="T406" s="49"/>
      <c r="U406" s="49"/>
      <c r="V406" s="49"/>
      <c r="W406" s="51"/>
    </row>
    <row r="407" spans="1:23" ht="25.5" hidden="1" customHeight="1">
      <c r="A407" s="3"/>
      <c r="B407" s="3"/>
      <c r="C407" s="3"/>
      <c r="D407" s="3"/>
      <c r="E407" s="3"/>
      <c r="F407" s="40"/>
      <c r="G407" s="3"/>
      <c r="H407" s="41"/>
      <c r="I407" s="15"/>
      <c r="J407" s="15"/>
      <c r="K407" s="42"/>
      <c r="L407" s="73"/>
      <c r="M407" s="73"/>
      <c r="N407" s="43"/>
      <c r="O407" s="48"/>
      <c r="P407" s="49"/>
      <c r="Q407" s="49"/>
      <c r="R407" s="49"/>
      <c r="S407" s="50"/>
      <c r="T407" s="49"/>
      <c r="U407" s="49"/>
      <c r="V407" s="49"/>
      <c r="W407" s="51"/>
    </row>
    <row r="408" spans="1:23" ht="25.5" hidden="1" customHeight="1">
      <c r="A408" s="3"/>
      <c r="B408" s="3"/>
      <c r="C408" s="3"/>
      <c r="D408" s="3"/>
      <c r="E408" s="3"/>
      <c r="F408" s="40"/>
      <c r="G408" s="3"/>
      <c r="H408" s="41"/>
      <c r="I408" s="15"/>
      <c r="J408" s="15"/>
      <c r="K408" s="42"/>
      <c r="L408" s="73"/>
      <c r="M408" s="73"/>
      <c r="N408" s="43"/>
      <c r="O408" s="48"/>
      <c r="P408" s="49"/>
      <c r="Q408" s="49"/>
      <c r="R408" s="49"/>
      <c r="S408" s="50"/>
      <c r="T408" s="49"/>
      <c r="U408" s="49"/>
      <c r="V408" s="49"/>
      <c r="W408" s="51"/>
    </row>
    <row r="409" spans="1:23" ht="25.5" hidden="1" customHeight="1">
      <c r="A409" s="3"/>
      <c r="B409" s="3"/>
      <c r="C409" s="3"/>
      <c r="D409" s="3"/>
      <c r="E409" s="3"/>
      <c r="F409" s="40"/>
      <c r="G409" s="3"/>
      <c r="H409" s="41"/>
      <c r="I409" s="15"/>
      <c r="J409" s="15"/>
      <c r="K409" s="42"/>
      <c r="L409" s="73"/>
      <c r="M409" s="73"/>
      <c r="N409" s="43"/>
      <c r="O409" s="48"/>
      <c r="P409" s="49"/>
      <c r="Q409" s="49"/>
      <c r="R409" s="49"/>
      <c r="S409" s="50"/>
      <c r="T409" s="49"/>
      <c r="U409" s="49"/>
      <c r="V409" s="49"/>
      <c r="W409" s="51"/>
    </row>
    <row r="410" spans="1:23" ht="25.5" hidden="1" customHeight="1">
      <c r="A410" s="3"/>
      <c r="B410" s="3"/>
      <c r="C410" s="3"/>
      <c r="D410" s="3"/>
      <c r="E410" s="3"/>
      <c r="F410" s="40"/>
      <c r="G410" s="3"/>
      <c r="H410" s="41"/>
      <c r="I410" s="15"/>
      <c r="J410" s="15"/>
      <c r="K410" s="42"/>
      <c r="L410" s="73"/>
      <c r="M410" s="73"/>
      <c r="N410" s="43"/>
      <c r="O410" s="48"/>
      <c r="P410" s="49"/>
      <c r="Q410" s="49"/>
      <c r="R410" s="49"/>
      <c r="S410" s="50"/>
      <c r="T410" s="49"/>
      <c r="U410" s="49"/>
      <c r="V410" s="49"/>
      <c r="W410" s="51"/>
    </row>
    <row r="411" spans="1:23" ht="25.5" hidden="1" customHeight="1">
      <c r="A411" s="3"/>
      <c r="B411" s="3"/>
      <c r="C411" s="3"/>
      <c r="D411" s="3"/>
      <c r="E411" s="3"/>
      <c r="F411" s="40"/>
      <c r="G411" s="3"/>
      <c r="H411" s="41"/>
      <c r="I411" s="15"/>
      <c r="J411" s="15"/>
      <c r="K411" s="42"/>
      <c r="L411" s="73"/>
      <c r="M411" s="73"/>
      <c r="N411" s="43"/>
      <c r="O411" s="48"/>
      <c r="P411" s="49"/>
      <c r="Q411" s="49"/>
      <c r="R411" s="49"/>
      <c r="S411" s="50"/>
      <c r="T411" s="49"/>
      <c r="U411" s="49"/>
      <c r="V411" s="49"/>
      <c r="W411" s="51"/>
    </row>
    <row r="412" spans="1:23" ht="25.5" hidden="1" customHeight="1">
      <c r="A412" s="3"/>
      <c r="B412" s="3"/>
      <c r="C412" s="3"/>
      <c r="D412" s="3"/>
      <c r="E412" s="3"/>
      <c r="F412" s="40"/>
      <c r="G412" s="3"/>
      <c r="H412" s="41"/>
      <c r="I412" s="15"/>
      <c r="J412" s="15"/>
      <c r="K412" s="42"/>
      <c r="L412" s="73"/>
      <c r="M412" s="73"/>
      <c r="N412" s="43"/>
      <c r="O412" s="48"/>
      <c r="P412" s="49"/>
      <c r="Q412" s="49"/>
      <c r="R412" s="49"/>
      <c r="S412" s="50"/>
      <c r="T412" s="49"/>
      <c r="U412" s="49"/>
      <c r="V412" s="49"/>
      <c r="W412" s="51"/>
    </row>
    <row r="413" spans="1:23" ht="25.5" hidden="1" customHeight="1">
      <c r="A413" s="3"/>
      <c r="B413" s="3"/>
      <c r="C413" s="3"/>
      <c r="D413" s="3"/>
      <c r="E413" s="3"/>
      <c r="F413" s="40"/>
      <c r="G413" s="3"/>
      <c r="H413" s="41"/>
      <c r="I413" s="15"/>
      <c r="J413" s="15"/>
      <c r="K413" s="42"/>
      <c r="L413" s="73"/>
      <c r="M413" s="73"/>
      <c r="N413" s="43"/>
      <c r="O413" s="48"/>
      <c r="P413" s="49"/>
      <c r="Q413" s="49"/>
      <c r="R413" s="49"/>
      <c r="S413" s="50"/>
      <c r="T413" s="49"/>
      <c r="U413" s="49"/>
      <c r="V413" s="49"/>
      <c r="W413" s="51"/>
    </row>
    <row r="414" spans="1:23" ht="25.5" hidden="1" customHeight="1">
      <c r="A414" s="3"/>
      <c r="B414" s="3"/>
      <c r="C414" s="3"/>
      <c r="D414" s="3"/>
      <c r="E414" s="3"/>
      <c r="F414" s="40"/>
      <c r="G414" s="3"/>
      <c r="H414" s="41"/>
      <c r="I414" s="15"/>
      <c r="J414" s="15"/>
      <c r="K414" s="42"/>
      <c r="L414" s="73"/>
      <c r="M414" s="73"/>
      <c r="N414" s="43"/>
      <c r="O414" s="48"/>
      <c r="P414" s="49"/>
      <c r="Q414" s="49"/>
      <c r="R414" s="49"/>
      <c r="S414" s="50"/>
      <c r="T414" s="49"/>
      <c r="U414" s="49"/>
      <c r="V414" s="49"/>
      <c r="W414" s="51"/>
    </row>
    <row r="415" spans="1:23" ht="25.5" hidden="1" customHeight="1">
      <c r="A415" s="3"/>
      <c r="B415" s="3"/>
      <c r="C415" s="3"/>
      <c r="D415" s="3"/>
      <c r="E415" s="3"/>
      <c r="F415" s="40"/>
      <c r="G415" s="3"/>
      <c r="H415" s="41"/>
      <c r="I415" s="15"/>
      <c r="J415" s="15"/>
      <c r="K415" s="42"/>
      <c r="L415" s="73"/>
      <c r="M415" s="73"/>
      <c r="N415" s="43"/>
      <c r="O415" s="48"/>
      <c r="P415" s="49"/>
      <c r="Q415" s="49"/>
      <c r="R415" s="49"/>
      <c r="S415" s="50"/>
      <c r="T415" s="49"/>
      <c r="U415" s="49"/>
      <c r="V415" s="49"/>
      <c r="W415" s="51"/>
    </row>
    <row r="416" spans="1:23" ht="25.5" hidden="1" customHeight="1">
      <c r="A416" s="3"/>
      <c r="B416" s="3"/>
      <c r="C416" s="3"/>
      <c r="D416" s="3"/>
      <c r="E416" s="3"/>
      <c r="F416" s="40"/>
      <c r="G416" s="3"/>
      <c r="H416" s="41"/>
      <c r="I416" s="15"/>
      <c r="J416" s="15"/>
      <c r="K416" s="42"/>
      <c r="L416" s="73"/>
      <c r="M416" s="73"/>
      <c r="N416" s="43"/>
      <c r="O416" s="48"/>
      <c r="P416" s="49"/>
      <c r="Q416" s="49"/>
      <c r="R416" s="49"/>
      <c r="S416" s="50"/>
      <c r="T416" s="49"/>
      <c r="U416" s="49"/>
      <c r="V416" s="49"/>
      <c r="W416" s="51"/>
    </row>
    <row r="417" spans="1:23" ht="25.5" hidden="1" customHeight="1">
      <c r="A417" s="3"/>
      <c r="B417" s="3"/>
      <c r="C417" s="3"/>
      <c r="D417" s="3"/>
      <c r="E417" s="3"/>
      <c r="F417" s="40"/>
      <c r="G417" s="3"/>
      <c r="H417" s="41"/>
      <c r="I417" s="15"/>
      <c r="J417" s="15"/>
      <c r="K417" s="42"/>
      <c r="L417" s="73"/>
      <c r="M417" s="73"/>
      <c r="N417" s="43"/>
      <c r="O417" s="48"/>
      <c r="P417" s="49"/>
      <c r="Q417" s="49"/>
      <c r="R417" s="49"/>
      <c r="S417" s="50"/>
      <c r="T417" s="49"/>
      <c r="U417" s="49"/>
      <c r="V417" s="49"/>
      <c r="W417" s="51"/>
    </row>
    <row r="418" spans="1:23" ht="25.5" hidden="1" customHeight="1">
      <c r="A418" s="3"/>
      <c r="B418" s="3"/>
      <c r="C418" s="3"/>
      <c r="D418" s="3"/>
      <c r="E418" s="3"/>
      <c r="F418" s="40"/>
      <c r="G418" s="3"/>
      <c r="H418" s="41"/>
      <c r="I418" s="15"/>
      <c r="J418" s="15"/>
      <c r="K418" s="42"/>
      <c r="L418" s="73"/>
      <c r="M418" s="73"/>
      <c r="N418" s="43"/>
      <c r="O418" s="48"/>
      <c r="P418" s="49"/>
      <c r="Q418" s="49"/>
      <c r="R418" s="49"/>
      <c r="S418" s="50"/>
      <c r="T418" s="49"/>
      <c r="U418" s="49"/>
      <c r="V418" s="49"/>
      <c r="W418" s="51"/>
    </row>
    <row r="419" spans="1:23" ht="25.5" hidden="1" customHeight="1">
      <c r="A419" s="3"/>
      <c r="B419" s="3"/>
      <c r="C419" s="3"/>
      <c r="D419" s="3"/>
      <c r="E419" s="3"/>
      <c r="F419" s="40"/>
      <c r="G419" s="3"/>
      <c r="H419" s="41"/>
      <c r="I419" s="15"/>
      <c r="J419" s="15"/>
      <c r="K419" s="42"/>
      <c r="L419" s="73"/>
      <c r="M419" s="73"/>
      <c r="N419" s="43"/>
      <c r="O419" s="48"/>
      <c r="P419" s="49"/>
      <c r="Q419" s="49"/>
      <c r="R419" s="49"/>
      <c r="S419" s="50"/>
      <c r="T419" s="49"/>
      <c r="U419" s="49"/>
      <c r="V419" s="49"/>
      <c r="W419" s="51"/>
    </row>
    <row r="420" spans="1:23" ht="25.5" hidden="1" customHeight="1">
      <c r="A420" s="3"/>
      <c r="B420" s="3"/>
      <c r="C420" s="3"/>
      <c r="D420" s="3"/>
      <c r="E420" s="3"/>
      <c r="F420" s="40"/>
      <c r="G420" s="3"/>
      <c r="H420" s="41"/>
      <c r="I420" s="15"/>
      <c r="J420" s="15"/>
      <c r="K420" s="42"/>
      <c r="L420" s="73"/>
      <c r="M420" s="73"/>
      <c r="N420" s="43"/>
      <c r="O420" s="48"/>
      <c r="P420" s="49"/>
      <c r="Q420" s="49"/>
      <c r="R420" s="49"/>
      <c r="S420" s="50"/>
      <c r="T420" s="49"/>
      <c r="U420" s="49"/>
      <c r="V420" s="49"/>
      <c r="W420" s="51"/>
    </row>
    <row r="421" spans="1:23" ht="25.5" hidden="1" customHeight="1">
      <c r="A421" s="3"/>
      <c r="B421" s="3"/>
      <c r="C421" s="3"/>
      <c r="D421" s="3"/>
      <c r="E421" s="3"/>
      <c r="F421" s="40"/>
      <c r="G421" s="3"/>
      <c r="H421" s="41"/>
      <c r="I421" s="15"/>
      <c r="J421" s="15"/>
      <c r="K421" s="42"/>
      <c r="L421" s="73"/>
      <c r="M421" s="73"/>
      <c r="N421" s="43"/>
      <c r="O421" s="48"/>
      <c r="P421" s="49"/>
      <c r="Q421" s="49"/>
      <c r="R421" s="49"/>
      <c r="S421" s="50"/>
      <c r="T421" s="49"/>
      <c r="U421" s="49"/>
      <c r="V421" s="49"/>
      <c r="W421" s="51"/>
    </row>
    <row r="422" spans="1:23" ht="25.5" hidden="1" customHeight="1">
      <c r="A422" s="3"/>
      <c r="B422" s="3"/>
      <c r="C422" s="3"/>
      <c r="D422" s="3"/>
      <c r="E422" s="3"/>
      <c r="F422" s="40"/>
      <c r="G422" s="3"/>
      <c r="H422" s="41"/>
      <c r="I422" s="15"/>
      <c r="J422" s="15"/>
      <c r="K422" s="42"/>
      <c r="L422" s="73"/>
      <c r="M422" s="73"/>
      <c r="N422" s="43"/>
      <c r="O422" s="48"/>
      <c r="P422" s="49"/>
      <c r="Q422" s="49"/>
      <c r="R422" s="49"/>
      <c r="S422" s="50"/>
      <c r="T422" s="49"/>
      <c r="U422" s="49"/>
      <c r="V422" s="49"/>
      <c r="W422" s="51"/>
    </row>
    <row r="423" spans="1:23" ht="25.5" hidden="1" customHeight="1">
      <c r="A423" s="3"/>
      <c r="B423" s="3"/>
      <c r="C423" s="3"/>
      <c r="D423" s="3"/>
      <c r="E423" s="3"/>
      <c r="F423" s="40"/>
      <c r="G423" s="3"/>
      <c r="H423" s="41"/>
      <c r="I423" s="15"/>
      <c r="J423" s="15"/>
      <c r="K423" s="42"/>
      <c r="L423" s="73"/>
      <c r="M423" s="73"/>
      <c r="N423" s="43"/>
      <c r="O423" s="48"/>
      <c r="P423" s="49"/>
      <c r="Q423" s="49"/>
      <c r="R423" s="49"/>
      <c r="S423" s="50"/>
      <c r="T423" s="49"/>
      <c r="U423" s="49"/>
      <c r="V423" s="49"/>
      <c r="W423" s="51"/>
    </row>
    <row r="424" spans="1:23" ht="25.5" hidden="1" customHeight="1">
      <c r="A424" s="3"/>
      <c r="B424" s="3"/>
      <c r="C424" s="3"/>
      <c r="D424" s="3"/>
      <c r="E424" s="3"/>
      <c r="F424" s="40"/>
      <c r="G424" s="3"/>
      <c r="H424" s="41"/>
      <c r="I424" s="15"/>
      <c r="J424" s="15"/>
      <c r="K424" s="42"/>
      <c r="L424" s="73"/>
      <c r="M424" s="73"/>
      <c r="N424" s="43"/>
      <c r="O424" s="48"/>
      <c r="P424" s="49"/>
      <c r="Q424" s="49"/>
      <c r="R424" s="49"/>
      <c r="S424" s="50"/>
      <c r="T424" s="49"/>
      <c r="U424" s="49"/>
      <c r="V424" s="49"/>
      <c r="W424" s="51"/>
    </row>
    <row r="425" spans="1:23" ht="25.5" hidden="1" customHeight="1">
      <c r="A425" s="3"/>
      <c r="B425" s="3"/>
      <c r="C425" s="3"/>
      <c r="D425" s="3"/>
      <c r="E425" s="3"/>
      <c r="F425" s="40"/>
      <c r="G425" s="3"/>
      <c r="H425" s="41"/>
      <c r="I425" s="15"/>
      <c r="J425" s="15"/>
      <c r="K425" s="42"/>
      <c r="L425" s="73"/>
      <c r="M425" s="73"/>
      <c r="N425" s="43"/>
      <c r="O425" s="48"/>
      <c r="P425" s="49"/>
      <c r="Q425" s="49"/>
      <c r="R425" s="49"/>
      <c r="S425" s="50"/>
      <c r="T425" s="49"/>
      <c r="U425" s="49"/>
      <c r="V425" s="49"/>
      <c r="W425" s="51"/>
    </row>
    <row r="426" spans="1:23" ht="25.5" hidden="1" customHeight="1">
      <c r="A426" s="3"/>
      <c r="B426" s="3"/>
      <c r="C426" s="3"/>
      <c r="D426" s="3"/>
      <c r="E426" s="3"/>
      <c r="F426" s="40"/>
      <c r="G426" s="3"/>
      <c r="H426" s="41"/>
      <c r="I426" s="15"/>
      <c r="J426" s="15"/>
      <c r="K426" s="42"/>
      <c r="L426" s="73"/>
      <c r="M426" s="73"/>
      <c r="N426" s="43"/>
      <c r="O426" s="48"/>
      <c r="P426" s="49"/>
      <c r="Q426" s="49"/>
      <c r="R426" s="49"/>
      <c r="S426" s="50"/>
      <c r="T426" s="49"/>
      <c r="U426" s="49"/>
      <c r="V426" s="49"/>
      <c r="W426" s="51"/>
    </row>
    <row r="427" spans="1:23" ht="25.5" hidden="1" customHeight="1">
      <c r="A427" s="3"/>
      <c r="B427" s="3"/>
      <c r="C427" s="3"/>
      <c r="D427" s="3"/>
      <c r="E427" s="3"/>
      <c r="F427" s="40"/>
      <c r="G427" s="3"/>
      <c r="H427" s="41"/>
      <c r="I427" s="15"/>
      <c r="J427" s="15"/>
      <c r="K427" s="42"/>
      <c r="L427" s="73"/>
      <c r="M427" s="73"/>
      <c r="N427" s="43"/>
      <c r="O427" s="48"/>
      <c r="P427" s="49"/>
      <c r="Q427" s="49"/>
      <c r="R427" s="49"/>
      <c r="S427" s="50"/>
      <c r="T427" s="49"/>
      <c r="U427" s="49"/>
      <c r="V427" s="49"/>
      <c r="W427" s="51"/>
    </row>
    <row r="428" spans="1:23" ht="25.5" hidden="1" customHeight="1">
      <c r="A428" s="3"/>
      <c r="B428" s="3"/>
      <c r="C428" s="3"/>
      <c r="D428" s="3"/>
      <c r="E428" s="3"/>
      <c r="F428" s="40"/>
      <c r="G428" s="3"/>
      <c r="H428" s="41"/>
      <c r="I428" s="15"/>
      <c r="J428" s="15"/>
      <c r="K428" s="42"/>
      <c r="L428" s="73"/>
      <c r="M428" s="73"/>
      <c r="N428" s="43"/>
      <c r="O428" s="48"/>
      <c r="P428" s="49"/>
      <c r="Q428" s="49"/>
      <c r="R428" s="49"/>
      <c r="S428" s="50"/>
      <c r="T428" s="49"/>
      <c r="U428" s="49"/>
      <c r="V428" s="49"/>
      <c r="W428" s="51"/>
    </row>
    <row r="429" spans="1:23" ht="25.5" hidden="1" customHeight="1">
      <c r="A429" s="3"/>
      <c r="B429" s="3"/>
      <c r="C429" s="3"/>
      <c r="D429" s="3"/>
      <c r="E429" s="3"/>
      <c r="F429" s="40"/>
      <c r="G429" s="3"/>
      <c r="H429" s="41"/>
      <c r="I429" s="15"/>
      <c r="J429" s="15"/>
      <c r="K429" s="42"/>
      <c r="L429" s="73"/>
      <c r="M429" s="73"/>
      <c r="N429" s="43"/>
      <c r="O429" s="48"/>
      <c r="P429" s="49"/>
      <c r="Q429" s="49"/>
      <c r="R429" s="49"/>
      <c r="S429" s="50"/>
      <c r="T429" s="49"/>
      <c r="U429" s="49"/>
      <c r="V429" s="49"/>
      <c r="W429" s="51"/>
    </row>
    <row r="430" spans="1:23" ht="25.5" hidden="1" customHeight="1">
      <c r="A430" s="3"/>
      <c r="B430" s="3"/>
      <c r="C430" s="3"/>
      <c r="D430" s="3"/>
      <c r="E430" s="3"/>
      <c r="F430" s="40"/>
      <c r="G430" s="3"/>
      <c r="H430" s="41"/>
      <c r="I430" s="15"/>
      <c r="J430" s="15"/>
      <c r="K430" s="42"/>
      <c r="L430" s="73"/>
      <c r="M430" s="73"/>
      <c r="N430" s="43"/>
      <c r="O430" s="48"/>
      <c r="P430" s="49"/>
      <c r="Q430" s="49"/>
      <c r="R430" s="49"/>
      <c r="S430" s="50"/>
      <c r="T430" s="49"/>
      <c r="U430" s="49"/>
      <c r="V430" s="49"/>
      <c r="W430" s="51"/>
    </row>
    <row r="431" spans="1:23" ht="25.5" hidden="1" customHeight="1">
      <c r="A431" s="3"/>
      <c r="B431" s="3"/>
      <c r="C431" s="3"/>
      <c r="D431" s="3"/>
      <c r="E431" s="3"/>
      <c r="F431" s="40"/>
      <c r="G431" s="3"/>
      <c r="H431" s="41"/>
      <c r="I431" s="15"/>
      <c r="J431" s="15"/>
      <c r="K431" s="42"/>
      <c r="L431" s="73"/>
      <c r="M431" s="73"/>
      <c r="N431" s="43"/>
      <c r="O431" s="48"/>
      <c r="P431" s="49"/>
      <c r="Q431" s="49"/>
      <c r="R431" s="49"/>
      <c r="S431" s="50"/>
      <c r="T431" s="49"/>
      <c r="U431" s="49"/>
      <c r="V431" s="49"/>
      <c r="W431" s="51"/>
    </row>
    <row r="432" spans="1:23" ht="25.5" hidden="1" customHeight="1">
      <c r="A432" s="3"/>
      <c r="B432" s="3"/>
      <c r="C432" s="3"/>
      <c r="D432" s="3"/>
      <c r="E432" s="3"/>
      <c r="F432" s="40"/>
      <c r="G432" s="3"/>
      <c r="H432" s="41"/>
      <c r="I432" s="15"/>
      <c r="J432" s="15"/>
      <c r="K432" s="42"/>
      <c r="L432" s="73"/>
      <c r="M432" s="73"/>
      <c r="N432" s="43"/>
      <c r="O432" s="48"/>
      <c r="P432" s="49"/>
      <c r="Q432" s="49"/>
      <c r="R432" s="49"/>
      <c r="S432" s="50"/>
      <c r="T432" s="49"/>
      <c r="U432" s="49"/>
      <c r="V432" s="49"/>
      <c r="W432" s="51"/>
    </row>
    <row r="433" spans="1:23" ht="25.5" hidden="1" customHeight="1">
      <c r="A433" s="3"/>
      <c r="B433" s="3"/>
      <c r="C433" s="3"/>
      <c r="D433" s="3"/>
      <c r="E433" s="3"/>
      <c r="F433" s="40"/>
      <c r="G433" s="3"/>
      <c r="H433" s="41"/>
      <c r="I433" s="15"/>
      <c r="J433" s="15"/>
      <c r="K433" s="42"/>
      <c r="L433" s="73"/>
      <c r="M433" s="73"/>
      <c r="N433" s="43"/>
      <c r="O433" s="48"/>
      <c r="P433" s="49"/>
      <c r="Q433" s="49"/>
      <c r="R433" s="49"/>
      <c r="S433" s="50"/>
      <c r="T433" s="49"/>
      <c r="U433" s="49"/>
      <c r="V433" s="49"/>
      <c r="W433" s="51"/>
    </row>
    <row r="434" spans="1:23" ht="25.5" hidden="1" customHeight="1">
      <c r="A434" s="3"/>
      <c r="B434" s="3"/>
      <c r="C434" s="3"/>
      <c r="D434" s="3"/>
      <c r="E434" s="3"/>
      <c r="F434" s="40"/>
      <c r="G434" s="3"/>
      <c r="H434" s="41"/>
      <c r="I434" s="15"/>
      <c r="J434" s="15"/>
      <c r="K434" s="42"/>
      <c r="L434" s="73"/>
      <c r="M434" s="73"/>
      <c r="N434" s="43"/>
      <c r="O434" s="48"/>
      <c r="P434" s="49"/>
      <c r="Q434" s="49"/>
      <c r="R434" s="49"/>
      <c r="S434" s="50"/>
      <c r="T434" s="49"/>
      <c r="U434" s="49"/>
      <c r="V434" s="49"/>
      <c r="W434" s="51"/>
    </row>
    <row r="435" spans="1:23" ht="25.5" hidden="1" customHeight="1">
      <c r="A435" s="3"/>
      <c r="B435" s="3"/>
      <c r="C435" s="3"/>
      <c r="D435" s="3"/>
      <c r="E435" s="3"/>
      <c r="F435" s="40"/>
      <c r="G435" s="3"/>
      <c r="H435" s="41"/>
      <c r="I435" s="15"/>
      <c r="J435" s="15"/>
      <c r="K435" s="42"/>
      <c r="L435" s="73"/>
      <c r="M435" s="73"/>
      <c r="N435" s="43"/>
      <c r="O435" s="48"/>
      <c r="P435" s="49"/>
      <c r="Q435" s="49"/>
      <c r="R435" s="49"/>
      <c r="S435" s="50"/>
      <c r="T435" s="49"/>
      <c r="U435" s="49"/>
      <c r="V435" s="49"/>
      <c r="W435" s="51"/>
    </row>
    <row r="436" spans="1:23" ht="25.5" hidden="1" customHeight="1">
      <c r="A436" s="3"/>
      <c r="B436" s="3"/>
      <c r="C436" s="3"/>
      <c r="D436" s="3"/>
      <c r="E436" s="3"/>
      <c r="F436" s="40"/>
      <c r="G436" s="3"/>
      <c r="H436" s="41"/>
      <c r="I436" s="15"/>
      <c r="J436" s="15"/>
      <c r="K436" s="42"/>
      <c r="L436" s="73"/>
      <c r="M436" s="73"/>
      <c r="N436" s="43"/>
      <c r="O436" s="48"/>
      <c r="P436" s="49"/>
      <c r="Q436" s="49"/>
      <c r="R436" s="49"/>
      <c r="S436" s="50"/>
      <c r="T436" s="49"/>
      <c r="U436" s="49"/>
      <c r="V436" s="49"/>
      <c r="W436" s="51"/>
    </row>
    <row r="437" spans="1:23" ht="25.5" hidden="1" customHeight="1">
      <c r="A437" s="3"/>
      <c r="B437" s="3"/>
      <c r="C437" s="3"/>
      <c r="D437" s="3"/>
      <c r="E437" s="3"/>
      <c r="F437" s="40"/>
      <c r="G437" s="3"/>
      <c r="H437" s="41"/>
      <c r="I437" s="15"/>
      <c r="J437" s="15"/>
      <c r="K437" s="42"/>
      <c r="L437" s="73"/>
      <c r="M437" s="73"/>
      <c r="N437" s="43"/>
      <c r="O437" s="48"/>
      <c r="P437" s="49"/>
      <c r="Q437" s="49"/>
      <c r="R437" s="49"/>
      <c r="S437" s="50"/>
      <c r="T437" s="49"/>
      <c r="U437" s="49"/>
      <c r="V437" s="49"/>
      <c r="W437" s="51"/>
    </row>
    <row r="438" spans="1:23" ht="25.5" hidden="1" customHeight="1">
      <c r="A438" s="3"/>
      <c r="B438" s="3"/>
      <c r="C438" s="3"/>
      <c r="D438" s="3"/>
      <c r="E438" s="3"/>
      <c r="F438" s="40"/>
      <c r="G438" s="3"/>
      <c r="H438" s="41"/>
      <c r="I438" s="15"/>
      <c r="J438" s="15"/>
      <c r="K438" s="42"/>
      <c r="L438" s="73"/>
      <c r="M438" s="73"/>
      <c r="N438" s="43"/>
      <c r="O438" s="48"/>
      <c r="P438" s="49"/>
      <c r="Q438" s="49"/>
      <c r="R438" s="49"/>
      <c r="S438" s="50"/>
      <c r="T438" s="49"/>
      <c r="U438" s="49"/>
      <c r="V438" s="49"/>
      <c r="W438" s="51"/>
    </row>
    <row r="439" spans="1:23" ht="25.5" hidden="1" customHeight="1">
      <c r="A439" s="3"/>
      <c r="B439" s="3"/>
      <c r="C439" s="3"/>
      <c r="D439" s="3"/>
      <c r="E439" s="3"/>
      <c r="F439" s="40"/>
      <c r="G439" s="3"/>
      <c r="H439" s="41"/>
      <c r="I439" s="15"/>
      <c r="J439" s="15"/>
      <c r="K439" s="42"/>
      <c r="L439" s="73"/>
      <c r="M439" s="73"/>
      <c r="N439" s="43"/>
      <c r="O439" s="48"/>
      <c r="P439" s="49"/>
      <c r="Q439" s="49"/>
      <c r="R439" s="49"/>
      <c r="S439" s="50"/>
      <c r="T439" s="49"/>
      <c r="U439" s="49"/>
      <c r="V439" s="49"/>
      <c r="W439" s="51"/>
    </row>
    <row r="440" spans="1:23" ht="25.5" hidden="1" customHeight="1">
      <c r="A440" s="3"/>
      <c r="B440" s="3"/>
      <c r="C440" s="3"/>
      <c r="D440" s="3"/>
      <c r="E440" s="3"/>
      <c r="F440" s="40"/>
      <c r="G440" s="3"/>
      <c r="H440" s="41"/>
      <c r="I440" s="15"/>
      <c r="J440" s="15"/>
      <c r="K440" s="42"/>
      <c r="L440" s="73"/>
      <c r="M440" s="73"/>
      <c r="N440" s="43"/>
      <c r="O440" s="48"/>
      <c r="P440" s="49"/>
      <c r="Q440" s="49"/>
      <c r="R440" s="49"/>
      <c r="S440" s="50"/>
      <c r="T440" s="49"/>
      <c r="U440" s="49"/>
      <c r="V440" s="49"/>
      <c r="W440" s="51"/>
    </row>
    <row r="441" spans="1:23" ht="25.5" hidden="1" customHeight="1">
      <c r="A441" s="3"/>
      <c r="B441" s="3"/>
      <c r="C441" s="3"/>
      <c r="D441" s="3"/>
      <c r="E441" s="3"/>
      <c r="F441" s="40"/>
      <c r="G441" s="3"/>
      <c r="H441" s="41"/>
      <c r="I441" s="15"/>
      <c r="J441" s="15"/>
      <c r="K441" s="42"/>
      <c r="L441" s="73"/>
      <c r="M441" s="73"/>
      <c r="N441" s="43"/>
      <c r="O441" s="48"/>
      <c r="P441" s="49"/>
      <c r="Q441" s="49"/>
      <c r="R441" s="49"/>
      <c r="S441" s="50"/>
      <c r="T441" s="49"/>
      <c r="U441" s="49"/>
      <c r="V441" s="49"/>
      <c r="W441" s="51"/>
    </row>
    <row r="442" spans="1:23" ht="25.5" hidden="1" customHeight="1">
      <c r="A442" s="3"/>
      <c r="B442" s="3"/>
      <c r="C442" s="3"/>
      <c r="D442" s="3"/>
      <c r="E442" s="3"/>
      <c r="F442" s="40"/>
      <c r="G442" s="3"/>
      <c r="H442" s="41"/>
      <c r="I442" s="15"/>
      <c r="J442" s="15"/>
      <c r="K442" s="42"/>
      <c r="L442" s="73"/>
      <c r="M442" s="73"/>
      <c r="N442" s="43"/>
      <c r="O442" s="48"/>
      <c r="P442" s="49"/>
      <c r="Q442" s="49"/>
      <c r="R442" s="49"/>
      <c r="S442" s="50"/>
      <c r="T442" s="49"/>
      <c r="U442" s="49"/>
      <c r="V442" s="49"/>
      <c r="W442" s="51"/>
    </row>
    <row r="443" spans="1:23" ht="25.5" hidden="1" customHeight="1">
      <c r="A443" s="3"/>
      <c r="B443" s="3"/>
      <c r="C443" s="3"/>
      <c r="D443" s="3"/>
      <c r="E443" s="3"/>
      <c r="F443" s="40"/>
      <c r="G443" s="3"/>
      <c r="H443" s="41"/>
      <c r="I443" s="15"/>
      <c r="J443" s="15"/>
      <c r="K443" s="42"/>
      <c r="L443" s="73"/>
      <c r="M443" s="73"/>
      <c r="N443" s="43"/>
      <c r="O443" s="48"/>
      <c r="P443" s="49"/>
      <c r="Q443" s="49"/>
      <c r="R443" s="49"/>
      <c r="S443" s="50"/>
      <c r="T443" s="49"/>
      <c r="U443" s="49"/>
      <c r="V443" s="49"/>
      <c r="W443" s="51"/>
    </row>
    <row r="444" spans="1:23" ht="25.5" hidden="1" customHeight="1">
      <c r="A444" s="3"/>
      <c r="B444" s="3"/>
      <c r="C444" s="3"/>
      <c r="D444" s="3"/>
      <c r="E444" s="3"/>
      <c r="F444" s="40"/>
      <c r="G444" s="3"/>
      <c r="H444" s="41"/>
      <c r="I444" s="15"/>
      <c r="J444" s="15"/>
      <c r="K444" s="42"/>
      <c r="L444" s="73"/>
      <c r="M444" s="73"/>
      <c r="N444" s="43"/>
      <c r="O444" s="48"/>
      <c r="P444" s="49"/>
      <c r="Q444" s="49"/>
      <c r="R444" s="49"/>
      <c r="S444" s="50"/>
      <c r="T444" s="49"/>
      <c r="U444" s="49"/>
      <c r="V444" s="49"/>
      <c r="W444" s="51"/>
    </row>
    <row r="445" spans="1:23" ht="25.5" hidden="1" customHeight="1">
      <c r="A445" s="3"/>
      <c r="B445" s="3"/>
      <c r="C445" s="3"/>
      <c r="D445" s="3"/>
      <c r="E445" s="3"/>
      <c r="F445" s="40"/>
      <c r="G445" s="3"/>
      <c r="H445" s="41"/>
      <c r="I445" s="15"/>
      <c r="J445" s="15"/>
      <c r="K445" s="42"/>
      <c r="L445" s="73"/>
      <c r="M445" s="73"/>
      <c r="N445" s="43"/>
      <c r="O445" s="48"/>
      <c r="P445" s="49"/>
      <c r="Q445" s="49"/>
      <c r="R445" s="49"/>
      <c r="S445" s="50"/>
      <c r="T445" s="49"/>
      <c r="U445" s="49"/>
      <c r="V445" s="49"/>
      <c r="W445" s="51"/>
    </row>
    <row r="446" spans="1:23" ht="25.5" hidden="1" customHeight="1">
      <c r="A446" s="3"/>
      <c r="B446" s="3"/>
      <c r="C446" s="3"/>
      <c r="D446" s="3"/>
      <c r="E446" s="3"/>
      <c r="F446" s="40"/>
      <c r="G446" s="3"/>
      <c r="H446" s="41"/>
      <c r="I446" s="15"/>
      <c r="J446" s="15"/>
      <c r="K446" s="42"/>
      <c r="L446" s="73"/>
      <c r="M446" s="73"/>
      <c r="N446" s="43"/>
      <c r="O446" s="48"/>
      <c r="P446" s="49"/>
      <c r="Q446" s="49"/>
      <c r="R446" s="49"/>
      <c r="S446" s="50"/>
      <c r="T446" s="49"/>
      <c r="U446" s="49"/>
      <c r="V446" s="49"/>
      <c r="W446" s="51"/>
    </row>
    <row r="447" spans="1:23" ht="25.5" hidden="1" customHeight="1">
      <c r="A447" s="3"/>
      <c r="B447" s="3"/>
      <c r="C447" s="3"/>
      <c r="D447" s="3"/>
      <c r="E447" s="3"/>
      <c r="F447" s="40"/>
      <c r="G447" s="3"/>
      <c r="H447" s="41"/>
      <c r="I447" s="15"/>
      <c r="J447" s="15"/>
      <c r="K447" s="42"/>
      <c r="L447" s="73"/>
      <c r="M447" s="73"/>
      <c r="N447" s="43"/>
      <c r="O447" s="48"/>
      <c r="P447" s="49"/>
      <c r="Q447" s="49"/>
      <c r="R447" s="49"/>
      <c r="S447" s="50"/>
      <c r="T447" s="49"/>
      <c r="U447" s="49"/>
      <c r="V447" s="49"/>
      <c r="W447" s="51"/>
    </row>
    <row r="448" spans="1:23" ht="25.5" hidden="1" customHeight="1">
      <c r="A448" s="3"/>
      <c r="B448" s="3"/>
      <c r="C448" s="3"/>
      <c r="D448" s="3"/>
      <c r="E448" s="3"/>
      <c r="F448" s="40"/>
      <c r="G448" s="3"/>
      <c r="H448" s="41"/>
      <c r="I448" s="15"/>
      <c r="J448" s="15"/>
      <c r="K448" s="42"/>
      <c r="L448" s="73"/>
      <c r="M448" s="73"/>
      <c r="N448" s="43"/>
      <c r="O448" s="48"/>
      <c r="P448" s="49"/>
      <c r="Q448" s="49"/>
      <c r="R448" s="49"/>
      <c r="S448" s="50"/>
      <c r="T448" s="49"/>
      <c r="U448" s="49"/>
      <c r="V448" s="49"/>
      <c r="W448" s="51"/>
    </row>
    <row r="449" spans="1:23" ht="25.5" hidden="1" customHeight="1">
      <c r="A449" s="3"/>
      <c r="B449" s="3"/>
      <c r="C449" s="3"/>
      <c r="D449" s="3"/>
      <c r="E449" s="3"/>
      <c r="F449" s="40"/>
      <c r="G449" s="3"/>
      <c r="H449" s="41"/>
      <c r="I449" s="15"/>
      <c r="J449" s="15"/>
      <c r="K449" s="42"/>
      <c r="L449" s="73"/>
      <c r="M449" s="73"/>
      <c r="N449" s="43"/>
      <c r="O449" s="48"/>
      <c r="P449" s="49"/>
      <c r="Q449" s="49"/>
      <c r="R449" s="49"/>
      <c r="S449" s="50"/>
      <c r="T449" s="49"/>
      <c r="U449" s="49"/>
      <c r="V449" s="49"/>
      <c r="W449" s="51"/>
    </row>
    <row r="450" spans="1:23" ht="25.5" hidden="1" customHeight="1">
      <c r="A450" s="3"/>
      <c r="B450" s="3"/>
      <c r="C450" s="3"/>
      <c r="D450" s="3"/>
      <c r="E450" s="3"/>
      <c r="F450" s="40"/>
      <c r="G450" s="3"/>
      <c r="H450" s="41"/>
      <c r="I450" s="15"/>
      <c r="J450" s="15"/>
      <c r="K450" s="42"/>
      <c r="L450" s="73"/>
      <c r="M450" s="73"/>
      <c r="N450" s="43"/>
      <c r="O450" s="48"/>
      <c r="P450" s="49"/>
      <c r="Q450" s="49"/>
      <c r="R450" s="49"/>
      <c r="S450" s="50"/>
      <c r="T450" s="49"/>
      <c r="U450" s="49"/>
      <c r="V450" s="49"/>
      <c r="W450" s="51"/>
    </row>
    <row r="451" spans="1:23" ht="25.5" hidden="1" customHeight="1">
      <c r="A451" s="3"/>
      <c r="B451" s="3"/>
      <c r="C451" s="3"/>
      <c r="D451" s="3"/>
      <c r="E451" s="3"/>
      <c r="F451" s="40"/>
      <c r="G451" s="3"/>
      <c r="H451" s="41"/>
      <c r="I451" s="15"/>
      <c r="J451" s="15"/>
      <c r="K451" s="42"/>
      <c r="L451" s="73"/>
      <c r="M451" s="73"/>
      <c r="N451" s="43"/>
      <c r="O451" s="48"/>
      <c r="P451" s="49"/>
      <c r="Q451" s="49"/>
      <c r="R451" s="49"/>
      <c r="S451" s="50"/>
      <c r="T451" s="49"/>
      <c r="U451" s="49"/>
      <c r="V451" s="49"/>
      <c r="W451" s="51"/>
    </row>
    <row r="452" spans="1:23" ht="25.5" hidden="1" customHeight="1">
      <c r="A452" s="3"/>
      <c r="B452" s="3"/>
      <c r="C452" s="3"/>
      <c r="D452" s="3"/>
      <c r="E452" s="3"/>
      <c r="F452" s="40"/>
      <c r="G452" s="3"/>
      <c r="H452" s="41"/>
      <c r="I452" s="15"/>
      <c r="J452" s="15"/>
      <c r="K452" s="42"/>
      <c r="L452" s="73"/>
      <c r="M452" s="73"/>
      <c r="N452" s="43"/>
      <c r="O452" s="48"/>
      <c r="P452" s="49"/>
      <c r="Q452" s="49"/>
      <c r="R452" s="49"/>
      <c r="S452" s="50"/>
      <c r="T452" s="49"/>
      <c r="U452" s="49"/>
      <c r="V452" s="49"/>
      <c r="W452" s="51"/>
    </row>
    <row r="453" spans="1:23" ht="25.5" hidden="1" customHeight="1">
      <c r="A453" s="3"/>
      <c r="B453" s="3"/>
      <c r="C453" s="3"/>
      <c r="D453" s="3"/>
      <c r="E453" s="3"/>
      <c r="F453" s="40"/>
      <c r="G453" s="3"/>
      <c r="H453" s="41"/>
      <c r="I453" s="15"/>
      <c r="J453" s="15"/>
      <c r="K453" s="42"/>
      <c r="L453" s="73"/>
      <c r="M453" s="73"/>
      <c r="N453" s="43"/>
      <c r="O453" s="48"/>
      <c r="P453" s="49"/>
      <c r="Q453" s="49"/>
      <c r="R453" s="49"/>
      <c r="S453" s="50"/>
      <c r="T453" s="49"/>
      <c r="U453" s="49"/>
      <c r="V453" s="49"/>
      <c r="W453" s="51"/>
    </row>
    <row r="454" spans="1:23" ht="25.5" hidden="1" customHeight="1">
      <c r="A454" s="3"/>
      <c r="B454" s="3"/>
      <c r="C454" s="3"/>
      <c r="D454" s="3"/>
      <c r="E454" s="3"/>
      <c r="F454" s="40"/>
      <c r="G454" s="3"/>
      <c r="H454" s="41"/>
      <c r="I454" s="15"/>
      <c r="J454" s="15"/>
      <c r="K454" s="42"/>
      <c r="L454" s="73"/>
      <c r="M454" s="73"/>
      <c r="N454" s="43"/>
      <c r="O454" s="48"/>
      <c r="P454" s="49"/>
      <c r="Q454" s="49"/>
      <c r="R454" s="49"/>
      <c r="S454" s="50"/>
      <c r="T454" s="49"/>
      <c r="U454" s="49"/>
      <c r="V454" s="49"/>
      <c r="W454" s="51"/>
    </row>
    <row r="455" spans="1:23" ht="25.5" hidden="1" customHeight="1">
      <c r="A455" s="3"/>
      <c r="B455" s="3"/>
      <c r="C455" s="3"/>
      <c r="D455" s="3"/>
      <c r="E455" s="3"/>
      <c r="F455" s="40"/>
      <c r="G455" s="3"/>
      <c r="H455" s="41"/>
      <c r="I455" s="15"/>
      <c r="J455" s="15"/>
      <c r="K455" s="42"/>
      <c r="L455" s="73"/>
      <c r="M455" s="73"/>
      <c r="N455" s="43"/>
      <c r="O455" s="48"/>
      <c r="P455" s="49"/>
      <c r="Q455" s="49"/>
      <c r="R455" s="49"/>
      <c r="S455" s="50"/>
      <c r="T455" s="49"/>
      <c r="U455" s="49"/>
      <c r="V455" s="49"/>
      <c r="W455" s="51"/>
    </row>
    <row r="456" spans="1:23" ht="25.5" hidden="1" customHeight="1">
      <c r="A456" s="3"/>
      <c r="B456" s="3"/>
      <c r="C456" s="3"/>
      <c r="D456" s="3"/>
      <c r="E456" s="3"/>
      <c r="F456" s="40"/>
      <c r="G456" s="3"/>
      <c r="H456" s="41"/>
      <c r="I456" s="15"/>
      <c r="J456" s="15"/>
      <c r="K456" s="42"/>
      <c r="L456" s="73"/>
      <c r="M456" s="73"/>
      <c r="N456" s="43"/>
      <c r="O456" s="48"/>
      <c r="P456" s="49"/>
      <c r="Q456" s="49"/>
      <c r="R456" s="49"/>
      <c r="S456" s="50"/>
      <c r="T456" s="49"/>
      <c r="U456" s="49"/>
      <c r="V456" s="49"/>
      <c r="W456" s="51"/>
    </row>
    <row r="457" spans="1:23" ht="25.5" hidden="1" customHeight="1">
      <c r="A457" s="3"/>
      <c r="B457" s="3"/>
      <c r="C457" s="3"/>
      <c r="D457" s="3"/>
      <c r="E457" s="3"/>
      <c r="F457" s="40"/>
      <c r="G457" s="3"/>
      <c r="H457" s="41"/>
      <c r="I457" s="15"/>
      <c r="J457" s="15"/>
      <c r="K457" s="42"/>
      <c r="L457" s="73"/>
      <c r="M457" s="73"/>
      <c r="N457" s="43"/>
      <c r="O457" s="48"/>
      <c r="P457" s="49"/>
      <c r="Q457" s="49"/>
      <c r="R457" s="49"/>
      <c r="S457" s="50"/>
      <c r="T457" s="49"/>
      <c r="U457" s="49"/>
      <c r="V457" s="49"/>
      <c r="W457" s="51"/>
    </row>
    <row r="458" spans="1:23" ht="25.5" hidden="1" customHeight="1">
      <c r="A458" s="3"/>
      <c r="B458" s="3"/>
      <c r="C458" s="3"/>
      <c r="D458" s="3"/>
      <c r="E458" s="3"/>
      <c r="F458" s="40"/>
      <c r="G458" s="3"/>
      <c r="H458" s="41"/>
      <c r="I458" s="15"/>
      <c r="J458" s="15"/>
      <c r="K458" s="42"/>
      <c r="L458" s="73"/>
      <c r="M458" s="73"/>
      <c r="N458" s="43"/>
      <c r="O458" s="48"/>
      <c r="P458" s="49"/>
      <c r="Q458" s="49"/>
      <c r="R458" s="49"/>
      <c r="S458" s="50"/>
      <c r="T458" s="49"/>
      <c r="U458" s="49"/>
      <c r="V458" s="49"/>
      <c r="W458" s="51"/>
    </row>
    <row r="459" spans="1:23" ht="25.5" hidden="1" customHeight="1">
      <c r="A459" s="3"/>
      <c r="B459" s="3"/>
      <c r="C459" s="3"/>
      <c r="D459" s="3"/>
      <c r="E459" s="3"/>
      <c r="F459" s="40"/>
      <c r="G459" s="3"/>
      <c r="H459" s="41"/>
      <c r="I459" s="15"/>
      <c r="J459" s="15"/>
      <c r="K459" s="42"/>
      <c r="L459" s="73"/>
      <c r="M459" s="73"/>
      <c r="N459" s="43"/>
      <c r="O459" s="48"/>
      <c r="P459" s="49"/>
      <c r="Q459" s="49"/>
      <c r="R459" s="49"/>
      <c r="S459" s="50"/>
      <c r="T459" s="49"/>
      <c r="U459" s="49"/>
      <c r="V459" s="49"/>
      <c r="W459" s="51"/>
    </row>
    <row r="460" spans="1:23" ht="25.5" hidden="1" customHeight="1">
      <c r="A460" s="3"/>
      <c r="B460" s="3"/>
      <c r="C460" s="3"/>
      <c r="D460" s="3"/>
      <c r="E460" s="3"/>
      <c r="F460" s="40"/>
      <c r="G460" s="3"/>
      <c r="H460" s="41"/>
      <c r="I460" s="15"/>
      <c r="J460" s="15"/>
      <c r="K460" s="42"/>
      <c r="L460" s="73"/>
      <c r="M460" s="73"/>
      <c r="N460" s="43"/>
      <c r="O460" s="48"/>
      <c r="P460" s="49"/>
      <c r="Q460" s="49"/>
      <c r="R460" s="49"/>
      <c r="S460" s="50"/>
      <c r="T460" s="49"/>
      <c r="U460" s="49"/>
      <c r="V460" s="49"/>
      <c r="W460" s="51"/>
    </row>
    <row r="461" spans="1:23" ht="25.5" hidden="1" customHeight="1">
      <c r="A461" s="3"/>
      <c r="B461" s="3"/>
      <c r="C461" s="3"/>
      <c r="D461" s="3"/>
      <c r="E461" s="3"/>
      <c r="F461" s="40"/>
      <c r="G461" s="3"/>
      <c r="H461" s="41"/>
      <c r="I461" s="15"/>
      <c r="J461" s="15"/>
      <c r="K461" s="42"/>
      <c r="L461" s="73"/>
      <c r="M461" s="73"/>
      <c r="N461" s="43"/>
      <c r="O461" s="48"/>
      <c r="P461" s="49"/>
      <c r="Q461" s="49"/>
      <c r="R461" s="49"/>
      <c r="S461" s="50"/>
      <c r="T461" s="49"/>
      <c r="U461" s="49"/>
      <c r="V461" s="49"/>
      <c r="W461" s="51"/>
    </row>
    <row r="462" spans="1:23" ht="25.5" hidden="1" customHeight="1">
      <c r="A462" s="3"/>
      <c r="B462" s="3"/>
      <c r="C462" s="3"/>
      <c r="D462" s="3"/>
      <c r="E462" s="3"/>
      <c r="F462" s="40"/>
      <c r="G462" s="3"/>
      <c r="H462" s="41"/>
      <c r="I462" s="15"/>
      <c r="J462" s="15"/>
      <c r="K462" s="42"/>
      <c r="L462" s="73"/>
      <c r="M462" s="73"/>
      <c r="N462" s="43"/>
      <c r="O462" s="48"/>
      <c r="P462" s="49"/>
      <c r="Q462" s="49"/>
      <c r="R462" s="49"/>
      <c r="S462" s="50"/>
      <c r="T462" s="49"/>
      <c r="U462" s="49"/>
      <c r="V462" s="49"/>
      <c r="W462" s="51"/>
    </row>
    <row r="463" spans="1:23" ht="25.5" hidden="1" customHeight="1">
      <c r="A463" s="3"/>
      <c r="B463" s="3"/>
      <c r="C463" s="3"/>
      <c r="D463" s="3"/>
      <c r="E463" s="3"/>
      <c r="F463" s="40"/>
      <c r="G463" s="3"/>
      <c r="H463" s="41"/>
      <c r="I463" s="15"/>
      <c r="J463" s="15"/>
      <c r="K463" s="42"/>
      <c r="L463" s="73"/>
      <c r="M463" s="73"/>
      <c r="N463" s="43"/>
      <c r="O463" s="48"/>
      <c r="P463" s="49"/>
      <c r="Q463" s="49"/>
      <c r="R463" s="49"/>
      <c r="S463" s="50"/>
      <c r="T463" s="49"/>
      <c r="U463" s="49"/>
      <c r="V463" s="49"/>
      <c r="W463" s="51"/>
    </row>
    <row r="464" spans="1:23" ht="25.5" hidden="1" customHeight="1">
      <c r="A464" s="3"/>
      <c r="B464" s="3"/>
      <c r="C464" s="3"/>
      <c r="D464" s="3"/>
      <c r="E464" s="3"/>
      <c r="F464" s="40"/>
      <c r="G464" s="3"/>
      <c r="H464" s="41"/>
      <c r="I464" s="15"/>
      <c r="J464" s="15"/>
      <c r="K464" s="42"/>
      <c r="L464" s="73"/>
      <c r="M464" s="73"/>
      <c r="N464" s="43"/>
      <c r="O464" s="48"/>
      <c r="P464" s="49"/>
      <c r="Q464" s="49"/>
      <c r="R464" s="49"/>
      <c r="S464" s="50"/>
      <c r="T464" s="49"/>
      <c r="U464" s="49"/>
      <c r="V464" s="49"/>
      <c r="W464" s="51"/>
    </row>
    <row r="465" spans="1:23" ht="25.5" hidden="1" customHeight="1">
      <c r="A465" s="3"/>
      <c r="B465" s="3"/>
      <c r="C465" s="3"/>
      <c r="D465" s="3"/>
      <c r="E465" s="3"/>
      <c r="F465" s="40"/>
      <c r="G465" s="3"/>
      <c r="H465" s="41"/>
      <c r="I465" s="15"/>
      <c r="J465" s="15"/>
      <c r="K465" s="42"/>
      <c r="L465" s="73"/>
      <c r="M465" s="73"/>
      <c r="N465" s="43"/>
      <c r="O465" s="48"/>
      <c r="P465" s="49"/>
      <c r="Q465" s="49"/>
      <c r="R465" s="49"/>
      <c r="S465" s="50"/>
      <c r="T465" s="49"/>
      <c r="U465" s="49"/>
      <c r="V465" s="49"/>
      <c r="W465" s="51"/>
    </row>
    <row r="466" spans="1:23" ht="25.5" hidden="1" customHeight="1">
      <c r="A466" s="3"/>
      <c r="B466" s="3"/>
      <c r="C466" s="3"/>
      <c r="D466" s="3"/>
      <c r="E466" s="3"/>
      <c r="F466" s="40"/>
      <c r="G466" s="3"/>
      <c r="H466" s="41"/>
      <c r="I466" s="15"/>
      <c r="J466" s="15"/>
      <c r="K466" s="42"/>
      <c r="L466" s="73"/>
      <c r="M466" s="73"/>
      <c r="N466" s="43"/>
      <c r="O466" s="48"/>
      <c r="P466" s="49"/>
      <c r="Q466" s="49"/>
      <c r="R466" s="49"/>
      <c r="S466" s="50"/>
      <c r="T466" s="49"/>
      <c r="U466" s="49"/>
      <c r="V466" s="49"/>
      <c r="W466" s="51"/>
    </row>
    <row r="467" spans="1:23" ht="25.5" hidden="1" customHeight="1">
      <c r="A467" s="3"/>
      <c r="B467" s="3"/>
      <c r="C467" s="3"/>
      <c r="D467" s="3"/>
      <c r="E467" s="3"/>
      <c r="F467" s="40"/>
      <c r="G467" s="3"/>
      <c r="H467" s="41"/>
      <c r="I467" s="15"/>
      <c r="J467" s="15"/>
      <c r="K467" s="42"/>
      <c r="L467" s="73"/>
      <c r="M467" s="73"/>
      <c r="N467" s="43"/>
      <c r="O467" s="48"/>
      <c r="P467" s="49"/>
      <c r="Q467" s="49"/>
      <c r="R467" s="49"/>
      <c r="S467" s="50"/>
      <c r="T467" s="49"/>
      <c r="U467" s="49"/>
      <c r="V467" s="49"/>
      <c r="W467" s="51"/>
    </row>
    <row r="468" spans="1:23" ht="25.5" hidden="1" customHeight="1">
      <c r="A468" s="3"/>
      <c r="B468" s="3"/>
      <c r="C468" s="3"/>
      <c r="D468" s="3"/>
      <c r="E468" s="3"/>
      <c r="F468" s="40"/>
      <c r="G468" s="3"/>
      <c r="H468" s="41"/>
      <c r="I468" s="15"/>
      <c r="J468" s="15"/>
      <c r="K468" s="42"/>
      <c r="L468" s="73"/>
      <c r="M468" s="73"/>
      <c r="N468" s="43"/>
      <c r="O468" s="48"/>
      <c r="P468" s="49"/>
      <c r="Q468" s="49"/>
      <c r="R468" s="49"/>
      <c r="S468" s="50"/>
      <c r="T468" s="49"/>
      <c r="U468" s="49"/>
      <c r="V468" s="49"/>
      <c r="W468" s="51"/>
    </row>
    <row r="469" spans="1:23" ht="25.5" hidden="1" customHeight="1">
      <c r="A469" s="3"/>
      <c r="B469" s="3"/>
      <c r="C469" s="3"/>
      <c r="D469" s="3"/>
      <c r="E469" s="3"/>
      <c r="F469" s="40"/>
      <c r="G469" s="3"/>
      <c r="H469" s="41"/>
      <c r="I469" s="15"/>
      <c r="J469" s="15"/>
      <c r="K469" s="42"/>
      <c r="L469" s="73"/>
      <c r="M469" s="73"/>
      <c r="N469" s="43"/>
      <c r="O469" s="48"/>
      <c r="P469" s="49"/>
      <c r="Q469" s="49"/>
      <c r="R469" s="49"/>
      <c r="S469" s="50"/>
      <c r="T469" s="49"/>
      <c r="U469" s="49"/>
      <c r="V469" s="49"/>
      <c r="W469" s="51"/>
    </row>
    <row r="470" spans="1:23" ht="25.5" hidden="1" customHeight="1">
      <c r="A470" s="3"/>
      <c r="B470" s="3"/>
      <c r="C470" s="3"/>
      <c r="D470" s="3"/>
      <c r="E470" s="3"/>
      <c r="F470" s="40"/>
      <c r="G470" s="3"/>
      <c r="H470" s="41"/>
      <c r="I470" s="15"/>
      <c r="J470" s="15"/>
      <c r="K470" s="42"/>
      <c r="L470" s="73"/>
      <c r="M470" s="73"/>
      <c r="N470" s="43"/>
      <c r="O470" s="48"/>
      <c r="P470" s="49"/>
      <c r="Q470" s="49"/>
      <c r="R470" s="49"/>
      <c r="S470" s="50"/>
      <c r="T470" s="49"/>
      <c r="U470" s="49"/>
      <c r="V470" s="49"/>
      <c r="W470" s="51"/>
    </row>
    <row r="471" spans="1:23" ht="25.5" hidden="1" customHeight="1">
      <c r="A471" s="3"/>
      <c r="B471" s="3"/>
      <c r="C471" s="3"/>
      <c r="D471" s="3"/>
      <c r="E471" s="3"/>
      <c r="F471" s="40"/>
      <c r="G471" s="3"/>
      <c r="H471" s="41"/>
      <c r="I471" s="15"/>
      <c r="J471" s="15"/>
      <c r="K471" s="42"/>
      <c r="L471" s="73"/>
      <c r="M471" s="73"/>
      <c r="N471" s="43"/>
      <c r="O471" s="48"/>
      <c r="P471" s="49"/>
      <c r="Q471" s="49"/>
      <c r="R471" s="49"/>
      <c r="S471" s="50"/>
      <c r="T471" s="49"/>
      <c r="U471" s="49"/>
      <c r="V471" s="49"/>
      <c r="W471" s="51"/>
    </row>
    <row r="472" spans="1:23" ht="25.5" hidden="1" customHeight="1">
      <c r="A472" s="3"/>
      <c r="B472" s="3"/>
      <c r="C472" s="3"/>
      <c r="D472" s="3"/>
      <c r="E472" s="3"/>
      <c r="F472" s="40"/>
      <c r="G472" s="3"/>
      <c r="H472" s="41"/>
      <c r="I472" s="15"/>
      <c r="J472" s="15"/>
      <c r="K472" s="42"/>
      <c r="L472" s="73"/>
      <c r="M472" s="73"/>
      <c r="N472" s="43"/>
      <c r="O472" s="48"/>
      <c r="P472" s="49"/>
      <c r="Q472" s="49"/>
      <c r="R472" s="49"/>
      <c r="S472" s="50"/>
      <c r="T472" s="49"/>
      <c r="U472" s="49"/>
      <c r="V472" s="49"/>
      <c r="W472" s="51"/>
    </row>
    <row r="473" spans="1:23" ht="25.5" hidden="1" customHeight="1">
      <c r="A473" s="3"/>
      <c r="B473" s="3"/>
      <c r="C473" s="3"/>
      <c r="D473" s="3"/>
      <c r="E473" s="3"/>
      <c r="F473" s="40"/>
      <c r="G473" s="3"/>
      <c r="H473" s="41"/>
      <c r="I473" s="15"/>
      <c r="J473" s="15"/>
      <c r="K473" s="42"/>
      <c r="L473" s="73"/>
      <c r="M473" s="73"/>
      <c r="N473" s="43"/>
      <c r="O473" s="48"/>
      <c r="P473" s="49"/>
      <c r="Q473" s="49"/>
      <c r="R473" s="49"/>
      <c r="S473" s="50"/>
      <c r="T473" s="49"/>
      <c r="U473" s="49"/>
      <c r="V473" s="49"/>
      <c r="W473" s="51"/>
    </row>
    <row r="474" spans="1:23" ht="25.5" hidden="1" customHeight="1">
      <c r="A474" s="3"/>
      <c r="B474" s="3"/>
      <c r="C474" s="3"/>
      <c r="D474" s="3"/>
      <c r="E474" s="3"/>
      <c r="F474" s="40"/>
      <c r="G474" s="3"/>
      <c r="H474" s="41"/>
      <c r="I474" s="15"/>
      <c r="J474" s="15"/>
      <c r="K474" s="42"/>
      <c r="L474" s="73"/>
      <c r="M474" s="73"/>
      <c r="N474" s="43"/>
      <c r="O474" s="48"/>
      <c r="P474" s="49"/>
      <c r="Q474" s="49"/>
      <c r="R474" s="49"/>
      <c r="S474" s="50"/>
      <c r="T474" s="49"/>
      <c r="U474" s="49"/>
      <c r="V474" s="49"/>
      <c r="W474" s="51"/>
    </row>
    <row r="475" spans="1:23" ht="25.5" hidden="1" customHeight="1">
      <c r="A475" s="3"/>
      <c r="B475" s="3"/>
      <c r="C475" s="3"/>
      <c r="D475" s="3"/>
      <c r="E475" s="3"/>
      <c r="F475" s="40"/>
      <c r="G475" s="3"/>
      <c r="H475" s="41"/>
      <c r="I475" s="15"/>
      <c r="J475" s="15"/>
      <c r="K475" s="42"/>
      <c r="L475" s="73"/>
      <c r="M475" s="73"/>
      <c r="N475" s="43"/>
      <c r="O475" s="48"/>
      <c r="P475" s="49"/>
      <c r="Q475" s="49"/>
      <c r="R475" s="49"/>
      <c r="S475" s="50"/>
      <c r="T475" s="49"/>
      <c r="U475" s="49"/>
      <c r="V475" s="49"/>
      <c r="W475" s="51"/>
    </row>
    <row r="476" spans="1:23" ht="25.5" hidden="1" customHeight="1">
      <c r="A476" s="3"/>
      <c r="B476" s="3"/>
      <c r="C476" s="3"/>
      <c r="D476" s="3"/>
      <c r="E476" s="3"/>
      <c r="F476" s="40"/>
      <c r="G476" s="3"/>
      <c r="H476" s="41"/>
      <c r="I476" s="15"/>
      <c r="J476" s="15"/>
      <c r="K476" s="42"/>
      <c r="L476" s="73"/>
      <c r="M476" s="73"/>
      <c r="N476" s="43"/>
      <c r="O476" s="48"/>
      <c r="P476" s="49"/>
      <c r="Q476" s="49"/>
      <c r="R476" s="49"/>
      <c r="S476" s="50"/>
      <c r="T476" s="49"/>
      <c r="U476" s="49"/>
      <c r="V476" s="49"/>
      <c r="W476" s="51"/>
    </row>
    <row r="477" spans="1:23" ht="25.5" hidden="1" customHeight="1">
      <c r="A477" s="3"/>
      <c r="B477" s="3"/>
      <c r="C477" s="3"/>
      <c r="D477" s="3"/>
      <c r="E477" s="3"/>
      <c r="F477" s="40"/>
      <c r="G477" s="3"/>
      <c r="H477" s="41"/>
      <c r="I477" s="15"/>
      <c r="J477" s="15"/>
      <c r="K477" s="42"/>
      <c r="L477" s="73"/>
      <c r="M477" s="73"/>
      <c r="N477" s="43"/>
      <c r="O477" s="48"/>
      <c r="P477" s="49"/>
      <c r="Q477" s="49"/>
      <c r="R477" s="49"/>
      <c r="S477" s="50"/>
      <c r="T477" s="49"/>
      <c r="U477" s="49"/>
      <c r="V477" s="49"/>
      <c r="W477" s="51"/>
    </row>
    <row r="478" spans="1:23" ht="25.5" hidden="1" customHeight="1">
      <c r="A478" s="3"/>
      <c r="B478" s="3"/>
      <c r="C478" s="3"/>
      <c r="D478" s="3"/>
      <c r="E478" s="3"/>
      <c r="F478" s="40"/>
      <c r="G478" s="3"/>
      <c r="H478" s="41"/>
      <c r="I478" s="15"/>
      <c r="J478" s="15"/>
      <c r="K478" s="42"/>
      <c r="L478" s="73"/>
      <c r="M478" s="73"/>
      <c r="N478" s="43"/>
      <c r="O478" s="48"/>
      <c r="P478" s="49"/>
      <c r="Q478" s="49"/>
      <c r="R478" s="49"/>
      <c r="S478" s="50"/>
      <c r="T478" s="49"/>
      <c r="U478" s="49"/>
      <c r="V478" s="49"/>
      <c r="W478" s="51"/>
    </row>
    <row r="479" spans="1:23" ht="25.5" hidden="1" customHeight="1">
      <c r="A479" s="3"/>
      <c r="B479" s="3"/>
      <c r="C479" s="3"/>
      <c r="D479" s="3"/>
      <c r="E479" s="3"/>
      <c r="F479" s="40"/>
      <c r="G479" s="3"/>
      <c r="H479" s="41"/>
      <c r="I479" s="15"/>
      <c r="J479" s="15"/>
      <c r="K479" s="42"/>
      <c r="L479" s="73"/>
      <c r="M479" s="73"/>
      <c r="N479" s="43"/>
      <c r="O479" s="48"/>
      <c r="P479" s="49"/>
      <c r="Q479" s="49"/>
      <c r="R479" s="49"/>
      <c r="S479" s="50"/>
      <c r="T479" s="49"/>
      <c r="U479" s="49"/>
      <c r="V479" s="49"/>
      <c r="W479" s="51"/>
    </row>
    <row r="480" spans="1:23" ht="25.5" hidden="1" customHeight="1">
      <c r="A480" s="3"/>
      <c r="B480" s="3"/>
      <c r="C480" s="3"/>
      <c r="D480" s="3"/>
      <c r="E480" s="3"/>
      <c r="F480" s="40"/>
      <c r="G480" s="3"/>
      <c r="H480" s="41"/>
      <c r="I480" s="15"/>
      <c r="J480" s="15"/>
      <c r="K480" s="42"/>
      <c r="L480" s="73"/>
      <c r="M480" s="73"/>
      <c r="N480" s="43"/>
      <c r="O480" s="48"/>
      <c r="P480" s="49"/>
      <c r="Q480" s="49"/>
      <c r="R480" s="49"/>
      <c r="S480" s="50"/>
      <c r="T480" s="49"/>
      <c r="U480" s="49"/>
      <c r="V480" s="49"/>
      <c r="W480" s="51"/>
    </row>
    <row r="481" spans="1:23" ht="25.5" hidden="1" customHeight="1">
      <c r="A481" s="3"/>
      <c r="B481" s="3"/>
      <c r="C481" s="3"/>
      <c r="D481" s="3"/>
      <c r="E481" s="3"/>
      <c r="F481" s="40"/>
      <c r="G481" s="3"/>
      <c r="H481" s="41"/>
      <c r="I481" s="15"/>
      <c r="J481" s="15"/>
      <c r="K481" s="42"/>
      <c r="L481" s="73"/>
      <c r="M481" s="73"/>
      <c r="N481" s="43"/>
      <c r="O481" s="48"/>
      <c r="P481" s="49"/>
      <c r="Q481" s="49"/>
      <c r="R481" s="49"/>
      <c r="S481" s="50"/>
      <c r="T481" s="49"/>
      <c r="U481" s="49"/>
      <c r="V481" s="49"/>
      <c r="W481" s="51"/>
    </row>
    <row r="482" spans="1:23" ht="25.5" hidden="1" customHeight="1">
      <c r="A482" s="3"/>
      <c r="B482" s="3"/>
      <c r="C482" s="3"/>
      <c r="D482" s="3"/>
      <c r="E482" s="3"/>
      <c r="F482" s="40"/>
      <c r="G482" s="3"/>
      <c r="H482" s="41"/>
      <c r="I482" s="15"/>
      <c r="J482" s="15"/>
      <c r="K482" s="42"/>
      <c r="L482" s="73"/>
      <c r="M482" s="73"/>
      <c r="N482" s="43"/>
      <c r="O482" s="48"/>
      <c r="P482" s="49"/>
      <c r="Q482" s="49"/>
      <c r="R482" s="49"/>
      <c r="S482" s="50"/>
      <c r="T482" s="49"/>
      <c r="U482" s="49"/>
      <c r="V482" s="49"/>
      <c r="W482" s="51"/>
    </row>
    <row r="483" spans="1:23" ht="25.5" hidden="1" customHeight="1">
      <c r="A483" s="3"/>
      <c r="B483" s="3"/>
      <c r="C483" s="3"/>
      <c r="D483" s="3"/>
      <c r="E483" s="3"/>
      <c r="F483" s="40"/>
      <c r="G483" s="3"/>
      <c r="H483" s="41"/>
      <c r="I483" s="15"/>
      <c r="J483" s="15"/>
      <c r="K483" s="42"/>
      <c r="L483" s="73"/>
      <c r="M483" s="73"/>
      <c r="N483" s="43"/>
      <c r="O483" s="48"/>
      <c r="P483" s="49"/>
      <c r="Q483" s="49"/>
      <c r="R483" s="49"/>
      <c r="S483" s="50"/>
      <c r="T483" s="49"/>
      <c r="U483" s="49"/>
      <c r="V483" s="49"/>
      <c r="W483" s="51"/>
    </row>
    <row r="484" spans="1:23" ht="25.5" hidden="1" customHeight="1">
      <c r="A484" s="3"/>
      <c r="B484" s="3"/>
      <c r="C484" s="3"/>
      <c r="D484" s="3"/>
      <c r="E484" s="3"/>
      <c r="F484" s="40"/>
      <c r="G484" s="3"/>
      <c r="H484" s="41"/>
      <c r="I484" s="15"/>
      <c r="J484" s="15"/>
      <c r="K484" s="42"/>
      <c r="L484" s="73"/>
      <c r="M484" s="73"/>
      <c r="N484" s="43"/>
      <c r="O484" s="48"/>
      <c r="P484" s="49"/>
      <c r="Q484" s="49"/>
      <c r="R484" s="49"/>
      <c r="S484" s="50"/>
      <c r="T484" s="49"/>
      <c r="U484" s="49"/>
      <c r="V484" s="49"/>
      <c r="W484" s="51"/>
    </row>
    <row r="485" spans="1:23" ht="25.5" hidden="1" customHeight="1">
      <c r="A485" s="3"/>
      <c r="B485" s="3"/>
      <c r="C485" s="3"/>
      <c r="D485" s="3"/>
      <c r="E485" s="3"/>
      <c r="F485" s="40"/>
      <c r="G485" s="3"/>
      <c r="H485" s="41"/>
      <c r="I485" s="15"/>
      <c r="J485" s="15"/>
      <c r="K485" s="42"/>
      <c r="L485" s="73"/>
      <c r="M485" s="73"/>
      <c r="N485" s="43"/>
      <c r="O485" s="48"/>
      <c r="P485" s="49"/>
      <c r="Q485" s="49"/>
      <c r="R485" s="49"/>
      <c r="S485" s="50"/>
      <c r="T485" s="49"/>
      <c r="U485" s="49"/>
      <c r="V485" s="49"/>
      <c r="W485" s="51"/>
    </row>
    <row r="486" spans="1:23" ht="25.5" hidden="1" customHeight="1">
      <c r="A486" s="3"/>
      <c r="B486" s="3"/>
      <c r="C486" s="3"/>
      <c r="D486" s="3"/>
      <c r="E486" s="3"/>
      <c r="F486" s="40"/>
      <c r="G486" s="3"/>
      <c r="H486" s="41"/>
      <c r="I486" s="15"/>
      <c r="J486" s="15"/>
      <c r="K486" s="42"/>
      <c r="L486" s="73"/>
      <c r="M486" s="73"/>
      <c r="N486" s="43"/>
      <c r="O486" s="48"/>
      <c r="P486" s="49"/>
      <c r="Q486" s="49"/>
      <c r="R486" s="49"/>
      <c r="S486" s="50"/>
      <c r="T486" s="49"/>
      <c r="U486" s="49"/>
      <c r="V486" s="49"/>
      <c r="W486" s="51"/>
    </row>
    <row r="487" spans="1:23" ht="25.5" hidden="1" customHeight="1">
      <c r="A487" s="3"/>
      <c r="B487" s="3"/>
      <c r="C487" s="3"/>
      <c r="D487" s="3"/>
      <c r="E487" s="3"/>
      <c r="F487" s="40"/>
      <c r="G487" s="3"/>
      <c r="H487" s="41"/>
      <c r="I487" s="15"/>
      <c r="J487" s="15"/>
      <c r="K487" s="42"/>
      <c r="L487" s="73"/>
      <c r="M487" s="73"/>
      <c r="N487" s="43"/>
      <c r="O487" s="48"/>
      <c r="P487" s="49"/>
      <c r="Q487" s="49"/>
      <c r="R487" s="49"/>
      <c r="S487" s="50"/>
      <c r="T487" s="49"/>
      <c r="U487" s="49"/>
      <c r="V487" s="49"/>
      <c r="W487" s="51"/>
    </row>
    <row r="488" spans="1:23" ht="25.5" hidden="1" customHeight="1">
      <c r="A488" s="3"/>
      <c r="B488" s="3"/>
      <c r="C488" s="3"/>
      <c r="D488" s="3"/>
      <c r="E488" s="3"/>
      <c r="F488" s="40"/>
      <c r="G488" s="3"/>
      <c r="H488" s="41"/>
      <c r="I488" s="15"/>
      <c r="J488" s="15"/>
      <c r="K488" s="42"/>
      <c r="L488" s="73"/>
      <c r="M488" s="73"/>
      <c r="N488" s="43"/>
      <c r="O488" s="48"/>
      <c r="P488" s="49"/>
      <c r="Q488" s="49"/>
      <c r="R488" s="49"/>
      <c r="S488" s="50"/>
      <c r="T488" s="49"/>
      <c r="U488" s="49"/>
      <c r="V488" s="49"/>
      <c r="W488" s="51"/>
    </row>
    <row r="489" spans="1:23" ht="25.5" hidden="1" customHeight="1">
      <c r="A489" s="3"/>
      <c r="B489" s="3"/>
      <c r="C489" s="3"/>
      <c r="D489" s="3"/>
      <c r="E489" s="3"/>
      <c r="F489" s="40"/>
      <c r="G489" s="3"/>
      <c r="H489" s="41"/>
      <c r="I489" s="15"/>
      <c r="J489" s="15"/>
      <c r="K489" s="42"/>
      <c r="L489" s="73"/>
      <c r="M489" s="73"/>
      <c r="N489" s="43"/>
      <c r="O489" s="48"/>
      <c r="P489" s="49"/>
      <c r="Q489" s="49"/>
      <c r="R489" s="49"/>
      <c r="S489" s="50"/>
      <c r="T489" s="49"/>
      <c r="U489" s="49"/>
      <c r="V489" s="49"/>
      <c r="W489" s="51"/>
    </row>
    <row r="490" spans="1:23" ht="25.5" hidden="1" customHeight="1">
      <c r="A490" s="3"/>
      <c r="B490" s="3"/>
      <c r="C490" s="3"/>
      <c r="D490" s="3"/>
      <c r="E490" s="3"/>
      <c r="F490" s="40"/>
      <c r="G490" s="3"/>
      <c r="H490" s="41"/>
      <c r="I490" s="15"/>
      <c r="J490" s="15"/>
      <c r="K490" s="42"/>
      <c r="L490" s="73"/>
      <c r="M490" s="73"/>
      <c r="N490" s="43"/>
      <c r="O490" s="48"/>
      <c r="P490" s="49"/>
      <c r="Q490" s="49"/>
      <c r="R490" s="49"/>
      <c r="S490" s="50"/>
      <c r="T490" s="49"/>
      <c r="U490" s="49"/>
      <c r="V490" s="49"/>
      <c r="W490" s="51"/>
    </row>
    <row r="491" spans="1:23" ht="25.5" hidden="1" customHeight="1">
      <c r="A491" s="3"/>
      <c r="B491" s="3"/>
      <c r="C491" s="3"/>
      <c r="D491" s="3"/>
      <c r="E491" s="3"/>
      <c r="F491" s="40"/>
      <c r="G491" s="3"/>
      <c r="H491" s="41"/>
      <c r="I491" s="15"/>
      <c r="J491" s="15"/>
      <c r="K491" s="42"/>
      <c r="L491" s="73"/>
      <c r="M491" s="73"/>
      <c r="N491" s="43"/>
      <c r="O491" s="48"/>
      <c r="P491" s="49"/>
      <c r="Q491" s="49"/>
      <c r="R491" s="49"/>
      <c r="S491" s="50"/>
      <c r="T491" s="49"/>
      <c r="U491" s="49"/>
      <c r="V491" s="49"/>
      <c r="W491" s="51"/>
    </row>
    <row r="492" spans="1:23" ht="25.5" hidden="1" customHeight="1">
      <c r="A492" s="3"/>
      <c r="B492" s="3"/>
      <c r="C492" s="3"/>
      <c r="D492" s="3"/>
      <c r="E492" s="3"/>
      <c r="F492" s="40"/>
      <c r="G492" s="3"/>
      <c r="H492" s="41"/>
      <c r="I492" s="15"/>
      <c r="J492" s="15"/>
      <c r="K492" s="42"/>
      <c r="L492" s="73"/>
      <c r="M492" s="73"/>
      <c r="N492" s="43"/>
      <c r="O492" s="48"/>
      <c r="P492" s="49"/>
      <c r="Q492" s="49"/>
      <c r="R492" s="49"/>
      <c r="S492" s="50"/>
      <c r="T492" s="49"/>
      <c r="U492" s="49"/>
      <c r="V492" s="49"/>
      <c r="W492" s="51"/>
    </row>
    <row r="493" spans="1:23" ht="25.5" hidden="1" customHeight="1">
      <c r="A493" s="3"/>
      <c r="B493" s="3"/>
      <c r="C493" s="3"/>
      <c r="D493" s="3"/>
      <c r="E493" s="3"/>
      <c r="F493" s="40"/>
      <c r="G493" s="3"/>
      <c r="H493" s="41"/>
      <c r="I493" s="15"/>
      <c r="J493" s="15"/>
      <c r="K493" s="42"/>
      <c r="L493" s="73"/>
      <c r="M493" s="73"/>
      <c r="N493" s="43"/>
      <c r="O493" s="48"/>
      <c r="P493" s="49"/>
      <c r="Q493" s="49"/>
      <c r="R493" s="49"/>
      <c r="S493" s="50"/>
      <c r="T493" s="49"/>
      <c r="U493" s="49"/>
      <c r="V493" s="49"/>
      <c r="W493" s="51"/>
    </row>
    <row r="494" spans="1:23" ht="25.5" hidden="1" customHeight="1">
      <c r="A494" s="3"/>
      <c r="B494" s="3"/>
      <c r="C494" s="3"/>
      <c r="D494" s="3"/>
      <c r="E494" s="3"/>
      <c r="F494" s="40"/>
      <c r="G494" s="3"/>
      <c r="H494" s="41"/>
      <c r="I494" s="15"/>
      <c r="J494" s="15"/>
      <c r="K494" s="42"/>
      <c r="L494" s="73"/>
      <c r="M494" s="73"/>
      <c r="N494" s="43"/>
      <c r="O494" s="48"/>
      <c r="P494" s="49"/>
      <c r="Q494" s="49"/>
      <c r="R494" s="49"/>
      <c r="S494" s="50"/>
      <c r="T494" s="49"/>
      <c r="U494" s="49"/>
      <c r="V494" s="49"/>
      <c r="W494" s="51"/>
    </row>
    <row r="495" spans="1:23" ht="25.5" hidden="1" customHeight="1">
      <c r="A495" s="3"/>
      <c r="B495" s="3"/>
      <c r="C495" s="3"/>
      <c r="D495" s="3"/>
      <c r="E495" s="3"/>
      <c r="F495" s="40"/>
      <c r="G495" s="3"/>
      <c r="H495" s="41"/>
      <c r="I495" s="15"/>
      <c r="J495" s="15"/>
      <c r="K495" s="42"/>
      <c r="L495" s="73"/>
      <c r="M495" s="73"/>
      <c r="N495" s="43"/>
      <c r="O495" s="48"/>
      <c r="P495" s="49"/>
      <c r="Q495" s="49"/>
      <c r="R495" s="49"/>
      <c r="S495" s="50"/>
      <c r="T495" s="49"/>
      <c r="U495" s="49"/>
      <c r="V495" s="49"/>
      <c r="W495" s="51"/>
    </row>
    <row r="496" spans="1:23" ht="25.5" hidden="1" customHeight="1">
      <c r="A496" s="3"/>
      <c r="B496" s="3"/>
      <c r="C496" s="3"/>
      <c r="D496" s="3"/>
      <c r="E496" s="3"/>
      <c r="F496" s="40"/>
      <c r="G496" s="3"/>
      <c r="H496" s="41"/>
      <c r="I496" s="15"/>
      <c r="J496" s="15"/>
      <c r="K496" s="42"/>
      <c r="L496" s="73"/>
      <c r="M496" s="73"/>
      <c r="N496" s="43"/>
      <c r="O496" s="48"/>
      <c r="P496" s="49"/>
      <c r="Q496" s="49"/>
      <c r="R496" s="49"/>
      <c r="S496" s="50"/>
      <c r="T496" s="49"/>
      <c r="U496" s="49"/>
      <c r="V496" s="49"/>
      <c r="W496" s="51"/>
    </row>
    <row r="497" spans="1:23" ht="25.5" hidden="1" customHeight="1">
      <c r="A497" s="3"/>
      <c r="B497" s="3"/>
      <c r="C497" s="3"/>
      <c r="D497" s="3"/>
      <c r="E497" s="3"/>
      <c r="F497" s="40"/>
      <c r="G497" s="3"/>
      <c r="H497" s="41"/>
      <c r="I497" s="15"/>
      <c r="J497" s="15"/>
      <c r="K497" s="42"/>
      <c r="L497" s="73"/>
      <c r="M497" s="73"/>
      <c r="N497" s="43"/>
      <c r="O497" s="48"/>
      <c r="P497" s="49"/>
      <c r="Q497" s="49"/>
      <c r="R497" s="49"/>
      <c r="S497" s="50"/>
      <c r="T497" s="49"/>
      <c r="U497" s="49"/>
      <c r="V497" s="49"/>
      <c r="W497" s="51"/>
    </row>
    <row r="498" spans="1:23" ht="25.5" hidden="1" customHeight="1">
      <c r="A498" s="3"/>
      <c r="B498" s="3"/>
      <c r="C498" s="3"/>
      <c r="D498" s="3"/>
      <c r="E498" s="3"/>
      <c r="F498" s="40"/>
      <c r="G498" s="3"/>
      <c r="H498" s="41"/>
      <c r="I498" s="15"/>
      <c r="J498" s="15"/>
      <c r="K498" s="42"/>
      <c r="L498" s="73"/>
      <c r="M498" s="73"/>
      <c r="N498" s="43"/>
      <c r="O498" s="48"/>
      <c r="P498" s="49"/>
      <c r="Q498" s="49"/>
      <c r="R498" s="49"/>
      <c r="S498" s="50"/>
      <c r="T498" s="49"/>
      <c r="U498" s="49"/>
      <c r="V498" s="49"/>
      <c r="W498" s="51"/>
    </row>
    <row r="499" spans="1:23" ht="25.5" hidden="1" customHeight="1">
      <c r="A499" s="3"/>
      <c r="B499" s="3"/>
      <c r="C499" s="3"/>
      <c r="D499" s="3"/>
      <c r="E499" s="3"/>
      <c r="F499" s="40"/>
      <c r="G499" s="3"/>
      <c r="H499" s="41"/>
      <c r="I499" s="15"/>
      <c r="J499" s="15"/>
      <c r="K499" s="42"/>
      <c r="L499" s="73"/>
      <c r="M499" s="73"/>
      <c r="N499" s="43"/>
      <c r="O499" s="48"/>
      <c r="P499" s="49"/>
      <c r="Q499" s="49"/>
      <c r="R499" s="49"/>
      <c r="S499" s="50"/>
      <c r="T499" s="49"/>
      <c r="U499" s="49"/>
      <c r="V499" s="49"/>
      <c r="W499" s="51"/>
    </row>
    <row r="500" spans="1:23" ht="25.5" hidden="1" customHeight="1">
      <c r="A500" s="3"/>
      <c r="B500" s="3"/>
      <c r="C500" s="3"/>
      <c r="D500" s="3"/>
      <c r="E500" s="3"/>
      <c r="F500" s="40"/>
      <c r="G500" s="3"/>
      <c r="H500" s="41"/>
      <c r="I500" s="15"/>
      <c r="J500" s="15"/>
      <c r="K500" s="42"/>
      <c r="L500" s="73"/>
      <c r="M500" s="73"/>
      <c r="N500" s="43"/>
      <c r="O500" s="48"/>
      <c r="P500" s="49"/>
      <c r="Q500" s="49"/>
      <c r="R500" s="49"/>
      <c r="S500" s="50"/>
      <c r="T500" s="49"/>
      <c r="U500" s="49"/>
      <c r="V500" s="49"/>
      <c r="W500" s="51"/>
    </row>
    <row r="501" spans="1:23" ht="25.5" hidden="1" customHeight="1">
      <c r="A501" s="3"/>
      <c r="B501" s="3"/>
      <c r="C501" s="3"/>
      <c r="D501" s="3"/>
      <c r="E501" s="3"/>
      <c r="F501" s="40"/>
      <c r="G501" s="3"/>
      <c r="H501" s="41"/>
      <c r="I501" s="15"/>
      <c r="J501" s="15"/>
      <c r="K501" s="42"/>
      <c r="L501" s="73"/>
      <c r="M501" s="73"/>
      <c r="N501" s="43"/>
      <c r="O501" s="48"/>
      <c r="P501" s="49"/>
      <c r="Q501" s="49"/>
      <c r="R501" s="49"/>
      <c r="S501" s="50"/>
      <c r="T501" s="49"/>
      <c r="U501" s="49"/>
      <c r="V501" s="49"/>
      <c r="W501" s="51"/>
    </row>
    <row r="502" spans="1:23" ht="25.5" hidden="1" customHeight="1">
      <c r="A502" s="3"/>
      <c r="B502" s="3"/>
      <c r="C502" s="3"/>
      <c r="D502" s="3"/>
      <c r="E502" s="3"/>
      <c r="F502" s="40"/>
      <c r="G502" s="3"/>
      <c r="H502" s="41"/>
      <c r="I502" s="15"/>
      <c r="J502" s="15"/>
      <c r="K502" s="42"/>
      <c r="L502" s="73"/>
      <c r="M502" s="73"/>
      <c r="N502" s="43"/>
      <c r="O502" s="48"/>
      <c r="P502" s="49"/>
      <c r="Q502" s="49"/>
      <c r="R502" s="49"/>
      <c r="S502" s="50"/>
      <c r="T502" s="49"/>
      <c r="U502" s="49"/>
      <c r="V502" s="49"/>
      <c r="W502" s="51"/>
    </row>
    <row r="503" spans="1:23" ht="25.5" hidden="1" customHeight="1">
      <c r="A503" s="3"/>
      <c r="B503" s="3"/>
      <c r="C503" s="3"/>
      <c r="D503" s="3"/>
      <c r="E503" s="3"/>
      <c r="F503" s="40"/>
      <c r="G503" s="3"/>
      <c r="H503" s="41"/>
      <c r="I503" s="15"/>
      <c r="J503" s="15"/>
      <c r="K503" s="42"/>
      <c r="L503" s="73"/>
      <c r="M503" s="73"/>
      <c r="N503" s="43"/>
      <c r="O503" s="48"/>
      <c r="P503" s="49"/>
      <c r="Q503" s="49"/>
      <c r="R503" s="49"/>
      <c r="S503" s="50"/>
      <c r="T503" s="49"/>
      <c r="U503" s="49"/>
      <c r="V503" s="49"/>
      <c r="W503" s="51"/>
    </row>
    <row r="504" spans="1:23" ht="25.5" hidden="1" customHeight="1">
      <c r="A504" s="3"/>
      <c r="B504" s="3"/>
      <c r="C504" s="3"/>
      <c r="D504" s="3"/>
      <c r="E504" s="3"/>
      <c r="F504" s="40"/>
      <c r="G504" s="3"/>
      <c r="H504" s="41"/>
      <c r="I504" s="15"/>
      <c r="J504" s="15"/>
      <c r="K504" s="42"/>
      <c r="L504" s="73"/>
      <c r="M504" s="73"/>
      <c r="N504" s="43"/>
      <c r="O504" s="48"/>
      <c r="P504" s="49"/>
      <c r="Q504" s="49"/>
      <c r="R504" s="49"/>
      <c r="S504" s="50"/>
      <c r="T504" s="49"/>
      <c r="U504" s="49"/>
      <c r="V504" s="49"/>
      <c r="W504" s="51"/>
    </row>
    <row r="505" spans="1:23" ht="25.5" hidden="1" customHeight="1">
      <c r="A505" s="3"/>
      <c r="B505" s="3"/>
      <c r="C505" s="3"/>
      <c r="D505" s="3"/>
      <c r="E505" s="3"/>
      <c r="F505" s="40"/>
      <c r="G505" s="3"/>
      <c r="H505" s="41"/>
      <c r="I505" s="15"/>
      <c r="J505" s="15"/>
      <c r="K505" s="42"/>
      <c r="L505" s="73"/>
      <c r="M505" s="73"/>
      <c r="N505" s="43"/>
      <c r="O505" s="48"/>
      <c r="P505" s="49"/>
      <c r="Q505" s="49"/>
      <c r="R505" s="49"/>
      <c r="S505" s="50"/>
      <c r="T505" s="49"/>
      <c r="U505" s="49"/>
      <c r="V505" s="49"/>
      <c r="W505" s="51"/>
    </row>
    <row r="506" spans="1:23" ht="25.5" hidden="1" customHeight="1">
      <c r="A506" s="3"/>
      <c r="B506" s="3"/>
      <c r="C506" s="3"/>
      <c r="D506" s="3"/>
      <c r="E506" s="3"/>
      <c r="F506" s="40"/>
      <c r="G506" s="3"/>
      <c r="H506" s="41"/>
      <c r="I506" s="15"/>
      <c r="J506" s="15"/>
      <c r="K506" s="42"/>
      <c r="L506" s="73"/>
      <c r="M506" s="73"/>
      <c r="N506" s="43"/>
      <c r="O506" s="48"/>
      <c r="P506" s="49"/>
      <c r="Q506" s="49"/>
      <c r="R506" s="49"/>
      <c r="S506" s="50"/>
      <c r="T506" s="49"/>
      <c r="U506" s="49"/>
      <c r="V506" s="49"/>
      <c r="W506" s="51"/>
    </row>
    <row r="507" spans="1:23" ht="25.5" hidden="1" customHeight="1">
      <c r="A507" s="3"/>
      <c r="B507" s="3"/>
      <c r="C507" s="3"/>
      <c r="D507" s="3"/>
      <c r="E507" s="3"/>
      <c r="F507" s="40"/>
      <c r="G507" s="3"/>
      <c r="H507" s="41"/>
      <c r="I507" s="15"/>
      <c r="J507" s="15"/>
      <c r="K507" s="42"/>
      <c r="L507" s="73"/>
      <c r="M507" s="73"/>
      <c r="N507" s="43"/>
      <c r="O507" s="48"/>
      <c r="P507" s="49"/>
      <c r="Q507" s="49"/>
      <c r="R507" s="49"/>
      <c r="S507" s="50"/>
      <c r="T507" s="49"/>
      <c r="U507" s="49"/>
      <c r="V507" s="49"/>
      <c r="W507" s="51"/>
    </row>
    <row r="508" spans="1:23" ht="25.5" hidden="1" customHeight="1">
      <c r="A508" s="3"/>
      <c r="B508" s="3"/>
      <c r="C508" s="3"/>
      <c r="D508" s="3"/>
      <c r="E508" s="3"/>
      <c r="F508" s="40"/>
      <c r="G508" s="3"/>
      <c r="H508" s="41"/>
      <c r="I508" s="15"/>
      <c r="J508" s="15"/>
      <c r="K508" s="42"/>
      <c r="L508" s="73"/>
      <c r="M508" s="73"/>
      <c r="N508" s="43"/>
      <c r="O508" s="48"/>
      <c r="P508" s="49"/>
      <c r="Q508" s="49"/>
      <c r="R508" s="49"/>
      <c r="S508" s="50"/>
      <c r="T508" s="49"/>
      <c r="U508" s="49"/>
      <c r="V508" s="49"/>
      <c r="W508" s="51"/>
    </row>
    <row r="509" spans="1:23" ht="25.5" hidden="1" customHeight="1">
      <c r="A509" s="3"/>
      <c r="B509" s="3"/>
      <c r="C509" s="3"/>
      <c r="D509" s="3"/>
      <c r="E509" s="3"/>
      <c r="F509" s="40"/>
      <c r="G509" s="3"/>
      <c r="H509" s="41"/>
      <c r="I509" s="15"/>
      <c r="J509" s="15"/>
      <c r="K509" s="42"/>
      <c r="L509" s="73"/>
      <c r="M509" s="73"/>
      <c r="N509" s="43"/>
      <c r="O509" s="48"/>
      <c r="P509" s="49"/>
      <c r="Q509" s="49"/>
      <c r="R509" s="49"/>
      <c r="S509" s="50"/>
      <c r="T509" s="49"/>
      <c r="U509" s="49"/>
      <c r="V509" s="49"/>
      <c r="W509" s="51"/>
    </row>
    <row r="510" spans="1:23" ht="25.5" hidden="1" customHeight="1">
      <c r="A510" s="3"/>
      <c r="B510" s="3"/>
      <c r="C510" s="3"/>
      <c r="D510" s="3"/>
      <c r="E510" s="3"/>
      <c r="F510" s="40"/>
      <c r="G510" s="3"/>
      <c r="H510" s="41"/>
      <c r="I510" s="15"/>
      <c r="J510" s="15"/>
      <c r="K510" s="42"/>
      <c r="L510" s="73"/>
      <c r="M510" s="73"/>
      <c r="N510" s="43"/>
      <c r="O510" s="48"/>
      <c r="P510" s="49"/>
      <c r="Q510" s="49"/>
      <c r="R510" s="49"/>
      <c r="S510" s="50"/>
      <c r="T510" s="49"/>
      <c r="U510" s="49"/>
      <c r="V510" s="49"/>
      <c r="W510" s="51"/>
    </row>
    <row r="511" spans="1:23" ht="25.5" hidden="1" customHeight="1">
      <c r="A511" s="3"/>
      <c r="B511" s="3"/>
      <c r="C511" s="3"/>
      <c r="D511" s="3"/>
      <c r="E511" s="3"/>
      <c r="F511" s="40"/>
      <c r="G511" s="3"/>
      <c r="H511" s="41"/>
      <c r="I511" s="15"/>
      <c r="J511" s="15"/>
      <c r="K511" s="42"/>
      <c r="L511" s="73"/>
      <c r="M511" s="73"/>
      <c r="N511" s="43"/>
      <c r="O511" s="48"/>
      <c r="P511" s="49"/>
      <c r="Q511" s="49"/>
      <c r="R511" s="49"/>
      <c r="S511" s="50"/>
      <c r="T511" s="49"/>
      <c r="U511" s="49"/>
      <c r="V511" s="49"/>
      <c r="W511" s="51"/>
    </row>
    <row r="512" spans="1:23" ht="25.5" hidden="1" customHeight="1">
      <c r="A512" s="3"/>
      <c r="B512" s="3"/>
      <c r="C512" s="3"/>
      <c r="D512" s="3"/>
      <c r="E512" s="3"/>
      <c r="F512" s="40"/>
      <c r="G512" s="3"/>
      <c r="H512" s="41"/>
      <c r="I512" s="15"/>
      <c r="J512" s="15"/>
      <c r="K512" s="42"/>
      <c r="L512" s="73"/>
      <c r="M512" s="73"/>
      <c r="N512" s="43"/>
      <c r="O512" s="48"/>
      <c r="P512" s="49"/>
      <c r="Q512" s="49"/>
      <c r="R512" s="49"/>
      <c r="S512" s="50"/>
      <c r="T512" s="49"/>
      <c r="U512" s="49"/>
      <c r="V512" s="49"/>
      <c r="W512" s="51"/>
    </row>
    <row r="513" spans="1:23" ht="25.5" hidden="1" customHeight="1">
      <c r="A513" s="3"/>
      <c r="B513" s="3"/>
      <c r="C513" s="3"/>
      <c r="D513" s="3"/>
      <c r="E513" s="3"/>
      <c r="F513" s="40"/>
      <c r="G513" s="3"/>
      <c r="H513" s="41"/>
      <c r="I513" s="15"/>
      <c r="J513" s="15"/>
      <c r="K513" s="42"/>
      <c r="L513" s="73"/>
      <c r="M513" s="73"/>
      <c r="N513" s="43"/>
      <c r="O513" s="48"/>
      <c r="P513" s="49"/>
      <c r="Q513" s="49"/>
      <c r="R513" s="49"/>
      <c r="S513" s="50"/>
      <c r="T513" s="49"/>
      <c r="U513" s="49"/>
      <c r="V513" s="49"/>
      <c r="W513" s="51"/>
    </row>
    <row r="514" spans="1:23" ht="25.5" hidden="1" customHeight="1">
      <c r="A514" s="3"/>
      <c r="B514" s="3"/>
      <c r="C514" s="3"/>
      <c r="D514" s="3"/>
      <c r="E514" s="3"/>
      <c r="F514" s="40"/>
      <c r="G514" s="3"/>
      <c r="H514" s="41"/>
      <c r="I514" s="15"/>
      <c r="J514" s="15"/>
      <c r="K514" s="42"/>
      <c r="L514" s="73"/>
      <c r="M514" s="73"/>
      <c r="N514" s="43"/>
      <c r="O514" s="48"/>
      <c r="P514" s="49"/>
      <c r="Q514" s="49"/>
      <c r="R514" s="49"/>
      <c r="S514" s="50"/>
      <c r="T514" s="49"/>
      <c r="U514" s="49"/>
      <c r="V514" s="49"/>
      <c r="W514" s="51"/>
    </row>
    <row r="515" spans="1:23" ht="25.5" hidden="1" customHeight="1">
      <c r="A515" s="3"/>
      <c r="B515" s="3"/>
      <c r="C515" s="3"/>
      <c r="D515" s="3"/>
      <c r="E515" s="3"/>
      <c r="F515" s="40"/>
      <c r="G515" s="3"/>
      <c r="H515" s="41"/>
      <c r="I515" s="15"/>
      <c r="J515" s="15"/>
      <c r="K515" s="42"/>
      <c r="L515" s="73"/>
      <c r="M515" s="73"/>
      <c r="N515" s="43"/>
      <c r="O515" s="48"/>
      <c r="P515" s="49"/>
      <c r="Q515" s="49"/>
      <c r="R515" s="49"/>
      <c r="S515" s="50"/>
      <c r="T515" s="49"/>
      <c r="U515" s="49"/>
      <c r="V515" s="49"/>
      <c r="W515" s="51"/>
    </row>
    <row r="516" spans="1:23" ht="25.5" hidden="1" customHeight="1">
      <c r="A516" s="3"/>
      <c r="B516" s="3"/>
      <c r="C516" s="3"/>
      <c r="D516" s="3"/>
      <c r="E516" s="3"/>
      <c r="F516" s="40"/>
      <c r="G516" s="3"/>
      <c r="H516" s="41"/>
      <c r="I516" s="15"/>
      <c r="J516" s="15"/>
      <c r="K516" s="42"/>
      <c r="L516" s="73"/>
      <c r="M516" s="73"/>
      <c r="N516" s="43"/>
      <c r="O516" s="48"/>
      <c r="P516" s="49"/>
      <c r="Q516" s="49"/>
      <c r="R516" s="49"/>
      <c r="S516" s="50"/>
      <c r="T516" s="49"/>
      <c r="U516" s="49"/>
      <c r="V516" s="49"/>
      <c r="W516" s="51"/>
    </row>
    <row r="517" spans="1:23" ht="25.5" hidden="1" customHeight="1">
      <c r="A517" s="3"/>
      <c r="B517" s="3"/>
      <c r="C517" s="3"/>
      <c r="D517" s="3"/>
      <c r="E517" s="3"/>
      <c r="F517" s="40"/>
      <c r="G517" s="3"/>
      <c r="H517" s="41"/>
      <c r="I517" s="15"/>
      <c r="J517" s="15"/>
      <c r="K517" s="42"/>
      <c r="L517" s="73"/>
      <c r="M517" s="73"/>
      <c r="N517" s="43"/>
      <c r="O517" s="48"/>
      <c r="P517" s="49"/>
      <c r="Q517" s="49"/>
      <c r="R517" s="49"/>
      <c r="S517" s="50"/>
      <c r="T517" s="49"/>
      <c r="U517" s="49"/>
      <c r="V517" s="49"/>
      <c r="W517" s="51"/>
    </row>
    <row r="518" spans="1:23" ht="25.5" hidden="1" customHeight="1">
      <c r="A518" s="3"/>
      <c r="B518" s="3"/>
      <c r="C518" s="3"/>
      <c r="D518" s="3"/>
      <c r="E518" s="3"/>
      <c r="F518" s="40"/>
      <c r="G518" s="3"/>
      <c r="H518" s="41"/>
      <c r="I518" s="15"/>
      <c r="J518" s="15"/>
      <c r="K518" s="42"/>
      <c r="L518" s="73"/>
      <c r="M518" s="73"/>
      <c r="N518" s="43"/>
      <c r="O518" s="48"/>
      <c r="P518" s="49"/>
      <c r="Q518" s="49"/>
      <c r="R518" s="49"/>
      <c r="S518" s="50"/>
      <c r="T518" s="49"/>
      <c r="U518" s="49"/>
      <c r="V518" s="49"/>
      <c r="W518" s="51"/>
    </row>
    <row r="519" spans="1:23" ht="25.5" hidden="1" customHeight="1">
      <c r="A519" s="3"/>
      <c r="B519" s="3"/>
      <c r="C519" s="3"/>
      <c r="D519" s="3"/>
      <c r="E519" s="3"/>
      <c r="F519" s="40"/>
      <c r="G519" s="3"/>
      <c r="H519" s="41"/>
      <c r="I519" s="15"/>
      <c r="J519" s="15"/>
      <c r="K519" s="42"/>
      <c r="L519" s="73"/>
      <c r="M519" s="73"/>
      <c r="N519" s="43"/>
      <c r="O519" s="48"/>
      <c r="P519" s="49"/>
      <c r="Q519" s="49"/>
      <c r="R519" s="49"/>
      <c r="S519" s="50"/>
      <c r="T519" s="49"/>
      <c r="U519" s="49"/>
      <c r="V519" s="49"/>
      <c r="W519" s="51"/>
    </row>
    <row r="520" spans="1:23" ht="25.5" hidden="1" customHeight="1">
      <c r="A520" s="3"/>
      <c r="B520" s="3"/>
      <c r="C520" s="3"/>
      <c r="D520" s="3"/>
      <c r="E520" s="3"/>
      <c r="F520" s="40"/>
      <c r="G520" s="3"/>
      <c r="H520" s="41"/>
      <c r="I520" s="15"/>
      <c r="J520" s="15"/>
      <c r="K520" s="42"/>
      <c r="L520" s="73"/>
      <c r="M520" s="73"/>
      <c r="N520" s="43"/>
      <c r="O520" s="48"/>
      <c r="P520" s="49"/>
      <c r="Q520" s="49"/>
      <c r="R520" s="49"/>
      <c r="S520" s="50"/>
      <c r="T520" s="49"/>
      <c r="U520" s="49"/>
      <c r="V520" s="49"/>
      <c r="W520" s="51"/>
    </row>
    <row r="521" spans="1:23" ht="25.5" hidden="1" customHeight="1">
      <c r="A521" s="3"/>
      <c r="B521" s="3"/>
      <c r="C521" s="3"/>
      <c r="D521" s="3"/>
      <c r="E521" s="3"/>
      <c r="F521" s="40"/>
      <c r="G521" s="3"/>
      <c r="H521" s="41"/>
      <c r="I521" s="15"/>
      <c r="J521" s="15"/>
      <c r="K521" s="42"/>
      <c r="L521" s="73"/>
      <c r="M521" s="73"/>
      <c r="N521" s="43"/>
      <c r="O521" s="48"/>
      <c r="P521" s="49"/>
      <c r="Q521" s="49"/>
      <c r="R521" s="49"/>
      <c r="S521" s="50"/>
      <c r="T521" s="49"/>
      <c r="U521" s="49"/>
      <c r="V521" s="49"/>
      <c r="W521" s="51"/>
    </row>
    <row r="522" spans="1:23" ht="25.5" hidden="1" customHeight="1">
      <c r="A522" s="3"/>
      <c r="B522" s="3"/>
      <c r="C522" s="3"/>
      <c r="D522" s="3"/>
      <c r="E522" s="3"/>
      <c r="F522" s="40"/>
      <c r="G522" s="3"/>
      <c r="H522" s="41"/>
      <c r="I522" s="15"/>
      <c r="J522" s="15"/>
      <c r="K522" s="42"/>
      <c r="L522" s="73"/>
      <c r="M522" s="73"/>
      <c r="N522" s="43"/>
      <c r="O522" s="48"/>
      <c r="P522" s="49"/>
      <c r="Q522" s="49"/>
      <c r="R522" s="49"/>
      <c r="S522" s="50"/>
      <c r="T522" s="49"/>
      <c r="U522" s="49"/>
      <c r="V522" s="49"/>
      <c r="W522" s="51"/>
    </row>
    <row r="523" spans="1:23" ht="25.5" hidden="1" customHeight="1">
      <c r="A523" s="3"/>
      <c r="B523" s="3"/>
      <c r="C523" s="3"/>
      <c r="D523" s="3"/>
      <c r="E523" s="3"/>
      <c r="F523" s="40"/>
      <c r="G523" s="3"/>
      <c r="H523" s="41"/>
      <c r="I523" s="15"/>
      <c r="J523" s="15"/>
      <c r="K523" s="42"/>
      <c r="L523" s="73"/>
      <c r="M523" s="73"/>
      <c r="N523" s="43"/>
      <c r="O523" s="48"/>
      <c r="P523" s="49"/>
      <c r="Q523" s="49"/>
      <c r="R523" s="49"/>
      <c r="S523" s="50"/>
      <c r="T523" s="49"/>
      <c r="U523" s="49"/>
      <c r="V523" s="49"/>
      <c r="W523" s="51"/>
    </row>
    <row r="524" spans="1:23" ht="25.5" hidden="1" customHeight="1">
      <c r="A524" s="3"/>
      <c r="B524" s="3"/>
      <c r="C524" s="3"/>
      <c r="D524" s="3"/>
      <c r="E524" s="3"/>
      <c r="F524" s="40"/>
      <c r="G524" s="3"/>
      <c r="H524" s="41"/>
      <c r="I524" s="15"/>
      <c r="J524" s="15"/>
      <c r="K524" s="42"/>
      <c r="L524" s="73"/>
      <c r="M524" s="73"/>
      <c r="N524" s="43"/>
      <c r="O524" s="48"/>
      <c r="P524" s="49"/>
      <c r="Q524" s="49"/>
      <c r="R524" s="49"/>
      <c r="S524" s="50"/>
      <c r="T524" s="49"/>
      <c r="U524" s="49"/>
      <c r="V524" s="49"/>
      <c r="W524" s="51"/>
    </row>
    <row r="525" spans="1:23" ht="25.5" hidden="1" customHeight="1">
      <c r="A525" s="3"/>
      <c r="B525" s="3"/>
      <c r="C525" s="3"/>
      <c r="D525" s="3"/>
      <c r="E525" s="3"/>
      <c r="F525" s="40"/>
      <c r="G525" s="3"/>
      <c r="H525" s="41"/>
      <c r="I525" s="15"/>
      <c r="J525" s="15"/>
      <c r="K525" s="42"/>
      <c r="L525" s="73"/>
      <c r="M525" s="73"/>
      <c r="N525" s="43"/>
      <c r="O525" s="48"/>
      <c r="P525" s="49"/>
      <c r="Q525" s="49"/>
      <c r="R525" s="49"/>
      <c r="S525" s="50"/>
      <c r="T525" s="49"/>
      <c r="U525" s="49"/>
      <c r="V525" s="49"/>
      <c r="W525" s="51"/>
    </row>
    <row r="526" spans="1:23" ht="25.5" hidden="1" customHeight="1">
      <c r="A526" s="3"/>
      <c r="B526" s="3"/>
      <c r="C526" s="3"/>
      <c r="D526" s="3"/>
      <c r="E526" s="3"/>
      <c r="F526" s="40"/>
      <c r="G526" s="3"/>
      <c r="H526" s="41"/>
      <c r="I526" s="15"/>
      <c r="J526" s="15"/>
      <c r="K526" s="42"/>
      <c r="L526" s="73"/>
      <c r="M526" s="73"/>
      <c r="N526" s="43"/>
      <c r="O526" s="48"/>
      <c r="P526" s="49"/>
      <c r="Q526" s="49"/>
      <c r="R526" s="49"/>
      <c r="S526" s="50"/>
      <c r="T526" s="49"/>
      <c r="U526" s="49"/>
      <c r="V526" s="49"/>
      <c r="W526" s="51"/>
    </row>
    <row r="527" spans="1:23" ht="25.5" hidden="1" customHeight="1">
      <c r="A527" s="3"/>
      <c r="B527" s="3"/>
      <c r="C527" s="3"/>
      <c r="D527" s="3"/>
      <c r="E527" s="3"/>
      <c r="F527" s="40"/>
      <c r="G527" s="3"/>
      <c r="H527" s="41"/>
      <c r="I527" s="15"/>
      <c r="J527" s="15"/>
      <c r="K527" s="42"/>
      <c r="L527" s="73"/>
      <c r="M527" s="73"/>
      <c r="N527" s="43"/>
      <c r="O527" s="48"/>
      <c r="P527" s="49"/>
      <c r="Q527" s="49"/>
      <c r="R527" s="49"/>
      <c r="S527" s="50"/>
      <c r="T527" s="49"/>
      <c r="U527" s="49"/>
      <c r="V527" s="49"/>
      <c r="W527" s="51"/>
    </row>
    <row r="528" spans="1:23" ht="25.5" hidden="1" customHeight="1">
      <c r="A528" s="3"/>
      <c r="B528" s="3"/>
      <c r="C528" s="3"/>
      <c r="D528" s="3"/>
      <c r="E528" s="3"/>
      <c r="F528" s="40"/>
      <c r="G528" s="3"/>
      <c r="H528" s="41"/>
      <c r="I528" s="15"/>
      <c r="J528" s="15"/>
      <c r="K528" s="42"/>
      <c r="L528" s="73"/>
      <c r="M528" s="73"/>
      <c r="N528" s="43"/>
      <c r="O528" s="48"/>
      <c r="P528" s="49"/>
      <c r="Q528" s="49"/>
      <c r="R528" s="49"/>
      <c r="S528" s="50"/>
      <c r="T528" s="49"/>
      <c r="U528" s="49"/>
      <c r="V528" s="49"/>
      <c r="W528" s="51"/>
    </row>
    <row r="529" spans="1:23" ht="25.5" hidden="1" customHeight="1">
      <c r="A529" s="3"/>
      <c r="B529" s="3"/>
      <c r="C529" s="3"/>
      <c r="D529" s="3"/>
      <c r="E529" s="3"/>
      <c r="F529" s="40"/>
      <c r="G529" s="3"/>
      <c r="H529" s="41"/>
      <c r="I529" s="15"/>
      <c r="J529" s="15"/>
      <c r="K529" s="42"/>
      <c r="L529" s="73"/>
      <c r="M529" s="73"/>
      <c r="N529" s="43"/>
      <c r="O529" s="48"/>
      <c r="P529" s="49"/>
      <c r="Q529" s="49"/>
      <c r="R529" s="49"/>
      <c r="S529" s="50"/>
      <c r="T529" s="49"/>
      <c r="U529" s="49"/>
      <c r="V529" s="49"/>
      <c r="W529" s="51"/>
    </row>
    <row r="530" spans="1:23" ht="25.5" hidden="1" customHeight="1">
      <c r="A530" s="3"/>
      <c r="B530" s="3"/>
      <c r="C530" s="3"/>
      <c r="D530" s="3"/>
      <c r="E530" s="3"/>
      <c r="F530" s="40"/>
      <c r="G530" s="3"/>
      <c r="H530" s="41"/>
      <c r="I530" s="15"/>
      <c r="J530" s="15"/>
      <c r="K530" s="42"/>
      <c r="L530" s="73"/>
      <c r="M530" s="73"/>
      <c r="N530" s="43"/>
      <c r="O530" s="48"/>
      <c r="P530" s="49"/>
      <c r="Q530" s="49"/>
      <c r="R530" s="49"/>
      <c r="S530" s="50"/>
      <c r="T530" s="49"/>
      <c r="U530" s="49"/>
      <c r="V530" s="49"/>
      <c r="W530" s="51"/>
    </row>
    <row r="531" spans="1:23" ht="25.5" hidden="1" customHeight="1">
      <c r="A531" s="3"/>
      <c r="B531" s="3"/>
      <c r="C531" s="3"/>
      <c r="D531" s="3"/>
      <c r="E531" s="3"/>
      <c r="F531" s="40"/>
      <c r="G531" s="3"/>
      <c r="H531" s="41"/>
      <c r="I531" s="15"/>
      <c r="J531" s="15"/>
      <c r="K531" s="42"/>
      <c r="L531" s="73"/>
      <c r="M531" s="73"/>
      <c r="N531" s="43"/>
      <c r="O531" s="48"/>
      <c r="P531" s="49"/>
      <c r="Q531" s="49"/>
      <c r="R531" s="49"/>
      <c r="S531" s="50"/>
      <c r="T531" s="49"/>
      <c r="U531" s="49"/>
      <c r="V531" s="49"/>
      <c r="W531" s="51"/>
    </row>
    <row r="532" spans="1:23" ht="25.5" hidden="1" customHeight="1">
      <c r="A532" s="3"/>
      <c r="B532" s="3"/>
      <c r="C532" s="3"/>
      <c r="D532" s="3"/>
      <c r="E532" s="3"/>
      <c r="F532" s="40"/>
      <c r="G532" s="3"/>
      <c r="H532" s="41"/>
      <c r="I532" s="15"/>
      <c r="J532" s="15"/>
      <c r="K532" s="42"/>
      <c r="L532" s="73"/>
      <c r="M532" s="73"/>
      <c r="N532" s="43"/>
      <c r="O532" s="48"/>
      <c r="P532" s="49"/>
      <c r="Q532" s="49"/>
      <c r="R532" s="49"/>
      <c r="S532" s="50"/>
      <c r="T532" s="49"/>
      <c r="U532" s="49"/>
      <c r="V532" s="49"/>
      <c r="W532" s="51"/>
    </row>
    <row r="533" spans="1:23" ht="25.5" hidden="1" customHeight="1">
      <c r="A533" s="3"/>
      <c r="B533" s="3"/>
      <c r="C533" s="3"/>
      <c r="D533" s="3"/>
      <c r="E533" s="3"/>
      <c r="F533" s="40"/>
      <c r="G533" s="3"/>
      <c r="H533" s="41"/>
      <c r="I533" s="15"/>
      <c r="J533" s="15"/>
      <c r="K533" s="42"/>
      <c r="L533" s="73"/>
      <c r="M533" s="73"/>
      <c r="N533" s="43"/>
      <c r="O533" s="48"/>
      <c r="P533" s="49"/>
      <c r="Q533" s="49"/>
      <c r="R533" s="49"/>
      <c r="S533" s="50"/>
      <c r="T533" s="49"/>
      <c r="U533" s="49"/>
      <c r="V533" s="49"/>
      <c r="W533" s="51"/>
    </row>
    <row r="534" spans="1:23" ht="25.5" hidden="1" customHeight="1">
      <c r="A534" s="3"/>
      <c r="B534" s="3"/>
      <c r="C534" s="3"/>
      <c r="D534" s="3"/>
      <c r="E534" s="3"/>
      <c r="F534" s="40"/>
      <c r="G534" s="3"/>
      <c r="H534" s="41"/>
      <c r="I534" s="15"/>
      <c r="J534" s="15"/>
      <c r="K534" s="42"/>
      <c r="L534" s="73"/>
      <c r="M534" s="73"/>
      <c r="N534" s="43"/>
      <c r="O534" s="48"/>
      <c r="P534" s="49"/>
      <c r="Q534" s="49"/>
      <c r="R534" s="49"/>
      <c r="S534" s="50"/>
      <c r="T534" s="49"/>
      <c r="U534" s="49"/>
      <c r="V534" s="49"/>
      <c r="W534" s="51"/>
    </row>
    <row r="535" spans="1:23" ht="25.5" hidden="1" customHeight="1">
      <c r="A535" s="3"/>
      <c r="B535" s="3"/>
      <c r="C535" s="3"/>
      <c r="D535" s="3"/>
      <c r="E535" s="3"/>
      <c r="F535" s="40"/>
      <c r="G535" s="3"/>
      <c r="H535" s="41"/>
      <c r="I535" s="15"/>
      <c r="J535" s="15"/>
      <c r="K535" s="42"/>
      <c r="L535" s="73"/>
      <c r="M535" s="73"/>
      <c r="N535" s="43"/>
      <c r="O535" s="48"/>
      <c r="P535" s="49"/>
      <c r="Q535" s="49"/>
      <c r="R535" s="49"/>
      <c r="S535" s="50"/>
      <c r="T535" s="49"/>
      <c r="U535" s="49"/>
      <c r="V535" s="49"/>
      <c r="W535" s="51"/>
    </row>
    <row r="536" spans="1:23" ht="25.5" hidden="1" customHeight="1">
      <c r="A536" s="3"/>
      <c r="B536" s="3"/>
      <c r="C536" s="3"/>
      <c r="D536" s="3"/>
      <c r="E536" s="3"/>
      <c r="F536" s="40"/>
      <c r="G536" s="3"/>
      <c r="H536" s="41"/>
      <c r="I536" s="15"/>
      <c r="J536" s="15"/>
      <c r="K536" s="42"/>
      <c r="L536" s="73"/>
      <c r="M536" s="73"/>
      <c r="N536" s="43"/>
      <c r="O536" s="48"/>
      <c r="P536" s="49"/>
      <c r="Q536" s="49"/>
      <c r="R536" s="49"/>
      <c r="S536" s="50"/>
      <c r="T536" s="49"/>
      <c r="U536" s="49"/>
      <c r="V536" s="49"/>
      <c r="W536" s="51"/>
    </row>
    <row r="537" spans="1:23" ht="25.5" hidden="1" customHeight="1">
      <c r="A537" s="3"/>
      <c r="B537" s="3"/>
      <c r="C537" s="3"/>
      <c r="D537" s="3"/>
      <c r="E537" s="3"/>
      <c r="F537" s="40"/>
      <c r="G537" s="3"/>
      <c r="H537" s="41"/>
      <c r="I537" s="15"/>
      <c r="J537" s="15"/>
      <c r="K537" s="42"/>
      <c r="L537" s="73"/>
      <c r="M537" s="73"/>
      <c r="N537" s="43"/>
      <c r="O537" s="48"/>
      <c r="P537" s="49"/>
      <c r="Q537" s="49"/>
      <c r="R537" s="49"/>
      <c r="S537" s="50"/>
      <c r="T537" s="49"/>
      <c r="U537" s="49"/>
      <c r="V537" s="49"/>
      <c r="W537" s="51"/>
    </row>
    <row r="538" spans="1:23" ht="25.5" hidden="1" customHeight="1">
      <c r="A538" s="3"/>
      <c r="B538" s="3"/>
      <c r="C538" s="3"/>
      <c r="D538" s="3"/>
      <c r="E538" s="3"/>
      <c r="F538" s="40"/>
      <c r="G538" s="3"/>
      <c r="H538" s="41"/>
      <c r="I538" s="15"/>
      <c r="J538" s="15"/>
      <c r="K538" s="42"/>
      <c r="L538" s="73"/>
      <c r="M538" s="73"/>
      <c r="N538" s="43"/>
      <c r="O538" s="48"/>
      <c r="P538" s="49"/>
      <c r="Q538" s="49"/>
      <c r="R538" s="49"/>
      <c r="S538" s="50"/>
      <c r="T538" s="49"/>
      <c r="U538" s="49"/>
      <c r="V538" s="49"/>
      <c r="W538" s="51"/>
    </row>
    <row r="539" spans="1:23" ht="25.5" hidden="1" customHeight="1">
      <c r="A539" s="3"/>
      <c r="B539" s="3"/>
      <c r="C539" s="3"/>
      <c r="D539" s="3"/>
      <c r="E539" s="3"/>
      <c r="F539" s="40"/>
      <c r="G539" s="3"/>
      <c r="H539" s="41"/>
      <c r="I539" s="15"/>
      <c r="J539" s="15"/>
      <c r="K539" s="42"/>
      <c r="L539" s="73"/>
      <c r="M539" s="73"/>
      <c r="N539" s="43"/>
      <c r="O539" s="48"/>
      <c r="P539" s="49"/>
      <c r="Q539" s="49"/>
      <c r="R539" s="49"/>
      <c r="S539" s="50"/>
      <c r="T539" s="49"/>
      <c r="U539" s="49"/>
      <c r="V539" s="49"/>
      <c r="W539" s="51"/>
    </row>
    <row r="540" spans="1:23" ht="25.5" hidden="1" customHeight="1">
      <c r="A540" s="3"/>
      <c r="B540" s="3"/>
      <c r="C540" s="3"/>
      <c r="D540" s="3"/>
      <c r="E540" s="3"/>
      <c r="F540" s="40"/>
      <c r="G540" s="3"/>
      <c r="H540" s="41"/>
      <c r="I540" s="15"/>
      <c r="J540" s="15"/>
      <c r="K540" s="42"/>
      <c r="L540" s="73"/>
      <c r="M540" s="73"/>
      <c r="N540" s="43"/>
      <c r="O540" s="48"/>
      <c r="P540" s="49"/>
      <c r="Q540" s="49"/>
      <c r="R540" s="49"/>
      <c r="S540" s="50"/>
      <c r="T540" s="49"/>
      <c r="U540" s="49"/>
      <c r="V540" s="49"/>
      <c r="W540" s="51"/>
    </row>
    <row r="541" spans="1:23" ht="25.5" hidden="1" customHeight="1">
      <c r="A541" s="3"/>
      <c r="B541" s="3"/>
      <c r="C541" s="3"/>
      <c r="D541" s="3"/>
      <c r="E541" s="3"/>
      <c r="F541" s="40"/>
      <c r="G541" s="3"/>
      <c r="H541" s="41"/>
      <c r="I541" s="15"/>
      <c r="J541" s="15"/>
      <c r="K541" s="42"/>
      <c r="L541" s="73"/>
      <c r="M541" s="73"/>
      <c r="N541" s="43"/>
      <c r="O541" s="48"/>
      <c r="P541" s="49"/>
      <c r="Q541" s="49"/>
      <c r="R541" s="49"/>
      <c r="S541" s="50"/>
      <c r="T541" s="49"/>
      <c r="U541" s="49"/>
      <c r="V541" s="49"/>
      <c r="W541" s="51"/>
    </row>
    <row r="542" spans="1:23" ht="25.5" hidden="1" customHeight="1">
      <c r="A542" s="3"/>
      <c r="B542" s="3"/>
      <c r="C542" s="3"/>
      <c r="D542" s="3"/>
      <c r="E542" s="3"/>
      <c r="F542" s="40"/>
      <c r="G542" s="3"/>
      <c r="H542" s="41"/>
      <c r="I542" s="15"/>
      <c r="J542" s="15"/>
      <c r="K542" s="42"/>
      <c r="L542" s="73"/>
      <c r="M542" s="73"/>
      <c r="N542" s="43"/>
      <c r="O542" s="48"/>
      <c r="P542" s="49"/>
      <c r="Q542" s="49"/>
      <c r="R542" s="49"/>
      <c r="S542" s="50"/>
      <c r="T542" s="49"/>
      <c r="U542" s="49"/>
      <c r="V542" s="49"/>
      <c r="W542" s="51"/>
    </row>
    <row r="543" spans="1:23" ht="25.5" hidden="1" customHeight="1">
      <c r="A543" s="3"/>
      <c r="B543" s="3"/>
      <c r="C543" s="3"/>
      <c r="D543" s="3"/>
      <c r="E543" s="3"/>
      <c r="F543" s="40"/>
      <c r="G543" s="3"/>
      <c r="H543" s="41"/>
      <c r="I543" s="15"/>
      <c r="J543" s="15"/>
      <c r="K543" s="42"/>
      <c r="L543" s="73"/>
      <c r="M543" s="73"/>
      <c r="N543" s="43"/>
      <c r="O543" s="48"/>
      <c r="P543" s="49"/>
      <c r="Q543" s="49"/>
      <c r="R543" s="49"/>
      <c r="S543" s="50"/>
      <c r="T543" s="49"/>
      <c r="U543" s="49"/>
      <c r="V543" s="49"/>
      <c r="W543" s="51"/>
    </row>
    <row r="544" spans="1:23" ht="25.5" hidden="1" customHeight="1">
      <c r="A544" s="3"/>
      <c r="B544" s="3"/>
      <c r="C544" s="3"/>
      <c r="D544" s="3"/>
      <c r="E544" s="3"/>
      <c r="F544" s="40"/>
      <c r="G544" s="3"/>
      <c r="H544" s="41"/>
      <c r="I544" s="15"/>
      <c r="J544" s="15"/>
      <c r="K544" s="42"/>
      <c r="L544" s="73"/>
      <c r="M544" s="73"/>
      <c r="N544" s="43"/>
      <c r="O544" s="48"/>
      <c r="P544" s="49"/>
      <c r="Q544" s="49"/>
      <c r="R544" s="49"/>
      <c r="S544" s="50"/>
      <c r="T544" s="49"/>
      <c r="U544" s="49"/>
      <c r="V544" s="49"/>
      <c r="W544" s="51"/>
    </row>
    <row r="545" spans="1:23" ht="25.5" hidden="1" customHeight="1">
      <c r="A545" s="3"/>
      <c r="B545" s="3"/>
      <c r="C545" s="3"/>
      <c r="D545" s="3"/>
      <c r="E545" s="3"/>
      <c r="F545" s="40"/>
      <c r="G545" s="3"/>
      <c r="H545" s="41"/>
      <c r="I545" s="15"/>
      <c r="J545" s="15"/>
      <c r="K545" s="42"/>
      <c r="L545" s="73"/>
      <c r="M545" s="73"/>
      <c r="N545" s="43"/>
      <c r="O545" s="48"/>
      <c r="P545" s="49"/>
      <c r="Q545" s="49"/>
      <c r="R545" s="49"/>
      <c r="S545" s="50"/>
      <c r="T545" s="49"/>
      <c r="U545" s="49"/>
      <c r="V545" s="49"/>
      <c r="W545" s="51"/>
    </row>
    <row r="546" spans="1:23" ht="25.5" hidden="1" customHeight="1">
      <c r="A546" s="3"/>
      <c r="B546" s="3"/>
      <c r="C546" s="3"/>
      <c r="D546" s="3"/>
      <c r="E546" s="3"/>
      <c r="F546" s="40"/>
      <c r="G546" s="3"/>
      <c r="H546" s="41"/>
      <c r="I546" s="15"/>
      <c r="J546" s="15"/>
      <c r="K546" s="42"/>
      <c r="L546" s="73"/>
      <c r="M546" s="73"/>
      <c r="N546" s="43"/>
      <c r="O546" s="48"/>
      <c r="P546" s="49"/>
      <c r="Q546" s="49"/>
      <c r="R546" s="49"/>
      <c r="S546" s="50"/>
      <c r="T546" s="49"/>
      <c r="U546" s="49"/>
      <c r="V546" s="49"/>
      <c r="W546" s="51"/>
    </row>
    <row r="547" spans="1:23" ht="25.5" hidden="1" customHeight="1">
      <c r="A547" s="3"/>
      <c r="B547" s="3"/>
      <c r="C547" s="3"/>
      <c r="D547" s="3"/>
      <c r="E547" s="3"/>
      <c r="F547" s="40"/>
      <c r="G547" s="3"/>
      <c r="H547" s="41"/>
      <c r="I547" s="15"/>
      <c r="J547" s="15"/>
      <c r="K547" s="42"/>
      <c r="L547" s="73"/>
      <c r="M547" s="73"/>
      <c r="N547" s="43"/>
      <c r="O547" s="48"/>
      <c r="P547" s="49"/>
      <c r="Q547" s="49"/>
      <c r="R547" s="49"/>
      <c r="S547" s="50"/>
      <c r="T547" s="49"/>
      <c r="U547" s="49"/>
      <c r="V547" s="49"/>
      <c r="W547" s="51"/>
    </row>
    <row r="548" spans="1:23" ht="25.5" hidden="1" customHeight="1">
      <c r="A548" s="3"/>
      <c r="B548" s="3"/>
      <c r="C548" s="3"/>
      <c r="D548" s="3"/>
      <c r="E548" s="3"/>
      <c r="F548" s="40"/>
      <c r="G548" s="3"/>
      <c r="H548" s="41"/>
      <c r="I548" s="15"/>
      <c r="J548" s="15"/>
      <c r="K548" s="42"/>
      <c r="L548" s="73"/>
      <c r="M548" s="73"/>
      <c r="N548" s="43"/>
      <c r="O548" s="48"/>
      <c r="P548" s="49"/>
      <c r="Q548" s="49"/>
      <c r="R548" s="49"/>
      <c r="S548" s="50"/>
      <c r="T548" s="49"/>
      <c r="U548" s="49"/>
      <c r="V548" s="49"/>
      <c r="W548" s="51"/>
    </row>
    <row r="549" spans="1:23" ht="25.5" hidden="1" customHeight="1">
      <c r="A549" s="3"/>
      <c r="B549" s="3"/>
      <c r="C549" s="3"/>
      <c r="D549" s="3"/>
      <c r="E549" s="3"/>
      <c r="F549" s="40"/>
      <c r="G549" s="3"/>
      <c r="H549" s="41"/>
      <c r="I549" s="15"/>
      <c r="J549" s="15"/>
      <c r="K549" s="42"/>
      <c r="L549" s="73"/>
      <c r="M549" s="73"/>
      <c r="N549" s="43"/>
      <c r="O549" s="48"/>
      <c r="P549" s="49"/>
      <c r="Q549" s="49"/>
      <c r="R549" s="49"/>
      <c r="S549" s="50"/>
      <c r="T549" s="49"/>
      <c r="U549" s="49"/>
      <c r="V549" s="49"/>
      <c r="W549" s="51"/>
    </row>
    <row r="550" spans="1:23" ht="25.5" hidden="1" customHeight="1">
      <c r="A550" s="3"/>
      <c r="B550" s="3"/>
      <c r="C550" s="3"/>
      <c r="D550" s="3"/>
      <c r="E550" s="3"/>
      <c r="F550" s="40"/>
      <c r="G550" s="3"/>
      <c r="H550" s="41"/>
      <c r="I550" s="15"/>
      <c r="J550" s="15"/>
      <c r="K550" s="42"/>
      <c r="L550" s="73"/>
      <c r="M550" s="73"/>
      <c r="N550" s="43"/>
      <c r="O550" s="48"/>
      <c r="P550" s="49"/>
      <c r="Q550" s="49"/>
      <c r="R550" s="49"/>
      <c r="S550" s="50"/>
      <c r="T550" s="49"/>
      <c r="U550" s="49"/>
      <c r="V550" s="49"/>
      <c r="W550" s="51"/>
    </row>
    <row r="551" spans="1:23" ht="25.5" hidden="1" customHeight="1">
      <c r="A551" s="3"/>
      <c r="B551" s="3"/>
      <c r="C551" s="3"/>
      <c r="D551" s="3"/>
      <c r="E551" s="3"/>
      <c r="F551" s="40"/>
      <c r="G551" s="3"/>
      <c r="H551" s="41"/>
      <c r="I551" s="15"/>
      <c r="J551" s="15"/>
      <c r="K551" s="42"/>
      <c r="L551" s="73"/>
      <c r="M551" s="73"/>
      <c r="N551" s="43"/>
      <c r="O551" s="48"/>
      <c r="P551" s="49"/>
      <c r="Q551" s="49"/>
      <c r="R551" s="49"/>
      <c r="S551" s="50"/>
      <c r="T551" s="49"/>
      <c r="U551" s="49"/>
      <c r="V551" s="49"/>
      <c r="W551" s="51"/>
    </row>
    <row r="552" spans="1:23" ht="25.5" hidden="1" customHeight="1">
      <c r="A552" s="3"/>
      <c r="B552" s="3"/>
      <c r="C552" s="3"/>
      <c r="D552" s="3"/>
      <c r="E552" s="3"/>
      <c r="F552" s="40"/>
      <c r="G552" s="3"/>
      <c r="H552" s="41"/>
      <c r="I552" s="15"/>
      <c r="J552" s="15"/>
      <c r="K552" s="42"/>
      <c r="L552" s="73"/>
      <c r="M552" s="73"/>
      <c r="N552" s="43"/>
      <c r="O552" s="48"/>
      <c r="P552" s="49"/>
      <c r="Q552" s="49"/>
      <c r="R552" s="49"/>
      <c r="S552" s="50"/>
      <c r="T552" s="49"/>
      <c r="U552" s="49"/>
      <c r="V552" s="49"/>
      <c r="W552" s="51"/>
    </row>
    <row r="553" spans="1:23" ht="25.5" hidden="1" customHeight="1">
      <c r="A553" s="3"/>
      <c r="B553" s="3"/>
      <c r="C553" s="3"/>
      <c r="D553" s="3"/>
      <c r="E553" s="3"/>
      <c r="F553" s="40"/>
      <c r="G553" s="3"/>
      <c r="H553" s="41"/>
      <c r="I553" s="15"/>
      <c r="J553" s="15"/>
      <c r="K553" s="42"/>
      <c r="L553" s="73"/>
      <c r="M553" s="73"/>
      <c r="N553" s="43"/>
      <c r="O553" s="48"/>
      <c r="P553" s="49"/>
      <c r="Q553" s="49"/>
      <c r="R553" s="49"/>
      <c r="S553" s="50"/>
      <c r="T553" s="49"/>
      <c r="U553" s="49"/>
      <c r="V553" s="49"/>
      <c r="W553" s="51"/>
    </row>
    <row r="554" spans="1:23" ht="25.5" hidden="1" customHeight="1">
      <c r="A554" s="3"/>
      <c r="B554" s="3"/>
      <c r="C554" s="3"/>
      <c r="D554" s="3"/>
      <c r="E554" s="3"/>
      <c r="F554" s="40"/>
      <c r="G554" s="3"/>
      <c r="H554" s="41"/>
      <c r="I554" s="15"/>
      <c r="J554" s="15"/>
      <c r="K554" s="42"/>
      <c r="L554" s="73"/>
      <c r="M554" s="73"/>
      <c r="N554" s="43"/>
      <c r="O554" s="48"/>
      <c r="P554" s="49"/>
      <c r="Q554" s="49"/>
      <c r="R554" s="49"/>
      <c r="S554" s="50"/>
      <c r="T554" s="49"/>
      <c r="U554" s="49"/>
      <c r="V554" s="49"/>
      <c r="W554" s="51"/>
    </row>
    <row r="555" spans="1:23" ht="25.5" hidden="1" customHeight="1">
      <c r="A555" s="3"/>
      <c r="B555" s="3"/>
      <c r="C555" s="3"/>
      <c r="D555" s="3"/>
      <c r="E555" s="3"/>
      <c r="F555" s="40"/>
      <c r="G555" s="3"/>
      <c r="H555" s="41"/>
      <c r="I555" s="15"/>
      <c r="J555" s="15"/>
      <c r="K555" s="42"/>
      <c r="L555" s="73"/>
      <c r="M555" s="73"/>
      <c r="N555" s="43"/>
      <c r="O555" s="48"/>
      <c r="P555" s="49"/>
      <c r="Q555" s="49"/>
      <c r="R555" s="49"/>
      <c r="S555" s="50"/>
      <c r="T555" s="49"/>
      <c r="U555" s="49"/>
      <c r="V555" s="49"/>
      <c r="W555" s="51"/>
    </row>
    <row r="556" spans="1:23" ht="25.5" hidden="1" customHeight="1">
      <c r="A556" s="3"/>
      <c r="B556" s="3"/>
      <c r="C556" s="3"/>
      <c r="D556" s="3"/>
      <c r="E556" s="3"/>
      <c r="F556" s="40"/>
      <c r="G556" s="3"/>
      <c r="H556" s="41"/>
      <c r="I556" s="15"/>
      <c r="J556" s="15"/>
      <c r="K556" s="42"/>
      <c r="L556" s="73"/>
      <c r="M556" s="73"/>
      <c r="N556" s="43"/>
      <c r="O556" s="48"/>
      <c r="P556" s="49"/>
      <c r="Q556" s="49"/>
      <c r="R556" s="49"/>
      <c r="S556" s="50"/>
      <c r="T556" s="49"/>
      <c r="U556" s="49"/>
      <c r="V556" s="49"/>
      <c r="W556" s="51"/>
    </row>
    <row r="557" spans="1:23" ht="25.5" hidden="1" customHeight="1">
      <c r="A557" s="3"/>
      <c r="B557" s="3"/>
      <c r="C557" s="3"/>
      <c r="D557" s="3"/>
      <c r="E557" s="3"/>
      <c r="F557" s="40"/>
      <c r="G557" s="3"/>
      <c r="H557" s="41"/>
      <c r="I557" s="15"/>
      <c r="J557" s="15"/>
      <c r="K557" s="42"/>
      <c r="L557" s="73"/>
      <c r="M557" s="73"/>
      <c r="N557" s="43"/>
      <c r="O557" s="48"/>
      <c r="P557" s="49"/>
      <c r="Q557" s="49"/>
      <c r="R557" s="49"/>
      <c r="S557" s="50"/>
      <c r="T557" s="49"/>
      <c r="U557" s="49"/>
      <c r="V557" s="49"/>
      <c r="W557" s="51"/>
    </row>
    <row r="558" spans="1:23" ht="25.5" hidden="1" customHeight="1">
      <c r="A558" s="3"/>
      <c r="B558" s="3"/>
      <c r="C558" s="3"/>
      <c r="D558" s="3"/>
      <c r="E558" s="3"/>
      <c r="F558" s="40"/>
      <c r="G558" s="3"/>
      <c r="H558" s="41"/>
      <c r="I558" s="15"/>
      <c r="J558" s="15"/>
      <c r="K558" s="42"/>
      <c r="L558" s="73"/>
      <c r="M558" s="73"/>
      <c r="N558" s="43"/>
      <c r="O558" s="48"/>
      <c r="P558" s="49"/>
      <c r="Q558" s="49"/>
      <c r="R558" s="49"/>
      <c r="S558" s="50"/>
      <c r="T558" s="49"/>
      <c r="U558" s="49"/>
      <c r="V558" s="49"/>
      <c r="W558" s="51"/>
    </row>
    <row r="559" spans="1:23" ht="25.5" hidden="1" customHeight="1">
      <c r="A559" s="3"/>
      <c r="B559" s="3"/>
      <c r="C559" s="3"/>
      <c r="D559" s="3"/>
      <c r="E559" s="3"/>
      <c r="F559" s="40"/>
      <c r="G559" s="3"/>
      <c r="H559" s="41"/>
      <c r="I559" s="15"/>
      <c r="J559" s="15"/>
      <c r="K559" s="42"/>
      <c r="L559" s="73"/>
      <c r="M559" s="73"/>
      <c r="N559" s="43"/>
      <c r="O559" s="48"/>
      <c r="P559" s="49"/>
      <c r="Q559" s="49"/>
      <c r="R559" s="49"/>
      <c r="S559" s="50"/>
      <c r="T559" s="49"/>
      <c r="U559" s="49"/>
      <c r="V559" s="49"/>
      <c r="W559" s="51"/>
    </row>
    <row r="560" spans="1:23" ht="25.5" hidden="1" customHeight="1">
      <c r="A560" s="3"/>
      <c r="B560" s="3"/>
      <c r="C560" s="3"/>
      <c r="D560" s="3"/>
      <c r="E560" s="3"/>
      <c r="F560" s="40"/>
      <c r="G560" s="3"/>
      <c r="H560" s="41"/>
      <c r="I560" s="15"/>
      <c r="J560" s="15"/>
      <c r="K560" s="42"/>
      <c r="L560" s="73"/>
      <c r="M560" s="73"/>
      <c r="N560" s="43"/>
      <c r="O560" s="48"/>
      <c r="P560" s="49"/>
      <c r="Q560" s="49"/>
      <c r="R560" s="49"/>
      <c r="S560" s="50"/>
      <c r="T560" s="49"/>
      <c r="U560" s="49"/>
      <c r="V560" s="49"/>
      <c r="W560" s="51"/>
    </row>
    <row r="561" spans="1:23" ht="25.5" hidden="1" customHeight="1">
      <c r="A561" s="3"/>
      <c r="B561" s="3"/>
      <c r="C561" s="3"/>
      <c r="D561" s="3"/>
      <c r="E561" s="3"/>
      <c r="F561" s="40"/>
      <c r="G561" s="3"/>
      <c r="H561" s="41"/>
      <c r="I561" s="15"/>
      <c r="J561" s="15"/>
      <c r="K561" s="42"/>
      <c r="L561" s="73"/>
      <c r="M561" s="73"/>
      <c r="N561" s="43"/>
      <c r="O561" s="48"/>
      <c r="P561" s="49"/>
      <c r="Q561" s="49"/>
      <c r="R561" s="49"/>
      <c r="S561" s="50"/>
      <c r="T561" s="49"/>
      <c r="U561" s="49"/>
      <c r="V561" s="49"/>
      <c r="W561" s="51"/>
    </row>
    <row r="562" spans="1:23" ht="25.5" hidden="1" customHeight="1">
      <c r="A562" s="3"/>
      <c r="B562" s="3"/>
      <c r="C562" s="3"/>
      <c r="D562" s="3"/>
      <c r="E562" s="3"/>
      <c r="F562" s="40"/>
      <c r="G562" s="3"/>
      <c r="H562" s="41"/>
      <c r="I562" s="15"/>
      <c r="J562" s="15"/>
      <c r="K562" s="42"/>
      <c r="L562" s="73"/>
      <c r="M562" s="73"/>
      <c r="N562" s="43"/>
      <c r="O562" s="48"/>
      <c r="P562" s="49"/>
      <c r="Q562" s="49"/>
      <c r="R562" s="49"/>
      <c r="S562" s="50"/>
      <c r="T562" s="49"/>
      <c r="U562" s="49"/>
      <c r="V562" s="49"/>
      <c r="W562" s="51"/>
    </row>
    <row r="563" spans="1:23" ht="25.5" hidden="1" customHeight="1">
      <c r="A563" s="3"/>
      <c r="B563" s="3"/>
      <c r="C563" s="3"/>
      <c r="D563" s="3"/>
      <c r="E563" s="3"/>
      <c r="F563" s="40"/>
      <c r="G563" s="3"/>
      <c r="H563" s="41"/>
      <c r="I563" s="15"/>
      <c r="J563" s="15"/>
      <c r="K563" s="42"/>
      <c r="L563" s="73"/>
      <c r="M563" s="73"/>
      <c r="N563" s="43"/>
      <c r="O563" s="48"/>
      <c r="P563" s="49"/>
      <c r="Q563" s="49"/>
      <c r="R563" s="49"/>
      <c r="S563" s="50"/>
      <c r="T563" s="49"/>
      <c r="U563" s="49"/>
      <c r="V563" s="49"/>
      <c r="W563" s="51"/>
    </row>
    <row r="564" spans="1:23" ht="25.5" hidden="1" customHeight="1">
      <c r="A564" s="3"/>
      <c r="B564" s="3"/>
      <c r="C564" s="3"/>
      <c r="D564" s="3"/>
      <c r="E564" s="3"/>
      <c r="F564" s="40"/>
      <c r="G564" s="3"/>
      <c r="H564" s="41"/>
      <c r="I564" s="15"/>
      <c r="J564" s="15"/>
      <c r="K564" s="42"/>
      <c r="L564" s="73"/>
      <c r="M564" s="73"/>
      <c r="N564" s="43"/>
      <c r="O564" s="48"/>
      <c r="P564" s="49"/>
      <c r="Q564" s="49"/>
      <c r="R564" s="49"/>
      <c r="S564" s="50"/>
      <c r="T564" s="49"/>
      <c r="U564" s="49"/>
      <c r="V564" s="49"/>
      <c r="W564" s="51"/>
    </row>
    <row r="565" spans="1:23" ht="25.5" hidden="1" customHeight="1">
      <c r="A565" s="3"/>
      <c r="B565" s="3"/>
      <c r="C565" s="3"/>
      <c r="D565" s="3"/>
      <c r="E565" s="3"/>
      <c r="F565" s="40"/>
      <c r="G565" s="3"/>
      <c r="H565" s="41"/>
      <c r="I565" s="15"/>
      <c r="J565" s="15"/>
      <c r="K565" s="42"/>
      <c r="L565" s="73"/>
      <c r="M565" s="73"/>
      <c r="N565" s="43"/>
      <c r="O565" s="48"/>
      <c r="P565" s="49"/>
      <c r="Q565" s="49"/>
      <c r="R565" s="49"/>
      <c r="S565" s="50"/>
      <c r="T565" s="49"/>
      <c r="U565" s="49"/>
      <c r="V565" s="49"/>
      <c r="W565" s="51"/>
    </row>
    <row r="566" spans="1:23" ht="25.5" hidden="1" customHeight="1">
      <c r="A566" s="3"/>
      <c r="B566" s="3"/>
      <c r="C566" s="3"/>
      <c r="D566" s="3"/>
      <c r="E566" s="3"/>
      <c r="F566" s="40"/>
      <c r="G566" s="3"/>
      <c r="H566" s="41"/>
      <c r="I566" s="15"/>
      <c r="J566" s="15"/>
      <c r="K566" s="42"/>
      <c r="L566" s="73"/>
      <c r="M566" s="73"/>
      <c r="N566" s="43"/>
      <c r="O566" s="48"/>
      <c r="P566" s="49"/>
      <c r="Q566" s="49"/>
      <c r="R566" s="49"/>
      <c r="S566" s="50"/>
      <c r="T566" s="49"/>
      <c r="U566" s="49"/>
      <c r="V566" s="49"/>
      <c r="W566" s="51"/>
    </row>
    <row r="567" spans="1:23" ht="25.5" hidden="1" customHeight="1">
      <c r="A567" s="3"/>
      <c r="B567" s="3"/>
      <c r="C567" s="3"/>
      <c r="D567" s="3"/>
      <c r="E567" s="3"/>
      <c r="F567" s="40"/>
      <c r="G567" s="3"/>
      <c r="H567" s="41"/>
      <c r="I567" s="15"/>
      <c r="J567" s="15"/>
      <c r="K567" s="42"/>
      <c r="L567" s="73"/>
      <c r="M567" s="73"/>
      <c r="N567" s="43"/>
      <c r="O567" s="48"/>
      <c r="P567" s="49"/>
      <c r="Q567" s="49"/>
      <c r="R567" s="49"/>
      <c r="S567" s="50"/>
      <c r="T567" s="49"/>
      <c r="U567" s="49"/>
      <c r="V567" s="49"/>
      <c r="W567" s="51"/>
    </row>
    <row r="568" spans="1:23" ht="25.5" hidden="1" customHeight="1">
      <c r="A568" s="3"/>
      <c r="B568" s="3"/>
      <c r="C568" s="3"/>
      <c r="D568" s="3"/>
      <c r="E568" s="3"/>
      <c r="F568" s="40"/>
      <c r="G568" s="3"/>
      <c r="H568" s="41"/>
      <c r="I568" s="15"/>
      <c r="J568" s="15"/>
      <c r="K568" s="42"/>
      <c r="L568" s="73"/>
      <c r="M568" s="73"/>
      <c r="N568" s="43"/>
      <c r="O568" s="48"/>
      <c r="P568" s="49"/>
      <c r="Q568" s="49"/>
      <c r="R568" s="49"/>
      <c r="S568" s="50"/>
      <c r="T568" s="49"/>
      <c r="U568" s="49"/>
      <c r="V568" s="49"/>
      <c r="W568" s="51"/>
    </row>
    <row r="569" spans="1:23" ht="25.5" hidden="1" customHeight="1">
      <c r="A569" s="3"/>
      <c r="B569" s="3"/>
      <c r="C569" s="3"/>
      <c r="D569" s="3"/>
      <c r="E569" s="3"/>
      <c r="F569" s="40"/>
      <c r="G569" s="3"/>
      <c r="H569" s="41"/>
      <c r="I569" s="15"/>
      <c r="J569" s="15"/>
      <c r="K569" s="42"/>
      <c r="L569" s="73"/>
      <c r="M569" s="73"/>
      <c r="N569" s="43"/>
      <c r="O569" s="48"/>
      <c r="P569" s="49"/>
      <c r="Q569" s="49"/>
      <c r="R569" s="49"/>
      <c r="S569" s="50"/>
      <c r="T569" s="49"/>
      <c r="U569" s="49"/>
      <c r="V569" s="49"/>
      <c r="W569" s="51"/>
    </row>
    <row r="570" spans="1:23" ht="25.5" hidden="1" customHeight="1">
      <c r="A570" s="3"/>
      <c r="B570" s="3"/>
      <c r="C570" s="3"/>
      <c r="D570" s="3"/>
      <c r="E570" s="3"/>
      <c r="F570" s="40"/>
      <c r="G570" s="3"/>
      <c r="H570" s="41"/>
      <c r="I570" s="15"/>
      <c r="J570" s="15"/>
      <c r="K570" s="42"/>
      <c r="L570" s="73"/>
      <c r="M570" s="73"/>
      <c r="N570" s="43"/>
      <c r="O570" s="48"/>
      <c r="P570" s="49"/>
      <c r="Q570" s="49"/>
      <c r="R570" s="49"/>
      <c r="S570" s="50"/>
      <c r="T570" s="49"/>
      <c r="U570" s="49"/>
      <c r="V570" s="49"/>
      <c r="W570" s="51"/>
    </row>
    <row r="571" spans="1:23" ht="25.5" hidden="1" customHeight="1">
      <c r="A571" s="3"/>
      <c r="B571" s="3"/>
      <c r="C571" s="3"/>
      <c r="D571" s="3"/>
      <c r="E571" s="3"/>
      <c r="F571" s="40"/>
      <c r="G571" s="3"/>
      <c r="H571" s="41"/>
      <c r="I571" s="15"/>
      <c r="J571" s="15"/>
      <c r="K571" s="42"/>
      <c r="L571" s="73"/>
      <c r="M571" s="73"/>
      <c r="N571" s="43"/>
      <c r="O571" s="48"/>
      <c r="P571" s="49"/>
      <c r="Q571" s="49"/>
      <c r="R571" s="49"/>
      <c r="S571" s="50"/>
      <c r="T571" s="49"/>
      <c r="U571" s="49"/>
      <c r="V571" s="49"/>
      <c r="W571" s="51"/>
    </row>
    <row r="572" spans="1:23" ht="25.5" hidden="1" customHeight="1">
      <c r="A572" s="3"/>
      <c r="B572" s="3"/>
      <c r="C572" s="3"/>
      <c r="D572" s="3"/>
      <c r="E572" s="3"/>
      <c r="F572" s="40"/>
      <c r="G572" s="3"/>
      <c r="H572" s="41"/>
      <c r="I572" s="15"/>
      <c r="J572" s="15"/>
      <c r="K572" s="42"/>
      <c r="L572" s="73"/>
      <c r="M572" s="73"/>
      <c r="N572" s="43"/>
      <c r="O572" s="48"/>
      <c r="P572" s="49"/>
      <c r="Q572" s="49"/>
      <c r="R572" s="49"/>
      <c r="S572" s="50"/>
      <c r="T572" s="49"/>
      <c r="U572" s="49"/>
      <c r="V572" s="49"/>
      <c r="W572" s="51"/>
    </row>
    <row r="573" spans="1:23" ht="25.5" hidden="1" customHeight="1">
      <c r="A573" s="3"/>
      <c r="B573" s="3"/>
      <c r="C573" s="3"/>
      <c r="D573" s="3"/>
      <c r="E573" s="3"/>
      <c r="F573" s="40"/>
      <c r="G573" s="3"/>
      <c r="H573" s="41"/>
      <c r="I573" s="15"/>
      <c r="J573" s="15"/>
      <c r="K573" s="42"/>
      <c r="L573" s="73"/>
      <c r="M573" s="73"/>
      <c r="N573" s="43"/>
      <c r="O573" s="48"/>
      <c r="P573" s="49"/>
      <c r="Q573" s="49"/>
      <c r="R573" s="49"/>
      <c r="S573" s="50"/>
      <c r="T573" s="49"/>
      <c r="U573" s="49"/>
      <c r="V573" s="49"/>
      <c r="W573" s="51"/>
    </row>
    <row r="574" spans="1:23" ht="25.5" hidden="1" customHeight="1">
      <c r="A574" s="3"/>
      <c r="B574" s="3"/>
      <c r="C574" s="3"/>
      <c r="D574" s="3"/>
      <c r="E574" s="3"/>
      <c r="F574" s="40"/>
      <c r="G574" s="3"/>
      <c r="H574" s="41"/>
      <c r="I574" s="15"/>
      <c r="J574" s="15"/>
      <c r="K574" s="42"/>
      <c r="L574" s="73"/>
      <c r="M574" s="73"/>
      <c r="N574" s="43"/>
      <c r="O574" s="48"/>
      <c r="P574" s="49"/>
      <c r="Q574" s="49"/>
      <c r="R574" s="49"/>
      <c r="S574" s="50"/>
      <c r="T574" s="49"/>
      <c r="U574" s="49"/>
      <c r="V574" s="49"/>
      <c r="W574" s="51"/>
    </row>
    <row r="575" spans="1:23" ht="25.5" hidden="1" customHeight="1">
      <c r="A575" s="3"/>
      <c r="B575" s="3"/>
      <c r="C575" s="3"/>
      <c r="D575" s="3"/>
      <c r="E575" s="3"/>
      <c r="F575" s="40"/>
      <c r="G575" s="3"/>
      <c r="H575" s="41"/>
      <c r="I575" s="15"/>
      <c r="J575" s="15"/>
      <c r="K575" s="42"/>
      <c r="L575" s="73"/>
      <c r="M575" s="73"/>
      <c r="N575" s="43"/>
      <c r="O575" s="48"/>
      <c r="P575" s="49"/>
      <c r="Q575" s="49"/>
      <c r="R575" s="49"/>
      <c r="S575" s="50"/>
      <c r="T575" s="49"/>
      <c r="U575" s="49"/>
      <c r="V575" s="49"/>
      <c r="W575" s="51"/>
    </row>
    <row r="576" spans="1:23" ht="25.5" hidden="1" customHeight="1">
      <c r="A576" s="3"/>
      <c r="B576" s="3"/>
      <c r="C576" s="3"/>
      <c r="D576" s="3"/>
      <c r="E576" s="3"/>
      <c r="F576" s="40"/>
      <c r="G576" s="3"/>
      <c r="H576" s="41"/>
      <c r="I576" s="15"/>
      <c r="J576" s="15"/>
      <c r="K576" s="42"/>
      <c r="L576" s="73"/>
      <c r="M576" s="73"/>
      <c r="N576" s="43"/>
      <c r="O576" s="48"/>
      <c r="P576" s="49"/>
      <c r="Q576" s="49"/>
      <c r="R576" s="49"/>
      <c r="S576" s="50"/>
      <c r="T576" s="49"/>
      <c r="U576" s="49"/>
      <c r="V576" s="49"/>
      <c r="W576" s="51"/>
    </row>
    <row r="577" spans="1:23" ht="25.5" hidden="1" customHeight="1">
      <c r="A577" s="3"/>
      <c r="B577" s="3"/>
      <c r="C577" s="3"/>
      <c r="D577" s="3"/>
      <c r="E577" s="3"/>
      <c r="F577" s="40"/>
      <c r="G577" s="3"/>
      <c r="H577" s="41"/>
      <c r="I577" s="15"/>
      <c r="J577" s="15"/>
      <c r="K577" s="42"/>
      <c r="L577" s="73"/>
      <c r="M577" s="73"/>
      <c r="N577" s="43"/>
      <c r="O577" s="48"/>
      <c r="P577" s="49"/>
      <c r="Q577" s="49"/>
      <c r="R577" s="49"/>
      <c r="S577" s="50"/>
      <c r="T577" s="49"/>
      <c r="U577" s="49"/>
      <c r="V577" s="49"/>
      <c r="W577" s="51"/>
    </row>
    <row r="578" spans="1:23" ht="25.5" hidden="1" customHeight="1">
      <c r="A578" s="3"/>
      <c r="B578" s="3"/>
      <c r="C578" s="3"/>
      <c r="D578" s="3"/>
      <c r="E578" s="3"/>
      <c r="F578" s="40"/>
      <c r="G578" s="3"/>
      <c r="H578" s="41"/>
      <c r="I578" s="15"/>
      <c r="J578" s="15"/>
      <c r="K578" s="42"/>
      <c r="L578" s="73"/>
      <c r="M578" s="73"/>
      <c r="N578" s="43"/>
      <c r="O578" s="48"/>
      <c r="P578" s="49"/>
      <c r="Q578" s="49"/>
      <c r="R578" s="49"/>
      <c r="S578" s="50"/>
      <c r="T578" s="49"/>
      <c r="U578" s="49"/>
      <c r="V578" s="49"/>
      <c r="W578" s="51"/>
    </row>
    <row r="579" spans="1:23" ht="25.5" hidden="1" customHeight="1">
      <c r="A579" s="3"/>
      <c r="B579" s="3"/>
      <c r="C579" s="3"/>
      <c r="D579" s="3"/>
      <c r="E579" s="3"/>
      <c r="F579" s="40"/>
      <c r="G579" s="3"/>
      <c r="H579" s="41"/>
      <c r="I579" s="15"/>
      <c r="J579" s="15"/>
      <c r="K579" s="42"/>
      <c r="L579" s="73"/>
      <c r="M579" s="73"/>
      <c r="N579" s="43"/>
      <c r="O579" s="48"/>
      <c r="P579" s="49"/>
      <c r="Q579" s="49"/>
      <c r="R579" s="49"/>
      <c r="S579" s="50"/>
      <c r="T579" s="49"/>
      <c r="U579" s="49"/>
      <c r="V579" s="49"/>
      <c r="W579" s="51"/>
    </row>
    <row r="580" spans="1:23" ht="25.5" hidden="1" customHeight="1">
      <c r="A580" s="3"/>
      <c r="B580" s="3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</row>
    <row r="581" spans="1:23" ht="25.5" hidden="1" customHeight="1">
      <c r="A581" s="3"/>
      <c r="B581" s="3"/>
    </row>
    <row r="582" spans="1:23" ht="25.5" hidden="1" customHeight="1">
      <c r="A582" s="3"/>
      <c r="B582" s="3"/>
    </row>
    <row r="583" spans="1:23" ht="25.5" hidden="1" customHeight="1">
      <c r="A583" s="3"/>
      <c r="B583" s="3"/>
    </row>
    <row r="584" spans="1:23" ht="25.5" hidden="1" customHeight="1">
      <c r="A584" s="3"/>
      <c r="B584" s="3"/>
    </row>
    <row r="585" spans="1:23" ht="25.5" hidden="1" customHeight="1">
      <c r="A585" s="3"/>
      <c r="B585" s="3"/>
    </row>
    <row r="586" spans="1:23" ht="25.5" hidden="1" customHeight="1">
      <c r="A586" s="3"/>
      <c r="B586" s="3"/>
    </row>
    <row r="587" spans="1:23" ht="25.5" hidden="1" customHeight="1">
      <c r="A587" s="3"/>
      <c r="B587" s="3"/>
    </row>
    <row r="588" spans="1:23" ht="25.5" hidden="1" customHeight="1">
      <c r="A588" s="3"/>
      <c r="B588" s="3"/>
    </row>
    <row r="589" spans="1:23" ht="25.5" hidden="1" customHeight="1">
      <c r="A589" s="3"/>
      <c r="B589" s="3"/>
    </row>
    <row r="590" spans="1:23" ht="25.5" hidden="1" customHeight="1">
      <c r="A590" s="3"/>
      <c r="B590" s="3"/>
    </row>
    <row r="591" spans="1:23" ht="25.5" hidden="1" customHeight="1">
      <c r="A591" s="3"/>
      <c r="B591" s="3"/>
    </row>
    <row r="592" spans="1:23" ht="25.5" hidden="1" customHeight="1">
      <c r="A592" s="3"/>
      <c r="B592" s="3"/>
    </row>
    <row r="593" spans="1:2" ht="25.5" hidden="1" customHeight="1">
      <c r="A593" s="3"/>
      <c r="B593" s="3"/>
    </row>
    <row r="594" spans="1:2" ht="25.5" hidden="1" customHeight="1">
      <c r="A594" s="3"/>
      <c r="B594" s="3"/>
    </row>
    <row r="595" spans="1:2" ht="25.5" hidden="1" customHeight="1">
      <c r="A595" s="3"/>
      <c r="B595" s="3"/>
    </row>
    <row r="596" spans="1:2" ht="25.5" hidden="1" customHeight="1">
      <c r="A596" s="3"/>
      <c r="B596" s="3"/>
    </row>
    <row r="597" spans="1:2" ht="25.5" hidden="1" customHeight="1">
      <c r="A597" s="3"/>
      <c r="B597" s="3"/>
    </row>
    <row r="598" spans="1:2" ht="25.5" hidden="1" customHeight="1">
      <c r="A598" s="3"/>
      <c r="B598" s="3"/>
    </row>
    <row r="599" spans="1:2" ht="25.5" hidden="1" customHeight="1">
      <c r="A599" s="3"/>
      <c r="B599" s="3"/>
    </row>
    <row r="600" spans="1:2" ht="25.5" hidden="1" customHeight="1">
      <c r="A600" s="3"/>
      <c r="B600" s="3"/>
    </row>
    <row r="601" spans="1:2" ht="25.5" hidden="1" customHeight="1">
      <c r="A601" s="3"/>
      <c r="B601" s="3"/>
    </row>
    <row r="602" spans="1:2" ht="25.5" hidden="1" customHeight="1">
      <c r="A602" s="3"/>
      <c r="B602" s="3"/>
    </row>
    <row r="603" spans="1:2" ht="25.5" hidden="1" customHeight="1">
      <c r="A603" s="3"/>
      <c r="B603" s="3"/>
    </row>
    <row r="604" spans="1:2" ht="25.5" hidden="1" customHeight="1">
      <c r="A604" s="3"/>
      <c r="B604" s="3"/>
    </row>
    <row r="605" spans="1:2" ht="25.5" hidden="1" customHeight="1">
      <c r="A605" s="3"/>
      <c r="B605" s="3"/>
    </row>
    <row r="606" spans="1:2" ht="25.5" hidden="1" customHeight="1">
      <c r="A606" s="3"/>
      <c r="B606" s="3"/>
    </row>
    <row r="607" spans="1:2" ht="25.5" hidden="1" customHeight="1">
      <c r="A607" s="3"/>
      <c r="B607" s="3"/>
    </row>
    <row r="608" spans="1:2" ht="25.5" hidden="1" customHeight="1">
      <c r="A608" s="3"/>
      <c r="B608" s="3"/>
    </row>
    <row r="609" spans="1:2" ht="25.5" hidden="1" customHeight="1">
      <c r="A609" s="3"/>
      <c r="B609" s="3"/>
    </row>
    <row r="610" spans="1:2" ht="25.5" hidden="1" customHeight="1">
      <c r="A610" s="3"/>
      <c r="B610" s="3"/>
    </row>
    <row r="611" spans="1:2" ht="25.5" hidden="1" customHeight="1">
      <c r="A611" s="3"/>
      <c r="B611" s="3"/>
    </row>
    <row r="612" spans="1:2" ht="25.5" hidden="1" customHeight="1">
      <c r="A612" s="3"/>
      <c r="B612" s="3"/>
    </row>
    <row r="613" spans="1:2" ht="25.5" hidden="1" customHeight="1">
      <c r="A613" s="3"/>
      <c r="B613" s="3"/>
    </row>
    <row r="614" spans="1:2" ht="25.5" hidden="1" customHeight="1">
      <c r="A614" s="3"/>
      <c r="B614" s="3"/>
    </row>
    <row r="615" spans="1:2" ht="25.5" hidden="1" customHeight="1">
      <c r="A615" s="3"/>
      <c r="B615" s="3"/>
    </row>
    <row r="616" spans="1:2" ht="25.5" hidden="1" customHeight="1">
      <c r="A616" s="3"/>
      <c r="B616" s="3"/>
    </row>
    <row r="617" spans="1:2" ht="25.5" hidden="1" customHeight="1">
      <c r="A617" s="3"/>
      <c r="B617" s="3"/>
    </row>
    <row r="618" spans="1:2" ht="25.5" hidden="1" customHeight="1">
      <c r="A618" s="3"/>
      <c r="B618" s="3"/>
    </row>
    <row r="619" spans="1:2" ht="25.5" hidden="1" customHeight="1">
      <c r="A619" s="3"/>
      <c r="B619" s="3"/>
    </row>
    <row r="620" spans="1:2" ht="25.5" hidden="1" customHeight="1">
      <c r="A620" s="3"/>
      <c r="B620" s="3"/>
    </row>
    <row r="621" spans="1:2" ht="25.5" hidden="1" customHeight="1">
      <c r="A621" s="3"/>
      <c r="B621" s="3"/>
    </row>
    <row r="622" spans="1:2" ht="25.5" hidden="1" customHeight="1">
      <c r="A622" s="3"/>
      <c r="B622" s="3"/>
    </row>
    <row r="623" spans="1:2" ht="25.5" hidden="1" customHeight="1">
      <c r="A623" s="3"/>
      <c r="B623" s="3"/>
    </row>
    <row r="624" spans="1:2" ht="25.5" hidden="1" customHeight="1">
      <c r="A624" s="3"/>
      <c r="B624" s="3"/>
    </row>
    <row r="625" spans="1:2" ht="25.5" hidden="1" customHeight="1">
      <c r="A625" s="3"/>
      <c r="B625" s="3"/>
    </row>
    <row r="626" spans="1:2" ht="25.5" hidden="1" customHeight="1">
      <c r="A626" s="3"/>
      <c r="B626" s="3"/>
    </row>
    <row r="627" spans="1:2" ht="25.5" hidden="1" customHeight="1">
      <c r="A627" s="3"/>
      <c r="B627" s="3"/>
    </row>
    <row r="628" spans="1:2" ht="25.5" hidden="1" customHeight="1">
      <c r="A628" s="3"/>
      <c r="B628" s="3"/>
    </row>
    <row r="629" spans="1:2" ht="25.5" hidden="1" customHeight="1">
      <c r="A629" s="3"/>
      <c r="B629" s="3"/>
    </row>
    <row r="630" spans="1:2" ht="25.5" hidden="1" customHeight="1">
      <c r="A630" s="3"/>
      <c r="B630" s="3"/>
    </row>
    <row r="631" spans="1:2" ht="25.5" hidden="1" customHeight="1">
      <c r="A631" s="3"/>
      <c r="B631" s="3"/>
    </row>
    <row r="632" spans="1:2" ht="25.5" hidden="1" customHeight="1">
      <c r="A632" s="3"/>
      <c r="B632" s="3"/>
    </row>
    <row r="633" spans="1:2" ht="25.5" hidden="1" customHeight="1">
      <c r="A633" s="3"/>
      <c r="B633" s="3"/>
    </row>
    <row r="634" spans="1:2" ht="25.5" hidden="1" customHeight="1">
      <c r="A634" s="3"/>
      <c r="B634" s="3"/>
    </row>
    <row r="635" spans="1:2" ht="25.5" hidden="1" customHeight="1">
      <c r="A635" s="3"/>
      <c r="B635" s="3"/>
    </row>
    <row r="636" spans="1:2" ht="25.5" hidden="1" customHeight="1">
      <c r="A636" s="3"/>
      <c r="B636" s="3"/>
    </row>
    <row r="637" spans="1:2" ht="25.5" hidden="1" customHeight="1">
      <c r="A637" s="3"/>
      <c r="B637" s="3"/>
    </row>
    <row r="638" spans="1:2" ht="25.5" hidden="1" customHeight="1">
      <c r="A638" s="3"/>
      <c r="B638" s="3"/>
    </row>
    <row r="639" spans="1:2" ht="25.5" hidden="1" customHeight="1">
      <c r="A639" s="3"/>
      <c r="B639" s="3"/>
    </row>
    <row r="640" spans="1:2" ht="25.5" hidden="1" customHeight="1">
      <c r="A640" s="3"/>
      <c r="B640" s="3"/>
    </row>
    <row r="641" spans="1:2" ht="25.5" hidden="1" customHeight="1">
      <c r="A641" s="3"/>
      <c r="B641" s="3"/>
    </row>
    <row r="642" spans="1:2" ht="25.5" hidden="1" customHeight="1">
      <c r="A642" s="3"/>
      <c r="B642" s="3"/>
    </row>
    <row r="643" spans="1:2" ht="25.5" hidden="1" customHeight="1">
      <c r="A643" s="3"/>
      <c r="B643" s="3"/>
    </row>
    <row r="644" spans="1:2" ht="25.5" hidden="1" customHeight="1">
      <c r="A644" s="3"/>
      <c r="B644" s="3"/>
    </row>
    <row r="645" spans="1:2" ht="25.5" hidden="1" customHeight="1">
      <c r="A645" s="3"/>
      <c r="B645" s="3"/>
    </row>
    <row r="646" spans="1:2" ht="25.5" hidden="1" customHeight="1">
      <c r="A646" s="3"/>
      <c r="B646" s="3"/>
    </row>
    <row r="647" spans="1:2" ht="25.5" hidden="1" customHeight="1">
      <c r="A647" s="3"/>
      <c r="B647" s="3"/>
    </row>
    <row r="648" spans="1:2" ht="25.5" hidden="1" customHeight="1">
      <c r="A648" s="3"/>
      <c r="B648" s="3"/>
    </row>
    <row r="649" spans="1:2" ht="25.5" hidden="1" customHeight="1">
      <c r="A649" s="3"/>
      <c r="B649" s="3"/>
    </row>
    <row r="650" spans="1:2" ht="25.5" hidden="1" customHeight="1">
      <c r="A650" s="3"/>
      <c r="B650" s="3"/>
    </row>
    <row r="651" spans="1:2" ht="25.5" hidden="1" customHeight="1">
      <c r="A651" s="3"/>
      <c r="B651" s="3"/>
    </row>
    <row r="652" spans="1:2" ht="25.5" hidden="1" customHeight="1">
      <c r="A652" s="3"/>
      <c r="B652" s="3"/>
    </row>
    <row r="653" spans="1:2" ht="25.5" hidden="1" customHeight="1">
      <c r="A653" s="3"/>
      <c r="B653" s="3"/>
    </row>
    <row r="654" spans="1:2" ht="25.5" hidden="1" customHeight="1">
      <c r="A654" s="3"/>
      <c r="B654" s="3"/>
    </row>
    <row r="655" spans="1:2" ht="25.5" hidden="1" customHeight="1">
      <c r="A655" s="3"/>
      <c r="B655" s="3"/>
    </row>
    <row r="656" spans="1:2" ht="25.5" hidden="1" customHeight="1">
      <c r="A656" s="3"/>
      <c r="B656" s="3"/>
    </row>
    <row r="657" spans="1:2" ht="25.5" hidden="1" customHeight="1">
      <c r="A657" s="3"/>
      <c r="B657" s="3"/>
    </row>
    <row r="658" spans="1:2" ht="25.5" hidden="1" customHeight="1">
      <c r="A658" s="3"/>
      <c r="B658" s="3"/>
    </row>
    <row r="659" spans="1:2" ht="25.5" hidden="1" customHeight="1">
      <c r="A659" s="3"/>
      <c r="B659" s="3"/>
    </row>
    <row r="660" spans="1:2" ht="25.5" hidden="1" customHeight="1">
      <c r="A660" s="3"/>
      <c r="B660" s="3"/>
    </row>
    <row r="661" spans="1:2" ht="25.5" hidden="1" customHeight="1">
      <c r="A661" s="3"/>
      <c r="B661" s="3"/>
    </row>
    <row r="662" spans="1:2" ht="25.5" hidden="1" customHeight="1">
      <c r="A662" s="3"/>
      <c r="B662" s="3"/>
    </row>
    <row r="663" spans="1:2" ht="25.5" hidden="1" customHeight="1">
      <c r="A663" s="3"/>
      <c r="B663" s="3"/>
    </row>
    <row r="664" spans="1:2" ht="25.5" hidden="1" customHeight="1">
      <c r="A664" s="3"/>
      <c r="B664" s="3"/>
    </row>
    <row r="665" spans="1:2" ht="25.5" hidden="1" customHeight="1">
      <c r="A665" s="3"/>
      <c r="B665" s="3"/>
    </row>
    <row r="666" spans="1:2" ht="25.5" hidden="1" customHeight="1">
      <c r="A666" s="3"/>
      <c r="B666" s="3"/>
    </row>
    <row r="667" spans="1:2" ht="25.5" hidden="1" customHeight="1">
      <c r="A667" s="3"/>
      <c r="B667" s="3"/>
    </row>
    <row r="668" spans="1:2" ht="25.5" hidden="1" customHeight="1">
      <c r="A668" s="3"/>
      <c r="B668" s="3"/>
    </row>
    <row r="669" spans="1:2" ht="25.5" hidden="1" customHeight="1">
      <c r="A669" s="3"/>
      <c r="B669" s="3"/>
    </row>
    <row r="670" spans="1:2" ht="25.5" hidden="1" customHeight="1">
      <c r="A670" s="3"/>
      <c r="B670" s="3"/>
    </row>
    <row r="671" spans="1:2" ht="25.5" hidden="1" customHeight="1">
      <c r="A671" s="3"/>
      <c r="B671" s="3"/>
    </row>
    <row r="672" spans="1:2" ht="25.5" hidden="1" customHeight="1">
      <c r="A672" s="3"/>
      <c r="B672" s="3"/>
    </row>
    <row r="673" spans="1:2" ht="25.5" hidden="1" customHeight="1">
      <c r="A673" s="3"/>
      <c r="B673" s="3"/>
    </row>
    <row r="674" spans="1:2" ht="25.5" hidden="1" customHeight="1">
      <c r="A674" s="3"/>
      <c r="B674" s="3"/>
    </row>
    <row r="675" spans="1:2" ht="25.5" hidden="1" customHeight="1">
      <c r="A675" s="3"/>
      <c r="B675" s="3"/>
    </row>
    <row r="676" spans="1:2" ht="25.5" hidden="1" customHeight="1">
      <c r="A676" s="3"/>
      <c r="B676" s="3"/>
    </row>
    <row r="677" spans="1:2" ht="25.5" hidden="1" customHeight="1">
      <c r="A677" s="3"/>
      <c r="B677" s="3"/>
    </row>
    <row r="678" spans="1:2" ht="25.5" hidden="1" customHeight="1">
      <c r="A678" s="3"/>
      <c r="B678" s="3"/>
    </row>
    <row r="679" spans="1:2" ht="25.5" hidden="1" customHeight="1">
      <c r="A679" s="3"/>
      <c r="B679" s="3"/>
    </row>
    <row r="680" spans="1:2" ht="25.5" hidden="1" customHeight="1">
      <c r="A680" s="3"/>
      <c r="B680" s="3"/>
    </row>
    <row r="681" spans="1:2" ht="25.5" hidden="1" customHeight="1">
      <c r="A681" s="3"/>
      <c r="B681" s="3"/>
    </row>
    <row r="682" spans="1:2" ht="25.5" hidden="1" customHeight="1">
      <c r="A682" s="3"/>
      <c r="B682" s="3"/>
    </row>
    <row r="683" spans="1:2" ht="25.5" hidden="1" customHeight="1">
      <c r="A683" s="3"/>
      <c r="B683" s="3"/>
    </row>
    <row r="684" spans="1:2" ht="25.5" hidden="1" customHeight="1">
      <c r="A684" s="3"/>
      <c r="B684" s="3"/>
    </row>
    <row r="685" spans="1:2" ht="25.5" hidden="1" customHeight="1">
      <c r="A685" s="3"/>
      <c r="B685" s="3"/>
    </row>
    <row r="686" spans="1:2" ht="25.5" hidden="1" customHeight="1">
      <c r="A686" s="3"/>
      <c r="B686" s="3"/>
    </row>
    <row r="687" spans="1:2" ht="25.5" hidden="1" customHeight="1">
      <c r="A687" s="3"/>
      <c r="B687" s="3"/>
    </row>
    <row r="688" spans="1:2" ht="25.5" hidden="1" customHeight="1">
      <c r="A688" s="3"/>
      <c r="B688" s="3"/>
    </row>
    <row r="689" spans="1:2" ht="25.5" hidden="1" customHeight="1">
      <c r="A689" s="3"/>
      <c r="B689" s="3"/>
    </row>
    <row r="690" spans="1:2" ht="25.5" hidden="1" customHeight="1">
      <c r="A690" s="3"/>
      <c r="B690" s="3"/>
    </row>
    <row r="691" spans="1:2" ht="25.5" hidden="1" customHeight="1">
      <c r="A691" s="3"/>
      <c r="B691" s="3"/>
    </row>
    <row r="692" spans="1:2" ht="25.5" hidden="1" customHeight="1">
      <c r="A692" s="3"/>
      <c r="B692" s="3"/>
    </row>
    <row r="693" spans="1:2" ht="25.5" hidden="1" customHeight="1">
      <c r="A693" s="3"/>
      <c r="B693" s="3"/>
    </row>
    <row r="694" spans="1:2" ht="25.5" hidden="1" customHeight="1">
      <c r="A694" s="3"/>
      <c r="B694" s="3"/>
    </row>
    <row r="695" spans="1:2" ht="25.5" hidden="1" customHeight="1">
      <c r="A695" s="3"/>
      <c r="B695" s="3"/>
    </row>
    <row r="696" spans="1:2" ht="25.5" hidden="1" customHeight="1">
      <c r="A696" s="3"/>
      <c r="B696" s="3"/>
    </row>
    <row r="697" spans="1:2" ht="25.5" hidden="1" customHeight="1">
      <c r="A697" s="3"/>
      <c r="B697" s="3"/>
    </row>
    <row r="698" spans="1:2" ht="25.5" hidden="1" customHeight="1">
      <c r="A698" s="3"/>
      <c r="B698" s="3"/>
    </row>
    <row r="699" spans="1:2" ht="25.5" hidden="1" customHeight="1">
      <c r="A699" s="3"/>
      <c r="B699" s="3"/>
    </row>
    <row r="700" spans="1:2" ht="25.5" hidden="1" customHeight="1">
      <c r="A700" s="3"/>
      <c r="B700" s="3"/>
    </row>
    <row r="701" spans="1:2" ht="25.5" hidden="1" customHeight="1">
      <c r="A701" s="3"/>
      <c r="B701" s="3"/>
    </row>
    <row r="702" spans="1:2" ht="25.5" hidden="1" customHeight="1">
      <c r="A702" s="3"/>
      <c r="B702" s="3"/>
    </row>
    <row r="703" spans="1:2" ht="25.5" hidden="1" customHeight="1">
      <c r="A703" s="3"/>
      <c r="B703" s="3"/>
    </row>
    <row r="704" spans="1:2" ht="25.5" hidden="1" customHeight="1">
      <c r="A704" s="3"/>
      <c r="B704" s="3"/>
    </row>
    <row r="705" spans="1:1" ht="25.5" hidden="1" customHeight="1">
      <c r="A705" s="3"/>
    </row>
    <row r="706" spans="1:1" ht="25.5" hidden="1" customHeight="1">
      <c r="A706" s="3"/>
    </row>
    <row r="707" spans="1:1" ht="25.5" hidden="1" customHeight="1">
      <c r="A707" s="3"/>
    </row>
    <row r="708" spans="1:1" ht="25.5" hidden="1" customHeight="1">
      <c r="A708" s="3"/>
    </row>
    <row r="709" spans="1:1" ht="25.5" hidden="1" customHeight="1">
      <c r="A709" s="3"/>
    </row>
    <row r="710" spans="1:1" ht="25.5" hidden="1" customHeight="1">
      <c r="A710" s="3"/>
    </row>
    <row r="711" spans="1:1" ht="25.5" hidden="1" customHeight="1">
      <c r="A711" s="3"/>
    </row>
    <row r="712" spans="1:1" ht="25.5" hidden="1" customHeight="1">
      <c r="A712" s="3"/>
    </row>
    <row r="713" spans="1:1" ht="25.5" hidden="1" customHeight="1">
      <c r="A713" s="3"/>
    </row>
    <row r="714" spans="1:1" ht="25.5" hidden="1" customHeight="1">
      <c r="A714" s="3"/>
    </row>
    <row r="715" spans="1:1" ht="25.5" hidden="1" customHeight="1">
      <c r="A715" s="3"/>
    </row>
    <row r="716" spans="1:1" ht="25.5" hidden="1" customHeight="1">
      <c r="A716" s="3"/>
    </row>
    <row r="717" spans="1:1" ht="25.5" hidden="1" customHeight="1">
      <c r="A717" s="3"/>
    </row>
    <row r="718" spans="1:1" ht="18" hidden="1" customHeight="1">
      <c r="A718" s="3"/>
    </row>
    <row r="719" spans="1:1" ht="18" hidden="1" customHeight="1"/>
  </sheetData>
  <mergeCells count="638">
    <mergeCell ref="C40:C44"/>
    <mergeCell ref="X40:X44"/>
    <mergeCell ref="Y40:Y44"/>
    <mergeCell ref="J40:J44"/>
    <mergeCell ref="I40:I44"/>
    <mergeCell ref="H40:H44"/>
    <mergeCell ref="G40:G44"/>
    <mergeCell ref="F40:F44"/>
    <mergeCell ref="E40:E44"/>
    <mergeCell ref="D40:D44"/>
    <mergeCell ref="X19:X38"/>
    <mergeCell ref="Y19:Y38"/>
    <mergeCell ref="G19:G38"/>
    <mergeCell ref="H19:H38"/>
    <mergeCell ref="I19:I38"/>
    <mergeCell ref="J19:J38"/>
    <mergeCell ref="L32:M32"/>
    <mergeCell ref="L33:M33"/>
    <mergeCell ref="L34:M34"/>
    <mergeCell ref="L35:M35"/>
    <mergeCell ref="L36:M36"/>
    <mergeCell ref="L27:M27"/>
    <mergeCell ref="L28:M28"/>
    <mergeCell ref="L29:M29"/>
    <mergeCell ref="L23:M23"/>
    <mergeCell ref="L24:M24"/>
    <mergeCell ref="L25:M25"/>
    <mergeCell ref="L26:M26"/>
    <mergeCell ref="L37:M37"/>
    <mergeCell ref="L38:M38"/>
    <mergeCell ref="C5:W5"/>
    <mergeCell ref="C1:E4"/>
    <mergeCell ref="F1:T4"/>
    <mergeCell ref="U1:W1"/>
    <mergeCell ref="U2:V2"/>
    <mergeCell ref="U3:W4"/>
    <mergeCell ref="Q8:R8"/>
    <mergeCell ref="S8:T8"/>
    <mergeCell ref="V8:W8"/>
    <mergeCell ref="C6:W6"/>
    <mergeCell ref="F7:G7"/>
    <mergeCell ref="H7:I7"/>
    <mergeCell ref="J7:K7"/>
    <mergeCell ref="L7:M7"/>
    <mergeCell ref="O7:P7"/>
    <mergeCell ref="Q7:R7"/>
    <mergeCell ref="S7:T7"/>
    <mergeCell ref="V7:W7"/>
    <mergeCell ref="I13:J13"/>
    <mergeCell ref="M13:N13"/>
    <mergeCell ref="R13:T13"/>
    <mergeCell ref="U13:W13"/>
    <mergeCell ref="I14:J14"/>
    <mergeCell ref="M14:N14"/>
    <mergeCell ref="R14:T14"/>
    <mergeCell ref="U14:W14"/>
    <mergeCell ref="I11:J11"/>
    <mergeCell ref="M11:N11"/>
    <mergeCell ref="R11:T11"/>
    <mergeCell ref="U11:W11"/>
    <mergeCell ref="I12:J12"/>
    <mergeCell ref="M12:N12"/>
    <mergeCell ref="R12:T12"/>
    <mergeCell ref="U12:W12"/>
    <mergeCell ref="I10:J10"/>
    <mergeCell ref="M10:N10"/>
    <mergeCell ref="R10:T10"/>
    <mergeCell ref="U10:W10"/>
    <mergeCell ref="F8:G8"/>
    <mergeCell ref="H8:I8"/>
    <mergeCell ref="J8:K8"/>
    <mergeCell ref="L8:M8"/>
    <mergeCell ref="O8:P8"/>
    <mergeCell ref="C9:H9"/>
    <mergeCell ref="I9:P9"/>
    <mergeCell ref="Q9:W9"/>
    <mergeCell ref="C17:W17"/>
    <mergeCell ref="C580:W580"/>
    <mergeCell ref="I15:J15"/>
    <mergeCell ref="M15:N15"/>
    <mergeCell ref="R15:T15"/>
    <mergeCell ref="U15:W15"/>
    <mergeCell ref="I16:J16"/>
    <mergeCell ref="M16:N16"/>
    <mergeCell ref="R16:T16"/>
    <mergeCell ref="U16:W16"/>
    <mergeCell ref="L18:M18"/>
    <mergeCell ref="L19:M19"/>
    <mergeCell ref="L20:M20"/>
    <mergeCell ref="L21:M21"/>
    <mergeCell ref="L577:M577"/>
    <mergeCell ref="L578:M578"/>
    <mergeCell ref="L579:M579"/>
    <mergeCell ref="L574:M574"/>
    <mergeCell ref="L575:M575"/>
    <mergeCell ref="L576:M576"/>
    <mergeCell ref="L52:M52"/>
    <mergeCell ref="L30:M30"/>
    <mergeCell ref="L31:M31"/>
    <mergeCell ref="L22:M22"/>
    <mergeCell ref="L39:M39"/>
    <mergeCell ref="L40:M40"/>
    <mergeCell ref="L41:M41"/>
    <mergeCell ref="L57:M57"/>
    <mergeCell ref="L58:M58"/>
    <mergeCell ref="L59:M59"/>
    <mergeCell ref="L60:M60"/>
    <mergeCell ref="L61:M61"/>
    <mergeCell ref="L53:M53"/>
    <mergeCell ref="L54:M54"/>
    <mergeCell ref="L55:M55"/>
    <mergeCell ref="L56:M56"/>
    <mergeCell ref="L42:M42"/>
    <mergeCell ref="L43:M43"/>
    <mergeCell ref="L47:M47"/>
    <mergeCell ref="L48:M48"/>
    <mergeCell ref="L49:M49"/>
    <mergeCell ref="L50:M50"/>
    <mergeCell ref="L51:M51"/>
    <mergeCell ref="L44:M44"/>
    <mergeCell ref="L45:M45"/>
    <mergeCell ref="L46:M46"/>
    <mergeCell ref="L67:M67"/>
    <mergeCell ref="L68:M68"/>
    <mergeCell ref="L69:M69"/>
    <mergeCell ref="L70:M70"/>
    <mergeCell ref="L71:M71"/>
    <mergeCell ref="L62:M62"/>
    <mergeCell ref="L63:M63"/>
    <mergeCell ref="L64:M64"/>
    <mergeCell ref="L65:M65"/>
    <mergeCell ref="L66:M66"/>
    <mergeCell ref="L77:M77"/>
    <mergeCell ref="L78:M78"/>
    <mergeCell ref="L79:M79"/>
    <mergeCell ref="L80:M80"/>
    <mergeCell ref="L81:M81"/>
    <mergeCell ref="L72:M72"/>
    <mergeCell ref="L73:M73"/>
    <mergeCell ref="L75:M75"/>
    <mergeCell ref="L76:M76"/>
    <mergeCell ref="C74:W74"/>
    <mergeCell ref="L87:M87"/>
    <mergeCell ref="L88:M88"/>
    <mergeCell ref="L89:M89"/>
    <mergeCell ref="L90:M90"/>
    <mergeCell ref="L91:M91"/>
    <mergeCell ref="L82:M82"/>
    <mergeCell ref="L83:M83"/>
    <mergeCell ref="L84:M84"/>
    <mergeCell ref="L85:M85"/>
    <mergeCell ref="L86:M86"/>
    <mergeCell ref="L97:M97"/>
    <mergeCell ref="L98:M98"/>
    <mergeCell ref="L99:M99"/>
    <mergeCell ref="L100:M100"/>
    <mergeCell ref="L101:M101"/>
    <mergeCell ref="L92:M92"/>
    <mergeCell ref="L93:M93"/>
    <mergeCell ref="L94:M94"/>
    <mergeCell ref="L95:M95"/>
    <mergeCell ref="L96:M96"/>
    <mergeCell ref="L107:M107"/>
    <mergeCell ref="L108:M108"/>
    <mergeCell ref="L109:M109"/>
    <mergeCell ref="L110:M110"/>
    <mergeCell ref="L111:M111"/>
    <mergeCell ref="L102:M102"/>
    <mergeCell ref="L103:M103"/>
    <mergeCell ref="L104:M104"/>
    <mergeCell ref="L105:M105"/>
    <mergeCell ref="L106:M106"/>
    <mergeCell ref="L117:M117"/>
    <mergeCell ref="L118:M118"/>
    <mergeCell ref="L119:M119"/>
    <mergeCell ref="L120:M120"/>
    <mergeCell ref="L121:M121"/>
    <mergeCell ref="L112:M112"/>
    <mergeCell ref="L113:M113"/>
    <mergeCell ref="L114:M114"/>
    <mergeCell ref="L115:M115"/>
    <mergeCell ref="L116:M116"/>
    <mergeCell ref="L127:M127"/>
    <mergeCell ref="L128:M128"/>
    <mergeCell ref="L129:M129"/>
    <mergeCell ref="L130:M130"/>
    <mergeCell ref="L131:M131"/>
    <mergeCell ref="L122:M122"/>
    <mergeCell ref="L123:M123"/>
    <mergeCell ref="L124:M124"/>
    <mergeCell ref="L125:M125"/>
    <mergeCell ref="L126:M126"/>
    <mergeCell ref="L137:M137"/>
    <mergeCell ref="L138:M138"/>
    <mergeCell ref="L139:M139"/>
    <mergeCell ref="L140:M140"/>
    <mergeCell ref="L141:M141"/>
    <mergeCell ref="L132:M132"/>
    <mergeCell ref="L133:M133"/>
    <mergeCell ref="L134:M134"/>
    <mergeCell ref="L135:M135"/>
    <mergeCell ref="L136:M136"/>
    <mergeCell ref="L147:M147"/>
    <mergeCell ref="L148:M148"/>
    <mergeCell ref="L149:M149"/>
    <mergeCell ref="L150:M150"/>
    <mergeCell ref="L151:M151"/>
    <mergeCell ref="L142:M142"/>
    <mergeCell ref="L143:M143"/>
    <mergeCell ref="L144:M144"/>
    <mergeCell ref="L145:M145"/>
    <mergeCell ref="L146:M146"/>
    <mergeCell ref="L157:M157"/>
    <mergeCell ref="L158:M158"/>
    <mergeCell ref="L159:M159"/>
    <mergeCell ref="L160:M160"/>
    <mergeCell ref="L161:M161"/>
    <mergeCell ref="L152:M152"/>
    <mergeCell ref="L153:M153"/>
    <mergeCell ref="L154:M154"/>
    <mergeCell ref="L155:M155"/>
    <mergeCell ref="L156:M156"/>
    <mergeCell ref="L167:M167"/>
    <mergeCell ref="L168:M168"/>
    <mergeCell ref="L169:M169"/>
    <mergeCell ref="L170:M170"/>
    <mergeCell ref="L171:M171"/>
    <mergeCell ref="L162:M162"/>
    <mergeCell ref="L163:M163"/>
    <mergeCell ref="L164:M164"/>
    <mergeCell ref="L165:M165"/>
    <mergeCell ref="L166:M166"/>
    <mergeCell ref="L177:M177"/>
    <mergeCell ref="L178:M178"/>
    <mergeCell ref="L179:M179"/>
    <mergeCell ref="L180:M180"/>
    <mergeCell ref="L181:M181"/>
    <mergeCell ref="L172:M172"/>
    <mergeCell ref="L173:M173"/>
    <mergeCell ref="L174:M174"/>
    <mergeCell ref="L175:M175"/>
    <mergeCell ref="L176:M176"/>
    <mergeCell ref="L187:M187"/>
    <mergeCell ref="L188:M188"/>
    <mergeCell ref="L189:M189"/>
    <mergeCell ref="L190:M190"/>
    <mergeCell ref="L191:M191"/>
    <mergeCell ref="L182:M182"/>
    <mergeCell ref="L183:M183"/>
    <mergeCell ref="L184:M184"/>
    <mergeCell ref="L185:M185"/>
    <mergeCell ref="L186:M186"/>
    <mergeCell ref="L197:M197"/>
    <mergeCell ref="L198:M198"/>
    <mergeCell ref="L199:M199"/>
    <mergeCell ref="L200:M200"/>
    <mergeCell ref="L201:M201"/>
    <mergeCell ref="L192:M192"/>
    <mergeCell ref="L193:M193"/>
    <mergeCell ref="L194:M194"/>
    <mergeCell ref="L195:M195"/>
    <mergeCell ref="L196:M196"/>
    <mergeCell ref="L207:M207"/>
    <mergeCell ref="L208:M208"/>
    <mergeCell ref="L209:M209"/>
    <mergeCell ref="L210:M210"/>
    <mergeCell ref="L211:M211"/>
    <mergeCell ref="L202:M202"/>
    <mergeCell ref="L203:M203"/>
    <mergeCell ref="L204:M204"/>
    <mergeCell ref="L205:M205"/>
    <mergeCell ref="L206:M206"/>
    <mergeCell ref="L217:M217"/>
    <mergeCell ref="L218:M218"/>
    <mergeCell ref="L219:M219"/>
    <mergeCell ref="L220:M220"/>
    <mergeCell ref="L221:M221"/>
    <mergeCell ref="L212:M212"/>
    <mergeCell ref="L213:M213"/>
    <mergeCell ref="L214:M214"/>
    <mergeCell ref="L215:M215"/>
    <mergeCell ref="L216:M216"/>
    <mergeCell ref="L227:M227"/>
    <mergeCell ref="L228:M228"/>
    <mergeCell ref="L229:M229"/>
    <mergeCell ref="L230:M230"/>
    <mergeCell ref="L231:M231"/>
    <mergeCell ref="L222:M222"/>
    <mergeCell ref="L223:M223"/>
    <mergeCell ref="L224:M224"/>
    <mergeCell ref="L225:M225"/>
    <mergeCell ref="L226:M226"/>
    <mergeCell ref="L237:M237"/>
    <mergeCell ref="L238:M238"/>
    <mergeCell ref="L239:M239"/>
    <mergeCell ref="L240:M240"/>
    <mergeCell ref="L241:M241"/>
    <mergeCell ref="L232:M232"/>
    <mergeCell ref="L233:M233"/>
    <mergeCell ref="L234:M234"/>
    <mergeCell ref="L235:M235"/>
    <mergeCell ref="L236:M236"/>
    <mergeCell ref="L247:M247"/>
    <mergeCell ref="L248:M248"/>
    <mergeCell ref="L249:M249"/>
    <mergeCell ref="L250:M250"/>
    <mergeCell ref="L251:M251"/>
    <mergeCell ref="L242:M242"/>
    <mergeCell ref="L243:M243"/>
    <mergeCell ref="L244:M244"/>
    <mergeCell ref="L245:M245"/>
    <mergeCell ref="L246:M246"/>
    <mergeCell ref="L257:M257"/>
    <mergeCell ref="L258:M258"/>
    <mergeCell ref="L259:M259"/>
    <mergeCell ref="L260:M260"/>
    <mergeCell ref="L261:M261"/>
    <mergeCell ref="L252:M252"/>
    <mergeCell ref="L253:M253"/>
    <mergeCell ref="L254:M254"/>
    <mergeCell ref="L255:M255"/>
    <mergeCell ref="L256:M256"/>
    <mergeCell ref="L267:M267"/>
    <mergeCell ref="L268:M268"/>
    <mergeCell ref="L269:M269"/>
    <mergeCell ref="L270:M270"/>
    <mergeCell ref="L271:M271"/>
    <mergeCell ref="L262:M262"/>
    <mergeCell ref="L263:M263"/>
    <mergeCell ref="L264:M264"/>
    <mergeCell ref="L265:M265"/>
    <mergeCell ref="L266:M266"/>
    <mergeCell ref="L277:M277"/>
    <mergeCell ref="L278:M278"/>
    <mergeCell ref="L279:M279"/>
    <mergeCell ref="L280:M280"/>
    <mergeCell ref="L281:M281"/>
    <mergeCell ref="L272:M272"/>
    <mergeCell ref="L273:M273"/>
    <mergeCell ref="L274:M274"/>
    <mergeCell ref="L275:M275"/>
    <mergeCell ref="L276:M276"/>
    <mergeCell ref="L287:M287"/>
    <mergeCell ref="L288:M288"/>
    <mergeCell ref="L289:M289"/>
    <mergeCell ref="L290:M290"/>
    <mergeCell ref="L291:M291"/>
    <mergeCell ref="L282:M282"/>
    <mergeCell ref="L283:M283"/>
    <mergeCell ref="L284:M284"/>
    <mergeCell ref="L285:M285"/>
    <mergeCell ref="L286:M286"/>
    <mergeCell ref="L297:M297"/>
    <mergeCell ref="L298:M298"/>
    <mergeCell ref="L299:M299"/>
    <mergeCell ref="L300:M300"/>
    <mergeCell ref="L301:M301"/>
    <mergeCell ref="L292:M292"/>
    <mergeCell ref="L293:M293"/>
    <mergeCell ref="L294:M294"/>
    <mergeCell ref="L295:M295"/>
    <mergeCell ref="L296:M296"/>
    <mergeCell ref="L307:M307"/>
    <mergeCell ref="L308:M308"/>
    <mergeCell ref="L309:M309"/>
    <mergeCell ref="L310:M310"/>
    <mergeCell ref="L311:M311"/>
    <mergeCell ref="L302:M302"/>
    <mergeCell ref="L303:M303"/>
    <mergeCell ref="L304:M304"/>
    <mergeCell ref="L305:M305"/>
    <mergeCell ref="L306:M306"/>
    <mergeCell ref="L317:M317"/>
    <mergeCell ref="L318:M318"/>
    <mergeCell ref="L319:M319"/>
    <mergeCell ref="L320:M320"/>
    <mergeCell ref="L321:M321"/>
    <mergeCell ref="L312:M312"/>
    <mergeCell ref="L313:M313"/>
    <mergeCell ref="L314:M314"/>
    <mergeCell ref="L315:M315"/>
    <mergeCell ref="L316:M316"/>
    <mergeCell ref="L327:M327"/>
    <mergeCell ref="L328:M328"/>
    <mergeCell ref="L329:M329"/>
    <mergeCell ref="L330:M330"/>
    <mergeCell ref="L331:M331"/>
    <mergeCell ref="L322:M322"/>
    <mergeCell ref="L323:M323"/>
    <mergeCell ref="L324:M324"/>
    <mergeCell ref="L325:M325"/>
    <mergeCell ref="L326:M326"/>
    <mergeCell ref="L337:M337"/>
    <mergeCell ref="L338:M338"/>
    <mergeCell ref="L339:M339"/>
    <mergeCell ref="L340:M340"/>
    <mergeCell ref="L341:M341"/>
    <mergeCell ref="L332:M332"/>
    <mergeCell ref="L333:M333"/>
    <mergeCell ref="L334:M334"/>
    <mergeCell ref="L335:M335"/>
    <mergeCell ref="L336:M336"/>
    <mergeCell ref="L347:M347"/>
    <mergeCell ref="L348:M348"/>
    <mergeCell ref="L349:M349"/>
    <mergeCell ref="L350:M350"/>
    <mergeCell ref="L351:M351"/>
    <mergeCell ref="L342:M342"/>
    <mergeCell ref="L343:M343"/>
    <mergeCell ref="L344:M344"/>
    <mergeCell ref="L345:M345"/>
    <mergeCell ref="L346:M346"/>
    <mergeCell ref="L357:M357"/>
    <mergeCell ref="L358:M358"/>
    <mergeCell ref="L359:M359"/>
    <mergeCell ref="L360:M360"/>
    <mergeCell ref="L361:M361"/>
    <mergeCell ref="L352:M352"/>
    <mergeCell ref="L353:M353"/>
    <mergeCell ref="L354:M354"/>
    <mergeCell ref="L355:M355"/>
    <mergeCell ref="L356:M356"/>
    <mergeCell ref="L367:M367"/>
    <mergeCell ref="L368:M368"/>
    <mergeCell ref="L369:M369"/>
    <mergeCell ref="L370:M370"/>
    <mergeCell ref="L371:M371"/>
    <mergeCell ref="L362:M362"/>
    <mergeCell ref="L363:M363"/>
    <mergeCell ref="L364:M364"/>
    <mergeCell ref="L365:M365"/>
    <mergeCell ref="L366:M366"/>
    <mergeCell ref="L377:M377"/>
    <mergeCell ref="L378:M378"/>
    <mergeCell ref="L379:M379"/>
    <mergeCell ref="L380:M380"/>
    <mergeCell ref="L381:M381"/>
    <mergeCell ref="L372:M372"/>
    <mergeCell ref="L373:M373"/>
    <mergeCell ref="L374:M374"/>
    <mergeCell ref="L375:M375"/>
    <mergeCell ref="L376:M376"/>
    <mergeCell ref="L387:M387"/>
    <mergeCell ref="L388:M388"/>
    <mergeCell ref="L389:M389"/>
    <mergeCell ref="L390:M390"/>
    <mergeCell ref="L391:M391"/>
    <mergeCell ref="L382:M382"/>
    <mergeCell ref="L383:M383"/>
    <mergeCell ref="L384:M384"/>
    <mergeCell ref="L385:M385"/>
    <mergeCell ref="L386:M386"/>
    <mergeCell ref="L397:M397"/>
    <mergeCell ref="L398:M398"/>
    <mergeCell ref="L399:M399"/>
    <mergeCell ref="L400:M400"/>
    <mergeCell ref="L401:M401"/>
    <mergeCell ref="L392:M392"/>
    <mergeCell ref="L393:M393"/>
    <mergeCell ref="L394:M394"/>
    <mergeCell ref="L395:M395"/>
    <mergeCell ref="L396:M396"/>
    <mergeCell ref="L407:M407"/>
    <mergeCell ref="L408:M408"/>
    <mergeCell ref="L409:M409"/>
    <mergeCell ref="L410:M410"/>
    <mergeCell ref="L411:M411"/>
    <mergeCell ref="L402:M402"/>
    <mergeCell ref="L403:M403"/>
    <mergeCell ref="L404:M404"/>
    <mergeCell ref="L405:M405"/>
    <mergeCell ref="L406:M406"/>
    <mergeCell ref="L417:M417"/>
    <mergeCell ref="L418:M418"/>
    <mergeCell ref="L419:M419"/>
    <mergeCell ref="L420:M420"/>
    <mergeCell ref="L421:M421"/>
    <mergeCell ref="L412:M412"/>
    <mergeCell ref="L413:M413"/>
    <mergeCell ref="L414:M414"/>
    <mergeCell ref="L415:M415"/>
    <mergeCell ref="L416:M416"/>
    <mergeCell ref="L427:M427"/>
    <mergeCell ref="L428:M428"/>
    <mergeCell ref="L429:M429"/>
    <mergeCell ref="L430:M430"/>
    <mergeCell ref="L431:M431"/>
    <mergeCell ref="L422:M422"/>
    <mergeCell ref="L423:M423"/>
    <mergeCell ref="L424:M424"/>
    <mergeCell ref="L425:M425"/>
    <mergeCell ref="L426:M426"/>
    <mergeCell ref="L437:M437"/>
    <mergeCell ref="L438:M438"/>
    <mergeCell ref="L439:M439"/>
    <mergeCell ref="L440:M440"/>
    <mergeCell ref="L441:M441"/>
    <mergeCell ref="L432:M432"/>
    <mergeCell ref="L433:M433"/>
    <mergeCell ref="L434:M434"/>
    <mergeCell ref="L435:M435"/>
    <mergeCell ref="L436:M436"/>
    <mergeCell ref="L447:M447"/>
    <mergeCell ref="L448:M448"/>
    <mergeCell ref="L449:M449"/>
    <mergeCell ref="L450:M450"/>
    <mergeCell ref="L451:M451"/>
    <mergeCell ref="L442:M442"/>
    <mergeCell ref="L443:M443"/>
    <mergeCell ref="L444:M444"/>
    <mergeCell ref="L445:M445"/>
    <mergeCell ref="L446:M446"/>
    <mergeCell ref="L457:M457"/>
    <mergeCell ref="L458:M458"/>
    <mergeCell ref="L459:M459"/>
    <mergeCell ref="L460:M460"/>
    <mergeCell ref="L461:M461"/>
    <mergeCell ref="L452:M452"/>
    <mergeCell ref="L453:M453"/>
    <mergeCell ref="L454:M454"/>
    <mergeCell ref="L455:M455"/>
    <mergeCell ref="L456:M456"/>
    <mergeCell ref="L467:M467"/>
    <mergeCell ref="L468:M468"/>
    <mergeCell ref="L469:M469"/>
    <mergeCell ref="L470:M470"/>
    <mergeCell ref="L471:M471"/>
    <mergeCell ref="L462:M462"/>
    <mergeCell ref="L463:M463"/>
    <mergeCell ref="L464:M464"/>
    <mergeCell ref="L465:M465"/>
    <mergeCell ref="L466:M466"/>
    <mergeCell ref="L477:M477"/>
    <mergeCell ref="L478:M478"/>
    <mergeCell ref="L479:M479"/>
    <mergeCell ref="L480:M480"/>
    <mergeCell ref="L481:M481"/>
    <mergeCell ref="L472:M472"/>
    <mergeCell ref="L473:M473"/>
    <mergeCell ref="L474:M474"/>
    <mergeCell ref="L475:M475"/>
    <mergeCell ref="L476:M476"/>
    <mergeCell ref="L487:M487"/>
    <mergeCell ref="L488:M488"/>
    <mergeCell ref="L489:M489"/>
    <mergeCell ref="L490:M490"/>
    <mergeCell ref="L491:M491"/>
    <mergeCell ref="L482:M482"/>
    <mergeCell ref="L483:M483"/>
    <mergeCell ref="L484:M484"/>
    <mergeCell ref="L485:M485"/>
    <mergeCell ref="L486:M486"/>
    <mergeCell ref="L497:M497"/>
    <mergeCell ref="L498:M498"/>
    <mergeCell ref="L499:M499"/>
    <mergeCell ref="L500:M500"/>
    <mergeCell ref="L501:M501"/>
    <mergeCell ref="L492:M492"/>
    <mergeCell ref="L493:M493"/>
    <mergeCell ref="L494:M494"/>
    <mergeCell ref="L495:M495"/>
    <mergeCell ref="L496:M496"/>
    <mergeCell ref="L507:M507"/>
    <mergeCell ref="L508:M508"/>
    <mergeCell ref="L509:M509"/>
    <mergeCell ref="L510:M510"/>
    <mergeCell ref="L511:M511"/>
    <mergeCell ref="L502:M502"/>
    <mergeCell ref="L503:M503"/>
    <mergeCell ref="L504:M504"/>
    <mergeCell ref="L505:M505"/>
    <mergeCell ref="L506:M506"/>
    <mergeCell ref="L517:M517"/>
    <mergeCell ref="L518:M518"/>
    <mergeCell ref="L519:M519"/>
    <mergeCell ref="L520:M520"/>
    <mergeCell ref="L521:M521"/>
    <mergeCell ref="L512:M512"/>
    <mergeCell ref="L513:M513"/>
    <mergeCell ref="L514:M514"/>
    <mergeCell ref="L515:M515"/>
    <mergeCell ref="L516:M516"/>
    <mergeCell ref="L527:M527"/>
    <mergeCell ref="L528:M528"/>
    <mergeCell ref="L529:M529"/>
    <mergeCell ref="L530:M530"/>
    <mergeCell ref="L531:M531"/>
    <mergeCell ref="L522:M522"/>
    <mergeCell ref="L523:M523"/>
    <mergeCell ref="L524:M524"/>
    <mergeCell ref="L525:M525"/>
    <mergeCell ref="L526:M526"/>
    <mergeCell ref="L537:M537"/>
    <mergeCell ref="L538:M538"/>
    <mergeCell ref="L539:M539"/>
    <mergeCell ref="L540:M540"/>
    <mergeCell ref="L541:M541"/>
    <mergeCell ref="L532:M532"/>
    <mergeCell ref="L533:M533"/>
    <mergeCell ref="L534:M534"/>
    <mergeCell ref="L535:M535"/>
    <mergeCell ref="L536:M536"/>
    <mergeCell ref="L555:M555"/>
    <mergeCell ref="L556:M556"/>
    <mergeCell ref="L547:M547"/>
    <mergeCell ref="L548:M548"/>
    <mergeCell ref="L549:M549"/>
    <mergeCell ref="L550:M550"/>
    <mergeCell ref="L551:M551"/>
    <mergeCell ref="L542:M542"/>
    <mergeCell ref="L543:M543"/>
    <mergeCell ref="L544:M544"/>
    <mergeCell ref="L545:M545"/>
    <mergeCell ref="L546:M546"/>
    <mergeCell ref="F19:F38"/>
    <mergeCell ref="E19:E38"/>
    <mergeCell ref="D19:D38"/>
    <mergeCell ref="C19:C38"/>
    <mergeCell ref="L572:M572"/>
    <mergeCell ref="L573:M573"/>
    <mergeCell ref="L567:M567"/>
    <mergeCell ref="L568:M568"/>
    <mergeCell ref="L569:M569"/>
    <mergeCell ref="L570:M570"/>
    <mergeCell ref="L571:M571"/>
    <mergeCell ref="L562:M562"/>
    <mergeCell ref="L563:M563"/>
    <mergeCell ref="L564:M564"/>
    <mergeCell ref="L565:M565"/>
    <mergeCell ref="L566:M566"/>
    <mergeCell ref="L557:M557"/>
    <mergeCell ref="L558:M558"/>
    <mergeCell ref="L559:M559"/>
    <mergeCell ref="L560:M560"/>
    <mergeCell ref="L561:M561"/>
    <mergeCell ref="L552:M552"/>
    <mergeCell ref="L553:M553"/>
    <mergeCell ref="L554:M554"/>
  </mergeCells>
  <phoneticPr fontId="21" type="noConversion"/>
  <dataValidations count="1">
    <dataValidation allowBlank="1" showInputMessage="1" showErrorMessage="1" sqref="L19:M40" xr:uid="{2FEE5EB6-7661-4D46-9C81-06E81A9A1A8A}"/>
  </dataValidations>
  <hyperlinks>
    <hyperlink ref="Y19:Y38" r:id="rId1" display="SOPORTE" xr:uid="{51FF2E94-5FB2-4489-99C7-FEA990CE8E9B}"/>
    <hyperlink ref="Y39" r:id="rId2" xr:uid="{FC45A8CB-E9D6-4287-AA68-527CEE106ECC}"/>
    <hyperlink ref="Y40:Y44" r:id="rId3" display="SOPORTE" xr:uid="{FBD62FE8-28BB-4CA6-B578-DD738C0F2F16}"/>
  </hyperlinks>
  <pageMargins left="0.7" right="0.7" top="0.75" bottom="0.75" header="0.3" footer="0.3"/>
  <pageSetup orientation="portrait" horizontalDpi="4294967294" verticalDpi="4294967294"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Hoja1!$B:$B</xm:f>
          </x14:formula1>
          <xm:sqref>L41:M579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9"/>
  <sheetViews>
    <sheetView topLeftCell="A39" workbookViewId="0">
      <selection sqref="A1:B2"/>
    </sheetView>
  </sheetViews>
  <sheetFormatPr defaultColWidth="11.42578125" defaultRowHeight="15"/>
  <cols>
    <col min="1" max="1" width="25.5703125" bestFit="1" customWidth="1"/>
    <col min="2" max="2" width="45.140625" customWidth="1"/>
    <col min="3" max="3" width="14" customWidth="1"/>
  </cols>
  <sheetData>
    <row r="1" spans="1:3" ht="24">
      <c r="A1" s="6" t="s">
        <v>116</v>
      </c>
      <c r="B1" s="6" t="s">
        <v>49</v>
      </c>
      <c r="C1" s="6" t="s">
        <v>48</v>
      </c>
    </row>
    <row r="2" spans="1:3">
      <c r="A2" t="s">
        <v>117</v>
      </c>
      <c r="B2" s="16" t="s">
        <v>118</v>
      </c>
      <c r="C2" s="17" t="s">
        <v>65</v>
      </c>
    </row>
    <row r="3" spans="1:3">
      <c r="A3" t="s">
        <v>119</v>
      </c>
      <c r="B3" s="16" t="s">
        <v>120</v>
      </c>
      <c r="C3" s="17" t="s">
        <v>65</v>
      </c>
    </row>
    <row r="4" spans="1:3">
      <c r="A4" t="s">
        <v>117</v>
      </c>
      <c r="B4" s="16" t="s">
        <v>121</v>
      </c>
      <c r="C4" s="17" t="s">
        <v>65</v>
      </c>
    </row>
    <row r="5" spans="1:3">
      <c r="A5" t="s">
        <v>117</v>
      </c>
      <c r="B5" s="16" t="s">
        <v>81</v>
      </c>
      <c r="C5" s="17" t="s">
        <v>65</v>
      </c>
    </row>
    <row r="6" spans="1:3">
      <c r="A6" t="s">
        <v>117</v>
      </c>
      <c r="B6" s="16" t="s">
        <v>122</v>
      </c>
      <c r="C6" s="17" t="s">
        <v>65</v>
      </c>
    </row>
    <row r="7" spans="1:3">
      <c r="A7" t="s">
        <v>117</v>
      </c>
      <c r="B7" s="16" t="s">
        <v>123</v>
      </c>
      <c r="C7" s="17" t="s">
        <v>124</v>
      </c>
    </row>
    <row r="8" spans="1:3">
      <c r="A8" t="s">
        <v>119</v>
      </c>
      <c r="B8" s="16" t="s">
        <v>125</v>
      </c>
      <c r="C8" s="17" t="s">
        <v>124</v>
      </c>
    </row>
    <row r="9" spans="1:3" ht="25.5">
      <c r="A9" t="s">
        <v>119</v>
      </c>
      <c r="B9" s="18" t="s">
        <v>126</v>
      </c>
      <c r="C9" s="17" t="s">
        <v>124</v>
      </c>
    </row>
    <row r="10" spans="1:3">
      <c r="A10" t="s">
        <v>117</v>
      </c>
      <c r="B10" s="16" t="s">
        <v>127</v>
      </c>
      <c r="C10" s="17" t="s">
        <v>69</v>
      </c>
    </row>
    <row r="11" spans="1:3">
      <c r="A11" t="s">
        <v>117</v>
      </c>
      <c r="B11" s="16" t="s">
        <v>128</v>
      </c>
      <c r="C11" s="17" t="s">
        <v>69</v>
      </c>
    </row>
    <row r="12" spans="1:3">
      <c r="A12" t="s">
        <v>117</v>
      </c>
      <c r="B12" s="16" t="s">
        <v>129</v>
      </c>
      <c r="C12" s="17" t="s">
        <v>69</v>
      </c>
    </row>
    <row r="13" spans="1:3">
      <c r="A13" t="s">
        <v>119</v>
      </c>
      <c r="B13" s="16" t="s">
        <v>130</v>
      </c>
      <c r="C13" s="17" t="s">
        <v>65</v>
      </c>
    </row>
    <row r="14" spans="1:3">
      <c r="A14" t="s">
        <v>117</v>
      </c>
      <c r="B14" s="16" t="s">
        <v>131</v>
      </c>
      <c r="C14" s="17" t="s">
        <v>65</v>
      </c>
    </row>
    <row r="15" spans="1:3">
      <c r="A15" t="s">
        <v>117</v>
      </c>
      <c r="B15" s="16" t="s">
        <v>132</v>
      </c>
      <c r="C15" s="17" t="s">
        <v>65</v>
      </c>
    </row>
    <row r="16" spans="1:3">
      <c r="A16" t="s">
        <v>117</v>
      </c>
      <c r="B16" s="16" t="s">
        <v>133</v>
      </c>
      <c r="C16" s="17" t="s">
        <v>65</v>
      </c>
    </row>
    <row r="17" spans="1:3">
      <c r="A17" t="s">
        <v>117</v>
      </c>
      <c r="B17" s="16" t="s">
        <v>134</v>
      </c>
      <c r="C17" s="17" t="s">
        <v>69</v>
      </c>
    </row>
    <row r="18" spans="1:3">
      <c r="A18" t="s">
        <v>119</v>
      </c>
      <c r="B18" s="16" t="s">
        <v>135</v>
      </c>
      <c r="C18" s="17" t="s">
        <v>69</v>
      </c>
    </row>
    <row r="19" spans="1:3">
      <c r="A19" t="s">
        <v>117</v>
      </c>
      <c r="B19" s="16" t="s">
        <v>136</v>
      </c>
      <c r="C19" s="17" t="s">
        <v>69</v>
      </c>
    </row>
    <row r="20" spans="1:3">
      <c r="A20" t="s">
        <v>119</v>
      </c>
      <c r="B20" s="16" t="s">
        <v>137</v>
      </c>
      <c r="C20" s="17" t="s">
        <v>65</v>
      </c>
    </row>
    <row r="21" spans="1:3">
      <c r="B21" s="16" t="s">
        <v>89</v>
      </c>
      <c r="C21" s="17" t="s">
        <v>124</v>
      </c>
    </row>
    <row r="22" spans="1:3">
      <c r="A22" t="s">
        <v>117</v>
      </c>
      <c r="B22" s="16" t="s">
        <v>138</v>
      </c>
      <c r="C22" s="17" t="s">
        <v>69</v>
      </c>
    </row>
    <row r="23" spans="1:3">
      <c r="A23" t="s">
        <v>117</v>
      </c>
      <c r="B23" s="16" t="s">
        <v>139</v>
      </c>
      <c r="C23" s="17" t="s">
        <v>69</v>
      </c>
    </row>
    <row r="24" spans="1:3">
      <c r="A24" t="s">
        <v>117</v>
      </c>
      <c r="B24" s="16" t="s">
        <v>140</v>
      </c>
      <c r="C24" s="17" t="s">
        <v>69</v>
      </c>
    </row>
    <row r="25" spans="1:3">
      <c r="A25" t="s">
        <v>119</v>
      </c>
      <c r="B25" s="16" t="s">
        <v>141</v>
      </c>
      <c r="C25" s="17" t="s">
        <v>65</v>
      </c>
    </row>
    <row r="26" spans="1:3">
      <c r="A26" t="s">
        <v>119</v>
      </c>
      <c r="B26" s="16" t="s">
        <v>142</v>
      </c>
      <c r="C26" s="17" t="s">
        <v>69</v>
      </c>
    </row>
    <row r="27" spans="1:3">
      <c r="A27" t="s">
        <v>117</v>
      </c>
      <c r="B27" s="16" t="s">
        <v>143</v>
      </c>
      <c r="C27" s="17" t="s">
        <v>69</v>
      </c>
    </row>
    <row r="28" spans="1:3">
      <c r="A28" t="s">
        <v>117</v>
      </c>
      <c r="B28" s="16" t="s">
        <v>144</v>
      </c>
      <c r="C28" s="17" t="s">
        <v>65</v>
      </c>
    </row>
    <row r="29" spans="1:3">
      <c r="A29" t="s">
        <v>119</v>
      </c>
      <c r="B29" s="16" t="s">
        <v>145</v>
      </c>
      <c r="C29" s="17" t="s">
        <v>69</v>
      </c>
    </row>
    <row r="30" spans="1:3">
      <c r="A30" t="s">
        <v>119</v>
      </c>
      <c r="B30" s="16" t="s">
        <v>146</v>
      </c>
      <c r="C30" s="17" t="s">
        <v>69</v>
      </c>
    </row>
    <row r="31" spans="1:3">
      <c r="A31" t="s">
        <v>119</v>
      </c>
      <c r="B31" s="16" t="s">
        <v>147</v>
      </c>
      <c r="C31" s="17" t="s">
        <v>69</v>
      </c>
    </row>
    <row r="32" spans="1:3">
      <c r="A32" t="s">
        <v>119</v>
      </c>
      <c r="B32" s="16" t="s">
        <v>148</v>
      </c>
      <c r="C32" s="17" t="s">
        <v>69</v>
      </c>
    </row>
    <row r="33" spans="1:3">
      <c r="A33" t="s">
        <v>117</v>
      </c>
      <c r="B33" s="16" t="s">
        <v>149</v>
      </c>
      <c r="C33" s="17" t="s">
        <v>69</v>
      </c>
    </row>
    <row r="34" spans="1:3">
      <c r="A34" t="s">
        <v>117</v>
      </c>
      <c r="B34" s="16" t="s">
        <v>150</v>
      </c>
      <c r="C34" s="17" t="s">
        <v>69</v>
      </c>
    </row>
    <row r="35" spans="1:3">
      <c r="A35" t="s">
        <v>119</v>
      </c>
      <c r="B35" s="16" t="s">
        <v>151</v>
      </c>
      <c r="C35" s="17" t="s">
        <v>69</v>
      </c>
    </row>
    <row r="36" spans="1:3">
      <c r="A36" t="s">
        <v>119</v>
      </c>
      <c r="B36" s="16" t="s">
        <v>152</v>
      </c>
      <c r="C36" s="17" t="s">
        <v>69</v>
      </c>
    </row>
    <row r="37" spans="1:3">
      <c r="A37" t="s">
        <v>117</v>
      </c>
      <c r="B37" s="16" t="s">
        <v>153</v>
      </c>
      <c r="C37" s="17" t="s">
        <v>69</v>
      </c>
    </row>
    <row r="38" spans="1:3">
      <c r="A38" t="s">
        <v>117</v>
      </c>
      <c r="B38" s="16" t="s">
        <v>154</v>
      </c>
      <c r="C38" s="17" t="s">
        <v>69</v>
      </c>
    </row>
    <row r="39" spans="1:3">
      <c r="A39" t="s">
        <v>119</v>
      </c>
      <c r="B39" s="16" t="s">
        <v>155</v>
      </c>
      <c r="C39" s="17" t="s">
        <v>69</v>
      </c>
    </row>
    <row r="40" spans="1:3">
      <c r="A40" t="s">
        <v>117</v>
      </c>
      <c r="B40" s="16" t="s">
        <v>156</v>
      </c>
      <c r="C40" s="17" t="s">
        <v>69</v>
      </c>
    </row>
    <row r="41" spans="1:3">
      <c r="A41" t="s">
        <v>117</v>
      </c>
      <c r="B41" s="16" t="s">
        <v>157</v>
      </c>
      <c r="C41" s="17" t="s">
        <v>69</v>
      </c>
    </row>
    <row r="42" spans="1:3">
      <c r="A42" t="s">
        <v>117</v>
      </c>
      <c r="B42" s="16" t="s">
        <v>158</v>
      </c>
      <c r="C42" s="17" t="s">
        <v>69</v>
      </c>
    </row>
    <row r="43" spans="1:3">
      <c r="A43" t="s">
        <v>117</v>
      </c>
      <c r="B43" s="16" t="s">
        <v>159</v>
      </c>
      <c r="C43" s="17" t="s">
        <v>69</v>
      </c>
    </row>
    <row r="44" spans="1:3">
      <c r="A44" t="s">
        <v>119</v>
      </c>
      <c r="B44" s="16" t="s">
        <v>160</v>
      </c>
      <c r="C44" s="17" t="s">
        <v>65</v>
      </c>
    </row>
    <row r="45" spans="1:3">
      <c r="A45" t="s">
        <v>119</v>
      </c>
      <c r="B45" s="16" t="s">
        <v>161</v>
      </c>
      <c r="C45" s="17" t="s">
        <v>69</v>
      </c>
    </row>
    <row r="46" spans="1:3">
      <c r="A46" t="s">
        <v>119</v>
      </c>
      <c r="B46" s="16" t="s">
        <v>161</v>
      </c>
      <c r="C46" s="17" t="s">
        <v>69</v>
      </c>
    </row>
    <row r="47" spans="1:3">
      <c r="A47" t="s">
        <v>117</v>
      </c>
      <c r="B47" s="16" t="s">
        <v>162</v>
      </c>
      <c r="C47" s="17" t="s">
        <v>69</v>
      </c>
    </row>
    <row r="48" spans="1:3">
      <c r="A48" t="s">
        <v>119</v>
      </c>
      <c r="B48" s="16" t="s">
        <v>163</v>
      </c>
      <c r="C48" s="17" t="s">
        <v>65</v>
      </c>
    </row>
    <row r="49" spans="1:3">
      <c r="A49" t="s">
        <v>117</v>
      </c>
      <c r="B49" s="16" t="s">
        <v>164</v>
      </c>
      <c r="C49" s="17" t="s">
        <v>69</v>
      </c>
    </row>
    <row r="50" spans="1:3">
      <c r="A50" t="s">
        <v>117</v>
      </c>
      <c r="B50" s="16" t="s">
        <v>165</v>
      </c>
      <c r="C50" s="17" t="s">
        <v>69</v>
      </c>
    </row>
    <row r="51" spans="1:3">
      <c r="A51" t="s">
        <v>117</v>
      </c>
      <c r="B51" s="16" t="s">
        <v>166</v>
      </c>
      <c r="C51" s="17" t="s">
        <v>65</v>
      </c>
    </row>
    <row r="52" spans="1:3">
      <c r="A52" t="s">
        <v>117</v>
      </c>
      <c r="B52" s="16" t="s">
        <v>167</v>
      </c>
      <c r="C52" s="17" t="s">
        <v>65</v>
      </c>
    </row>
    <row r="53" spans="1:3">
      <c r="A53" t="s">
        <v>119</v>
      </c>
      <c r="B53" s="16" t="s">
        <v>168</v>
      </c>
      <c r="C53" s="17" t="s">
        <v>69</v>
      </c>
    </row>
    <row r="54" spans="1:3">
      <c r="A54" t="s">
        <v>117</v>
      </c>
      <c r="B54" s="16" t="s">
        <v>169</v>
      </c>
      <c r="C54" s="17" t="s">
        <v>65</v>
      </c>
    </row>
    <row r="55" spans="1:3">
      <c r="A55" t="s">
        <v>119</v>
      </c>
      <c r="B55" s="16" t="s">
        <v>170</v>
      </c>
      <c r="C55" s="17" t="s">
        <v>69</v>
      </c>
    </row>
    <row r="56" spans="1:3">
      <c r="A56" t="s">
        <v>117</v>
      </c>
      <c r="B56" s="16" t="s">
        <v>171</v>
      </c>
      <c r="C56" s="17" t="s">
        <v>65</v>
      </c>
    </row>
    <row r="57" spans="1:3">
      <c r="A57" t="s">
        <v>119</v>
      </c>
      <c r="B57" s="16" t="s">
        <v>172</v>
      </c>
      <c r="C57" s="17" t="s">
        <v>65</v>
      </c>
    </row>
    <row r="58" spans="1:3">
      <c r="A58" t="s">
        <v>119</v>
      </c>
      <c r="B58" s="16" t="s">
        <v>173</v>
      </c>
      <c r="C58" s="17" t="s">
        <v>69</v>
      </c>
    </row>
    <row r="59" spans="1:3">
      <c r="A59" t="s">
        <v>119</v>
      </c>
      <c r="B59" s="16" t="s">
        <v>174</v>
      </c>
      <c r="C59" s="17" t="s">
        <v>69</v>
      </c>
    </row>
    <row r="60" spans="1:3">
      <c r="A60" t="s">
        <v>117</v>
      </c>
      <c r="B60" s="16" t="s">
        <v>175</v>
      </c>
      <c r="C60" s="17" t="s">
        <v>65</v>
      </c>
    </row>
    <row r="61" spans="1:3">
      <c r="A61" t="s">
        <v>119</v>
      </c>
      <c r="B61" s="16" t="s">
        <v>176</v>
      </c>
      <c r="C61" s="17" t="s">
        <v>69</v>
      </c>
    </row>
    <row r="62" spans="1:3">
      <c r="A62" t="s">
        <v>119</v>
      </c>
      <c r="B62" s="16" t="s">
        <v>177</v>
      </c>
      <c r="C62" s="17" t="s">
        <v>65</v>
      </c>
    </row>
    <row r="63" spans="1:3">
      <c r="A63" t="s">
        <v>117</v>
      </c>
      <c r="B63" s="16" t="s">
        <v>108</v>
      </c>
      <c r="C63" s="17" t="s">
        <v>65</v>
      </c>
    </row>
    <row r="64" spans="1:3">
      <c r="A64" t="s">
        <v>119</v>
      </c>
      <c r="B64" s="16" t="s">
        <v>178</v>
      </c>
      <c r="C64" s="17" t="s">
        <v>69</v>
      </c>
    </row>
    <row r="65" spans="1:3">
      <c r="A65" t="s">
        <v>117</v>
      </c>
      <c r="B65" s="16" t="s">
        <v>179</v>
      </c>
      <c r="C65" s="17" t="s">
        <v>65</v>
      </c>
    </row>
    <row r="66" spans="1:3">
      <c r="A66" t="s">
        <v>117</v>
      </c>
      <c r="B66" s="16" t="s">
        <v>180</v>
      </c>
      <c r="C66" s="17" t="s">
        <v>65</v>
      </c>
    </row>
    <row r="67" spans="1:3">
      <c r="A67" t="s">
        <v>117</v>
      </c>
      <c r="B67" s="16" t="s">
        <v>181</v>
      </c>
      <c r="C67" s="17" t="s">
        <v>65</v>
      </c>
    </row>
    <row r="68" spans="1:3">
      <c r="A68" t="s">
        <v>117</v>
      </c>
      <c r="B68" s="16" t="s">
        <v>107</v>
      </c>
      <c r="C68" s="17" t="s">
        <v>65</v>
      </c>
    </row>
    <row r="69" spans="1:3">
      <c r="A69" t="s">
        <v>117</v>
      </c>
      <c r="B69" s="16" t="s">
        <v>182</v>
      </c>
      <c r="C69" s="17" t="s">
        <v>65</v>
      </c>
    </row>
    <row r="70" spans="1:3">
      <c r="A70" t="s">
        <v>119</v>
      </c>
      <c r="B70" s="16" t="s">
        <v>183</v>
      </c>
      <c r="C70" s="17" t="s">
        <v>65</v>
      </c>
    </row>
    <row r="71" spans="1:3">
      <c r="A71" t="s">
        <v>117</v>
      </c>
      <c r="B71" s="16" t="s">
        <v>184</v>
      </c>
      <c r="C71" s="17" t="s">
        <v>65</v>
      </c>
    </row>
    <row r="72" spans="1:3">
      <c r="A72" t="s">
        <v>117</v>
      </c>
      <c r="B72" s="16" t="s">
        <v>185</v>
      </c>
      <c r="C72" s="17" t="s">
        <v>65</v>
      </c>
    </row>
    <row r="73" spans="1:3">
      <c r="A73" t="s">
        <v>119</v>
      </c>
      <c r="B73" s="16" t="s">
        <v>186</v>
      </c>
      <c r="C73" s="17" t="s">
        <v>65</v>
      </c>
    </row>
    <row r="74" spans="1:3">
      <c r="A74" t="s">
        <v>117</v>
      </c>
      <c r="B74" s="16" t="s">
        <v>187</v>
      </c>
      <c r="C74" s="17" t="s">
        <v>69</v>
      </c>
    </row>
    <row r="75" spans="1:3">
      <c r="A75" t="s">
        <v>117</v>
      </c>
      <c r="B75" s="16" t="s">
        <v>188</v>
      </c>
      <c r="C75" s="17" t="s">
        <v>65</v>
      </c>
    </row>
    <row r="76" spans="1:3">
      <c r="A76" t="s">
        <v>119</v>
      </c>
      <c r="B76" s="16" t="s">
        <v>189</v>
      </c>
      <c r="C76" s="17" t="s">
        <v>65</v>
      </c>
    </row>
    <row r="77" spans="1:3">
      <c r="A77" t="s">
        <v>119</v>
      </c>
      <c r="B77" s="16" t="s">
        <v>190</v>
      </c>
      <c r="C77" s="17" t="s">
        <v>69</v>
      </c>
    </row>
    <row r="78" spans="1:3">
      <c r="A78" t="s">
        <v>119</v>
      </c>
      <c r="B78" s="16" t="s">
        <v>191</v>
      </c>
      <c r="C78" s="17" t="s">
        <v>69</v>
      </c>
    </row>
    <row r="79" spans="1:3">
      <c r="A79" t="s">
        <v>119</v>
      </c>
      <c r="B79" s="16" t="s">
        <v>192</v>
      </c>
      <c r="C79" s="17" t="s">
        <v>69</v>
      </c>
    </row>
    <row r="80" spans="1:3">
      <c r="A80" t="s">
        <v>119</v>
      </c>
      <c r="B80" s="16" t="s">
        <v>193</v>
      </c>
      <c r="C80" s="17" t="s">
        <v>69</v>
      </c>
    </row>
    <row r="81" spans="1:3">
      <c r="A81" t="s">
        <v>117</v>
      </c>
      <c r="B81" s="16" t="s">
        <v>194</v>
      </c>
      <c r="C81" s="17" t="s">
        <v>69</v>
      </c>
    </row>
    <row r="82" spans="1:3">
      <c r="A82" t="s">
        <v>117</v>
      </c>
      <c r="B82" s="16" t="s">
        <v>195</v>
      </c>
      <c r="C82" s="17" t="s">
        <v>65</v>
      </c>
    </row>
    <row r="83" spans="1:3">
      <c r="A83" t="s">
        <v>117</v>
      </c>
      <c r="B83" s="16" t="s">
        <v>196</v>
      </c>
      <c r="C83" s="17" t="s">
        <v>65</v>
      </c>
    </row>
    <row r="84" spans="1:3">
      <c r="A84" t="s">
        <v>117</v>
      </c>
      <c r="B84" s="16" t="s">
        <v>197</v>
      </c>
      <c r="C84" s="17" t="s">
        <v>69</v>
      </c>
    </row>
    <row r="85" spans="1:3">
      <c r="A85" t="s">
        <v>117</v>
      </c>
      <c r="B85" s="16" t="s">
        <v>198</v>
      </c>
      <c r="C85" s="17" t="s">
        <v>65</v>
      </c>
    </row>
    <row r="86" spans="1:3">
      <c r="A86" t="s">
        <v>117</v>
      </c>
      <c r="B86" s="16" t="s">
        <v>199</v>
      </c>
      <c r="C86" s="17" t="s">
        <v>65</v>
      </c>
    </row>
    <row r="87" spans="1:3">
      <c r="A87" t="s">
        <v>117</v>
      </c>
      <c r="B87" s="16" t="s">
        <v>200</v>
      </c>
      <c r="C87" s="17" t="s">
        <v>65</v>
      </c>
    </row>
    <row r="88" spans="1:3">
      <c r="A88" t="s">
        <v>117</v>
      </c>
      <c r="B88" s="16" t="s">
        <v>201</v>
      </c>
      <c r="C88" s="17" t="s">
        <v>69</v>
      </c>
    </row>
    <row r="89" spans="1:3">
      <c r="A89" t="s">
        <v>119</v>
      </c>
      <c r="B89" s="16" t="s">
        <v>202</v>
      </c>
      <c r="C89" s="17" t="s">
        <v>69</v>
      </c>
    </row>
    <row r="90" spans="1:3">
      <c r="A90" t="s">
        <v>117</v>
      </c>
      <c r="B90" s="16" t="s">
        <v>203</v>
      </c>
      <c r="C90" s="17" t="s">
        <v>69</v>
      </c>
    </row>
    <row r="91" spans="1:3">
      <c r="A91" t="s">
        <v>117</v>
      </c>
      <c r="B91" s="16" t="s">
        <v>204</v>
      </c>
      <c r="C91" s="17" t="s">
        <v>69</v>
      </c>
    </row>
    <row r="92" spans="1:3">
      <c r="A92" t="s">
        <v>117</v>
      </c>
      <c r="B92" s="16" t="s">
        <v>205</v>
      </c>
      <c r="C92" s="17" t="s">
        <v>69</v>
      </c>
    </row>
    <row r="93" spans="1:3">
      <c r="A93" t="s">
        <v>117</v>
      </c>
      <c r="B93" s="16" t="s">
        <v>206</v>
      </c>
      <c r="C93" s="17" t="s">
        <v>69</v>
      </c>
    </row>
    <row r="94" spans="1:3">
      <c r="A94" t="s">
        <v>117</v>
      </c>
      <c r="B94" s="16" t="s">
        <v>207</v>
      </c>
      <c r="C94" s="17" t="s">
        <v>69</v>
      </c>
    </row>
    <row r="95" spans="1:3">
      <c r="A95" t="s">
        <v>119</v>
      </c>
      <c r="B95" s="16" t="s">
        <v>208</v>
      </c>
      <c r="C95" s="17" t="s">
        <v>69</v>
      </c>
    </row>
    <row r="96" spans="1:3">
      <c r="A96" t="s">
        <v>119</v>
      </c>
      <c r="B96" s="16" t="s">
        <v>209</v>
      </c>
      <c r="C96" s="17" t="s">
        <v>65</v>
      </c>
    </row>
    <row r="97" spans="1:3">
      <c r="A97" t="s">
        <v>119</v>
      </c>
      <c r="B97" s="16" t="s">
        <v>210</v>
      </c>
      <c r="C97" s="17" t="s">
        <v>69</v>
      </c>
    </row>
    <row r="98" spans="1:3">
      <c r="A98" t="s">
        <v>119</v>
      </c>
      <c r="B98" s="16" t="s">
        <v>211</v>
      </c>
      <c r="C98" s="17" t="s">
        <v>65</v>
      </c>
    </row>
    <row r="99" spans="1:3">
      <c r="A99" t="s">
        <v>117</v>
      </c>
      <c r="B99" s="16" t="s">
        <v>212</v>
      </c>
      <c r="C99" s="17" t="s">
        <v>65</v>
      </c>
    </row>
    <row r="100" spans="1:3">
      <c r="A100" t="s">
        <v>119</v>
      </c>
      <c r="B100" s="16" t="s">
        <v>213</v>
      </c>
      <c r="C100" s="17" t="s">
        <v>65</v>
      </c>
    </row>
    <row r="101" spans="1:3">
      <c r="A101" t="s">
        <v>117</v>
      </c>
      <c r="B101" s="16" t="s">
        <v>214</v>
      </c>
      <c r="C101" s="17" t="s">
        <v>69</v>
      </c>
    </row>
    <row r="102" spans="1:3">
      <c r="A102" t="s">
        <v>117</v>
      </c>
      <c r="B102" s="16" t="s">
        <v>215</v>
      </c>
      <c r="C102" s="17" t="s">
        <v>69</v>
      </c>
    </row>
    <row r="103" spans="1:3">
      <c r="A103" t="s">
        <v>117</v>
      </c>
      <c r="B103" s="16" t="s">
        <v>216</v>
      </c>
      <c r="C103" s="17" t="s">
        <v>69</v>
      </c>
    </row>
    <row r="104" spans="1:3">
      <c r="A104" t="s">
        <v>117</v>
      </c>
      <c r="B104" s="16" t="s">
        <v>217</v>
      </c>
      <c r="C104" s="17" t="s">
        <v>69</v>
      </c>
    </row>
    <row r="105" spans="1:3">
      <c r="A105" t="s">
        <v>117</v>
      </c>
      <c r="B105" s="16" t="s">
        <v>218</v>
      </c>
      <c r="C105" s="17" t="s">
        <v>69</v>
      </c>
    </row>
    <row r="106" spans="1:3">
      <c r="A106" t="s">
        <v>117</v>
      </c>
      <c r="B106" s="16" t="s">
        <v>219</v>
      </c>
      <c r="C106" s="17" t="s">
        <v>69</v>
      </c>
    </row>
    <row r="107" spans="1:3">
      <c r="A107" t="s">
        <v>119</v>
      </c>
      <c r="B107" s="18" t="s">
        <v>220</v>
      </c>
      <c r="C107" s="17" t="s">
        <v>69</v>
      </c>
    </row>
    <row r="108" spans="1:3">
      <c r="A108" t="s">
        <v>117</v>
      </c>
      <c r="B108" s="16" t="s">
        <v>221</v>
      </c>
      <c r="C108" s="17" t="s">
        <v>69</v>
      </c>
    </row>
    <row r="109" spans="1:3">
      <c r="A109" t="s">
        <v>119</v>
      </c>
      <c r="B109" s="18" t="s">
        <v>222</v>
      </c>
      <c r="C109" s="17" t="s">
        <v>69</v>
      </c>
    </row>
    <row r="110" spans="1:3">
      <c r="A110" t="s">
        <v>119</v>
      </c>
      <c r="B110" s="16" t="s">
        <v>223</v>
      </c>
      <c r="C110" s="17" t="s">
        <v>69</v>
      </c>
    </row>
    <row r="111" spans="1:3">
      <c r="A111" t="s">
        <v>119</v>
      </c>
      <c r="B111" s="16" t="s">
        <v>224</v>
      </c>
      <c r="C111" s="17" t="s">
        <v>69</v>
      </c>
    </row>
    <row r="112" spans="1:3">
      <c r="A112" t="s">
        <v>117</v>
      </c>
      <c r="B112" s="16" t="s">
        <v>225</v>
      </c>
      <c r="C112" s="17" t="s">
        <v>69</v>
      </c>
    </row>
    <row r="113" spans="1:3" ht="26.25">
      <c r="A113" t="s">
        <v>119</v>
      </c>
      <c r="B113" s="16" t="s">
        <v>226</v>
      </c>
      <c r="C113" s="17" t="s">
        <v>65</v>
      </c>
    </row>
    <row r="114" spans="1:3">
      <c r="A114" t="s">
        <v>119</v>
      </c>
      <c r="B114" s="16" t="s">
        <v>227</v>
      </c>
      <c r="C114" s="17" t="s">
        <v>69</v>
      </c>
    </row>
    <row r="115" spans="1:3">
      <c r="A115" t="s">
        <v>119</v>
      </c>
      <c r="B115" s="16" t="s">
        <v>228</v>
      </c>
      <c r="C115" s="17" t="s">
        <v>69</v>
      </c>
    </row>
    <row r="116" spans="1:3">
      <c r="A116" t="s">
        <v>117</v>
      </c>
      <c r="B116" s="16" t="s">
        <v>229</v>
      </c>
      <c r="C116" s="17" t="s">
        <v>69</v>
      </c>
    </row>
    <row r="117" spans="1:3">
      <c r="A117" t="s">
        <v>119</v>
      </c>
      <c r="B117" s="16" t="s">
        <v>230</v>
      </c>
      <c r="C117" s="17" t="s">
        <v>69</v>
      </c>
    </row>
    <row r="118" spans="1:3">
      <c r="A118" t="s">
        <v>117</v>
      </c>
      <c r="B118" s="16" t="s">
        <v>231</v>
      </c>
      <c r="C118" s="17" t="s">
        <v>69</v>
      </c>
    </row>
    <row r="119" spans="1:3">
      <c r="A119" t="s">
        <v>119</v>
      </c>
      <c r="B119" s="16" t="s">
        <v>232</v>
      </c>
      <c r="C119" s="17" t="s">
        <v>69</v>
      </c>
    </row>
    <row r="120" spans="1:3">
      <c r="A120" t="s">
        <v>117</v>
      </c>
      <c r="B120" s="16" t="s">
        <v>233</v>
      </c>
      <c r="C120" s="17" t="s">
        <v>69</v>
      </c>
    </row>
    <row r="121" spans="1:3">
      <c r="A121" t="s">
        <v>117</v>
      </c>
      <c r="B121" s="16" t="s">
        <v>234</v>
      </c>
      <c r="C121" s="17" t="s">
        <v>65</v>
      </c>
    </row>
    <row r="122" spans="1:3">
      <c r="A122" t="s">
        <v>117</v>
      </c>
      <c r="B122" s="16" t="s">
        <v>235</v>
      </c>
      <c r="C122" s="17" t="s">
        <v>69</v>
      </c>
    </row>
    <row r="123" spans="1:3">
      <c r="A123" t="s">
        <v>119</v>
      </c>
      <c r="B123" s="16" t="s">
        <v>236</v>
      </c>
      <c r="C123" s="17" t="s">
        <v>69</v>
      </c>
    </row>
    <row r="124" spans="1:3">
      <c r="A124" t="s">
        <v>117</v>
      </c>
      <c r="B124" s="16" t="s">
        <v>237</v>
      </c>
      <c r="C124" s="17" t="s">
        <v>65</v>
      </c>
    </row>
    <row r="125" spans="1:3">
      <c r="A125" t="s">
        <v>119</v>
      </c>
      <c r="B125" s="16" t="s">
        <v>238</v>
      </c>
      <c r="C125" s="17" t="s">
        <v>69</v>
      </c>
    </row>
    <row r="126" spans="1:3">
      <c r="A126" t="s">
        <v>117</v>
      </c>
      <c r="B126" s="16" t="s">
        <v>239</v>
      </c>
      <c r="C126" s="17" t="s">
        <v>69</v>
      </c>
    </row>
    <row r="127" spans="1:3">
      <c r="A127" t="s">
        <v>117</v>
      </c>
      <c r="B127" s="16" t="s">
        <v>240</v>
      </c>
      <c r="C127" s="17" t="s">
        <v>69</v>
      </c>
    </row>
    <row r="128" spans="1:3">
      <c r="A128" t="s">
        <v>117</v>
      </c>
      <c r="B128" s="16" t="s">
        <v>241</v>
      </c>
      <c r="C128" s="17" t="s">
        <v>124</v>
      </c>
    </row>
    <row r="129" spans="1:3">
      <c r="A129" t="s">
        <v>117</v>
      </c>
      <c r="B129" s="16" t="s">
        <v>106</v>
      </c>
      <c r="C129" s="17" t="s">
        <v>65</v>
      </c>
    </row>
    <row r="130" spans="1:3">
      <c r="A130" t="s">
        <v>117</v>
      </c>
      <c r="B130" s="16" t="s">
        <v>92</v>
      </c>
      <c r="C130" s="17" t="s">
        <v>65</v>
      </c>
    </row>
    <row r="131" spans="1:3">
      <c r="A131" t="s">
        <v>117</v>
      </c>
      <c r="B131" s="16" t="s">
        <v>93</v>
      </c>
      <c r="C131" s="17" t="s">
        <v>65</v>
      </c>
    </row>
    <row r="132" spans="1:3">
      <c r="A132" t="s">
        <v>117</v>
      </c>
      <c r="B132" s="16" t="s">
        <v>242</v>
      </c>
      <c r="C132" s="17" t="s">
        <v>65</v>
      </c>
    </row>
    <row r="133" spans="1:3">
      <c r="A133" t="s">
        <v>119</v>
      </c>
      <c r="B133" s="16" t="s">
        <v>243</v>
      </c>
      <c r="C133" s="17" t="s">
        <v>69</v>
      </c>
    </row>
    <row r="134" spans="1:3">
      <c r="A134" t="s">
        <v>117</v>
      </c>
      <c r="B134" s="16" t="s">
        <v>244</v>
      </c>
      <c r="C134" s="17" t="s">
        <v>69</v>
      </c>
    </row>
    <row r="135" spans="1:3">
      <c r="A135" t="s">
        <v>117</v>
      </c>
      <c r="B135" s="16" t="s">
        <v>245</v>
      </c>
      <c r="C135" s="17" t="s">
        <v>69</v>
      </c>
    </row>
    <row r="136" spans="1:3">
      <c r="A136" t="s">
        <v>119</v>
      </c>
      <c r="B136" s="16" t="s">
        <v>246</v>
      </c>
      <c r="C136" s="17" t="s">
        <v>65</v>
      </c>
    </row>
    <row r="137" spans="1:3">
      <c r="A137" t="s">
        <v>117</v>
      </c>
      <c r="B137" s="16" t="s">
        <v>247</v>
      </c>
      <c r="C137" s="17" t="s">
        <v>69</v>
      </c>
    </row>
    <row r="138" spans="1:3">
      <c r="A138" t="s">
        <v>119</v>
      </c>
      <c r="B138" s="16" t="s">
        <v>248</v>
      </c>
      <c r="C138" s="17" t="s">
        <v>69</v>
      </c>
    </row>
    <row r="139" spans="1:3">
      <c r="A139" t="s">
        <v>119</v>
      </c>
      <c r="B139" s="16" t="s">
        <v>249</v>
      </c>
      <c r="C139" s="17" t="s">
        <v>69</v>
      </c>
    </row>
    <row r="140" spans="1:3">
      <c r="A140" t="s">
        <v>117</v>
      </c>
      <c r="B140" s="16" t="s">
        <v>250</v>
      </c>
      <c r="C140" s="17" t="s">
        <v>69</v>
      </c>
    </row>
    <row r="141" spans="1:3">
      <c r="A141" t="s">
        <v>119</v>
      </c>
      <c r="B141" s="16" t="s">
        <v>251</v>
      </c>
      <c r="C141" s="17" t="s">
        <v>69</v>
      </c>
    </row>
    <row r="142" spans="1:3">
      <c r="A142" t="s">
        <v>117</v>
      </c>
      <c r="B142" s="16" t="s">
        <v>252</v>
      </c>
      <c r="C142" s="17" t="s">
        <v>65</v>
      </c>
    </row>
    <row r="143" spans="1:3">
      <c r="A143" t="s">
        <v>119</v>
      </c>
      <c r="B143" s="16" t="s">
        <v>253</v>
      </c>
      <c r="C143" s="17" t="s">
        <v>65</v>
      </c>
    </row>
    <row r="144" spans="1:3">
      <c r="A144" t="s">
        <v>119</v>
      </c>
      <c r="B144" s="16" t="s">
        <v>254</v>
      </c>
      <c r="C144" s="17" t="s">
        <v>69</v>
      </c>
    </row>
    <row r="145" spans="1:3">
      <c r="A145" t="s">
        <v>117</v>
      </c>
      <c r="B145" s="16" t="s">
        <v>255</v>
      </c>
      <c r="C145" s="17" t="s">
        <v>69</v>
      </c>
    </row>
    <row r="146" spans="1:3">
      <c r="A146" t="s">
        <v>119</v>
      </c>
      <c r="B146" s="16" t="s">
        <v>256</v>
      </c>
      <c r="C146" s="17" t="s">
        <v>69</v>
      </c>
    </row>
    <row r="147" spans="1:3">
      <c r="A147" t="s">
        <v>117</v>
      </c>
      <c r="B147" s="16" t="s">
        <v>257</v>
      </c>
      <c r="C147" s="17" t="s">
        <v>69</v>
      </c>
    </row>
    <row r="148" spans="1:3">
      <c r="A148" t="s">
        <v>119</v>
      </c>
      <c r="B148" s="16" t="s">
        <v>258</v>
      </c>
      <c r="C148" s="17" t="s">
        <v>69</v>
      </c>
    </row>
    <row r="149" spans="1:3">
      <c r="A149" t="s">
        <v>117</v>
      </c>
      <c r="B149" s="16" t="s">
        <v>259</v>
      </c>
      <c r="C149" s="17" t="s">
        <v>69</v>
      </c>
    </row>
    <row r="150" spans="1:3">
      <c r="A150" t="s">
        <v>117</v>
      </c>
      <c r="B150" s="16" t="s">
        <v>260</v>
      </c>
      <c r="C150" s="17" t="s">
        <v>69</v>
      </c>
    </row>
    <row r="151" spans="1:3">
      <c r="A151" t="s">
        <v>117</v>
      </c>
      <c r="B151" s="16" t="s">
        <v>261</v>
      </c>
      <c r="C151" s="17" t="s">
        <v>69</v>
      </c>
    </row>
    <row r="152" spans="1:3">
      <c r="A152" t="s">
        <v>117</v>
      </c>
      <c r="B152" s="16" t="s">
        <v>262</v>
      </c>
      <c r="C152" s="17" t="s">
        <v>69</v>
      </c>
    </row>
    <row r="153" spans="1:3">
      <c r="A153" t="s">
        <v>117</v>
      </c>
      <c r="B153" s="16" t="s">
        <v>263</v>
      </c>
      <c r="C153" s="17" t="s">
        <v>65</v>
      </c>
    </row>
    <row r="154" spans="1:3">
      <c r="A154" t="s">
        <v>117</v>
      </c>
      <c r="B154" s="16" t="s">
        <v>264</v>
      </c>
      <c r="C154" s="17" t="s">
        <v>69</v>
      </c>
    </row>
    <row r="155" spans="1:3">
      <c r="A155" t="s">
        <v>117</v>
      </c>
      <c r="B155" s="16" t="s">
        <v>265</v>
      </c>
      <c r="C155" s="17" t="s">
        <v>69</v>
      </c>
    </row>
    <row r="156" spans="1:3">
      <c r="A156" t="s">
        <v>119</v>
      </c>
      <c r="B156" s="16" t="s">
        <v>266</v>
      </c>
      <c r="C156" s="17" t="s">
        <v>69</v>
      </c>
    </row>
    <row r="157" spans="1:3">
      <c r="A157" t="s">
        <v>117</v>
      </c>
      <c r="B157" s="16" t="s">
        <v>267</v>
      </c>
      <c r="C157" s="17" t="s">
        <v>69</v>
      </c>
    </row>
    <row r="158" spans="1:3">
      <c r="A158" t="s">
        <v>119</v>
      </c>
      <c r="B158" s="16" t="s">
        <v>268</v>
      </c>
      <c r="C158" s="17" t="s">
        <v>65</v>
      </c>
    </row>
    <row r="159" spans="1:3">
      <c r="A159" t="s">
        <v>117</v>
      </c>
      <c r="B159" s="16" t="s">
        <v>269</v>
      </c>
      <c r="C159" s="17" t="s">
        <v>69</v>
      </c>
    </row>
    <row r="160" spans="1:3">
      <c r="A160" t="s">
        <v>119</v>
      </c>
      <c r="B160" s="16" t="s">
        <v>270</v>
      </c>
      <c r="C160" s="17" t="s">
        <v>65</v>
      </c>
    </row>
    <row r="161" spans="1:3">
      <c r="A161" t="s">
        <v>117</v>
      </c>
      <c r="B161" s="16" t="s">
        <v>271</v>
      </c>
      <c r="C161" s="17" t="s">
        <v>69</v>
      </c>
    </row>
    <row r="162" spans="1:3">
      <c r="A162" t="s">
        <v>117</v>
      </c>
      <c r="B162" s="16" t="s">
        <v>272</v>
      </c>
      <c r="C162" s="17" t="s">
        <v>65</v>
      </c>
    </row>
    <row r="163" spans="1:3">
      <c r="A163" t="s">
        <v>117</v>
      </c>
      <c r="B163" s="16" t="s">
        <v>273</v>
      </c>
      <c r="C163" s="17" t="s">
        <v>65</v>
      </c>
    </row>
    <row r="164" spans="1:3">
      <c r="A164" t="s">
        <v>117</v>
      </c>
      <c r="B164" s="16" t="s">
        <v>274</v>
      </c>
      <c r="C164" s="17" t="s">
        <v>65</v>
      </c>
    </row>
    <row r="165" spans="1:3">
      <c r="A165" t="s">
        <v>119</v>
      </c>
      <c r="B165" s="16" t="s">
        <v>275</v>
      </c>
      <c r="C165" s="17" t="s">
        <v>69</v>
      </c>
    </row>
    <row r="166" spans="1:3">
      <c r="A166" t="s">
        <v>117</v>
      </c>
      <c r="B166" s="16" t="s">
        <v>276</v>
      </c>
      <c r="C166" s="17" t="s">
        <v>65</v>
      </c>
    </row>
    <row r="167" spans="1:3">
      <c r="A167" t="s">
        <v>117</v>
      </c>
      <c r="B167" s="16" t="s">
        <v>277</v>
      </c>
      <c r="C167" s="17" t="s">
        <v>65</v>
      </c>
    </row>
    <row r="168" spans="1:3">
      <c r="A168" t="s">
        <v>117</v>
      </c>
      <c r="B168" s="16" t="s">
        <v>278</v>
      </c>
      <c r="C168" s="17" t="s">
        <v>65</v>
      </c>
    </row>
    <row r="169" spans="1:3" ht="26.25">
      <c r="A169" t="s">
        <v>117</v>
      </c>
      <c r="B169" s="16" t="s">
        <v>279</v>
      </c>
      <c r="C169" s="17" t="s">
        <v>65</v>
      </c>
    </row>
    <row r="170" spans="1:3">
      <c r="A170" t="s">
        <v>119</v>
      </c>
      <c r="B170" s="16" t="s">
        <v>280</v>
      </c>
      <c r="C170" s="17" t="s">
        <v>69</v>
      </c>
    </row>
    <row r="171" spans="1:3">
      <c r="A171" t="s">
        <v>117</v>
      </c>
      <c r="B171" s="16" t="s">
        <v>281</v>
      </c>
      <c r="C171" s="17" t="s">
        <v>69</v>
      </c>
    </row>
    <row r="172" spans="1:3">
      <c r="A172" t="s">
        <v>119</v>
      </c>
      <c r="B172" s="16" t="s">
        <v>282</v>
      </c>
      <c r="C172" s="17" t="s">
        <v>69</v>
      </c>
    </row>
    <row r="173" spans="1:3">
      <c r="A173" t="s">
        <v>117</v>
      </c>
      <c r="B173" s="16" t="s">
        <v>283</v>
      </c>
      <c r="C173" s="17" t="s">
        <v>65</v>
      </c>
    </row>
    <row r="174" spans="1:3">
      <c r="A174" t="s">
        <v>117</v>
      </c>
      <c r="B174" s="16" t="s">
        <v>284</v>
      </c>
      <c r="C174" s="17" t="s">
        <v>65</v>
      </c>
    </row>
    <row r="175" spans="1:3">
      <c r="A175" t="s">
        <v>117</v>
      </c>
      <c r="B175" s="16" t="s">
        <v>285</v>
      </c>
      <c r="C175" s="17" t="s">
        <v>65</v>
      </c>
    </row>
    <row r="176" spans="1:3">
      <c r="A176" t="s">
        <v>119</v>
      </c>
      <c r="B176" s="18" t="s">
        <v>286</v>
      </c>
      <c r="C176" s="17" t="s">
        <v>69</v>
      </c>
    </row>
    <row r="177" spans="1:3">
      <c r="A177" t="s">
        <v>117</v>
      </c>
      <c r="B177" s="16" t="s">
        <v>85</v>
      </c>
      <c r="C177" s="17" t="s">
        <v>65</v>
      </c>
    </row>
    <row r="178" spans="1:3">
      <c r="A178" t="s">
        <v>117</v>
      </c>
      <c r="B178" s="16" t="s">
        <v>287</v>
      </c>
      <c r="C178" s="17" t="s">
        <v>65</v>
      </c>
    </row>
    <row r="179" spans="1:3">
      <c r="A179" t="s">
        <v>119</v>
      </c>
      <c r="B179" s="16" t="s">
        <v>288</v>
      </c>
      <c r="C179" s="17" t="s">
        <v>65</v>
      </c>
    </row>
    <row r="180" spans="1:3">
      <c r="A180" t="s">
        <v>119</v>
      </c>
      <c r="B180" s="16" t="s">
        <v>289</v>
      </c>
      <c r="C180" s="17" t="s">
        <v>65</v>
      </c>
    </row>
    <row r="181" spans="1:3">
      <c r="A181" t="s">
        <v>119</v>
      </c>
      <c r="B181" s="16" t="s">
        <v>290</v>
      </c>
      <c r="C181" s="17" t="s">
        <v>69</v>
      </c>
    </row>
    <row r="182" spans="1:3">
      <c r="A182" t="s">
        <v>119</v>
      </c>
      <c r="B182" s="16" t="s">
        <v>291</v>
      </c>
      <c r="C182" s="17" t="s">
        <v>69</v>
      </c>
    </row>
    <row r="183" spans="1:3">
      <c r="A183" t="s">
        <v>119</v>
      </c>
      <c r="B183" s="18" t="s">
        <v>292</v>
      </c>
      <c r="C183" s="17" t="s">
        <v>65</v>
      </c>
    </row>
    <row r="184" spans="1:3">
      <c r="A184" t="s">
        <v>119</v>
      </c>
      <c r="B184" s="16" t="s">
        <v>293</v>
      </c>
      <c r="C184" s="17" t="s">
        <v>65</v>
      </c>
    </row>
    <row r="185" spans="1:3" ht="26.25">
      <c r="A185" t="s">
        <v>117</v>
      </c>
      <c r="B185" s="16" t="s">
        <v>294</v>
      </c>
      <c r="C185" s="17" t="s">
        <v>65</v>
      </c>
    </row>
    <row r="186" spans="1:3">
      <c r="A186" t="s">
        <v>117</v>
      </c>
      <c r="B186" s="16" t="s">
        <v>295</v>
      </c>
      <c r="C186" s="17" t="s">
        <v>65</v>
      </c>
    </row>
    <row r="187" spans="1:3">
      <c r="A187" t="s">
        <v>117</v>
      </c>
      <c r="B187" s="16" t="s">
        <v>296</v>
      </c>
      <c r="C187" s="17" t="s">
        <v>69</v>
      </c>
    </row>
    <row r="188" spans="1:3">
      <c r="A188" t="s">
        <v>117</v>
      </c>
      <c r="B188" s="16" t="s">
        <v>297</v>
      </c>
      <c r="C188" s="17" t="s">
        <v>69</v>
      </c>
    </row>
    <row r="189" spans="1:3">
      <c r="A189" t="s">
        <v>119</v>
      </c>
      <c r="B189" s="16" t="s">
        <v>298</v>
      </c>
      <c r="C189" s="17" t="s">
        <v>65</v>
      </c>
    </row>
    <row r="190" spans="1:3">
      <c r="A190" t="s">
        <v>117</v>
      </c>
      <c r="B190" s="16" t="s">
        <v>299</v>
      </c>
      <c r="C190" s="17" t="s">
        <v>65</v>
      </c>
    </row>
    <row r="191" spans="1:3">
      <c r="A191" t="s">
        <v>119</v>
      </c>
      <c r="B191" s="16" t="s">
        <v>300</v>
      </c>
      <c r="C191" s="17" t="s">
        <v>65</v>
      </c>
    </row>
    <row r="192" spans="1:3">
      <c r="A192" t="s">
        <v>119</v>
      </c>
      <c r="B192" s="16" t="s">
        <v>301</v>
      </c>
      <c r="C192" s="17" t="s">
        <v>65</v>
      </c>
    </row>
    <row r="193" spans="1:3">
      <c r="A193" t="s">
        <v>117</v>
      </c>
      <c r="B193" s="16" t="s">
        <v>302</v>
      </c>
      <c r="C193" s="17" t="s">
        <v>65</v>
      </c>
    </row>
    <row r="194" spans="1:3">
      <c r="A194" t="s">
        <v>117</v>
      </c>
      <c r="B194" s="16" t="s">
        <v>303</v>
      </c>
      <c r="C194" s="17" t="s">
        <v>65</v>
      </c>
    </row>
    <row r="195" spans="1:3">
      <c r="A195" t="s">
        <v>119</v>
      </c>
      <c r="B195" s="16" t="s">
        <v>304</v>
      </c>
      <c r="C195" s="17" t="s">
        <v>69</v>
      </c>
    </row>
    <row r="196" spans="1:3">
      <c r="A196" t="s">
        <v>117</v>
      </c>
      <c r="B196" s="16" t="s">
        <v>305</v>
      </c>
      <c r="C196" s="17" t="s">
        <v>69</v>
      </c>
    </row>
    <row r="197" spans="1:3">
      <c r="A197" t="s">
        <v>117</v>
      </c>
      <c r="B197" s="16" t="s">
        <v>306</v>
      </c>
      <c r="C197" s="17" t="s">
        <v>69</v>
      </c>
    </row>
    <row r="198" spans="1:3">
      <c r="A198" t="s">
        <v>119</v>
      </c>
      <c r="B198" s="16" t="s">
        <v>307</v>
      </c>
      <c r="C198" s="17" t="s">
        <v>69</v>
      </c>
    </row>
    <row r="199" spans="1:3">
      <c r="A199" t="s">
        <v>119</v>
      </c>
      <c r="B199" s="16" t="s">
        <v>307</v>
      </c>
      <c r="C199" s="17" t="s">
        <v>69</v>
      </c>
    </row>
    <row r="200" spans="1:3">
      <c r="A200" t="s">
        <v>119</v>
      </c>
      <c r="B200" s="16" t="s">
        <v>308</v>
      </c>
      <c r="C200" s="17" t="s">
        <v>69</v>
      </c>
    </row>
    <row r="201" spans="1:3">
      <c r="A201" t="s">
        <v>117</v>
      </c>
      <c r="B201" s="16" t="s">
        <v>309</v>
      </c>
      <c r="C201" s="17" t="s">
        <v>69</v>
      </c>
    </row>
    <row r="202" spans="1:3">
      <c r="A202" t="s">
        <v>119</v>
      </c>
      <c r="B202" s="16" t="s">
        <v>310</v>
      </c>
      <c r="C202" s="17" t="s">
        <v>65</v>
      </c>
    </row>
    <row r="203" spans="1:3" ht="26.25">
      <c r="A203" t="s">
        <v>119</v>
      </c>
      <c r="B203" s="16" t="s">
        <v>311</v>
      </c>
      <c r="C203" s="17" t="s">
        <v>65</v>
      </c>
    </row>
    <row r="204" spans="1:3">
      <c r="A204" t="s">
        <v>117</v>
      </c>
      <c r="B204" s="16" t="s">
        <v>312</v>
      </c>
      <c r="C204" s="17" t="s">
        <v>69</v>
      </c>
    </row>
    <row r="205" spans="1:3">
      <c r="A205" t="s">
        <v>117</v>
      </c>
      <c r="B205" s="16" t="s">
        <v>313</v>
      </c>
      <c r="C205" s="17" t="s">
        <v>69</v>
      </c>
    </row>
    <row r="206" spans="1:3">
      <c r="A206" t="s">
        <v>117</v>
      </c>
      <c r="B206" s="16" t="s">
        <v>314</v>
      </c>
      <c r="C206" s="17" t="s">
        <v>69</v>
      </c>
    </row>
    <row r="207" spans="1:3">
      <c r="A207" t="s">
        <v>117</v>
      </c>
      <c r="B207" s="16" t="s">
        <v>315</v>
      </c>
      <c r="C207" s="17" t="s">
        <v>69</v>
      </c>
    </row>
    <row r="208" spans="1:3" ht="26.25">
      <c r="A208" t="s">
        <v>117</v>
      </c>
      <c r="B208" s="16" t="s">
        <v>316</v>
      </c>
      <c r="C208" s="17" t="s">
        <v>65</v>
      </c>
    </row>
    <row r="209" spans="1:3">
      <c r="A209" t="s">
        <v>119</v>
      </c>
      <c r="B209" s="16" t="s">
        <v>317</v>
      </c>
      <c r="C209" s="17" t="s">
        <v>69</v>
      </c>
    </row>
    <row r="210" spans="1:3">
      <c r="A210" t="s">
        <v>119</v>
      </c>
      <c r="B210" s="16" t="s">
        <v>318</v>
      </c>
      <c r="C210" s="17" t="s">
        <v>69</v>
      </c>
    </row>
    <row r="211" spans="1:3">
      <c r="A211" t="s">
        <v>117</v>
      </c>
      <c r="B211" s="16" t="s">
        <v>319</v>
      </c>
      <c r="C211" s="17" t="s">
        <v>65</v>
      </c>
    </row>
    <row r="212" spans="1:3" ht="26.25">
      <c r="A212" t="s">
        <v>119</v>
      </c>
      <c r="B212" s="16" t="s">
        <v>320</v>
      </c>
      <c r="C212" s="17" t="s">
        <v>69</v>
      </c>
    </row>
    <row r="213" spans="1:3">
      <c r="A213" t="s">
        <v>117</v>
      </c>
      <c r="B213" s="16" t="s">
        <v>321</v>
      </c>
      <c r="C213" s="17" t="s">
        <v>69</v>
      </c>
    </row>
    <row r="214" spans="1:3">
      <c r="A214" t="s">
        <v>117</v>
      </c>
      <c r="B214" s="16" t="s">
        <v>322</v>
      </c>
      <c r="C214" s="17" t="s">
        <v>69</v>
      </c>
    </row>
    <row r="215" spans="1:3">
      <c r="A215" t="s">
        <v>119</v>
      </c>
      <c r="B215" s="16" t="s">
        <v>323</v>
      </c>
      <c r="C215" s="17" t="s">
        <v>65</v>
      </c>
    </row>
    <row r="216" spans="1:3">
      <c r="A216" t="s">
        <v>117</v>
      </c>
      <c r="B216" s="16" t="s">
        <v>324</v>
      </c>
      <c r="C216" s="17" t="s">
        <v>69</v>
      </c>
    </row>
    <row r="217" spans="1:3">
      <c r="A217" t="s">
        <v>119</v>
      </c>
      <c r="B217" s="16" t="s">
        <v>325</v>
      </c>
      <c r="C217" s="17" t="s">
        <v>69</v>
      </c>
    </row>
    <row r="218" spans="1:3">
      <c r="A218" t="s">
        <v>117</v>
      </c>
      <c r="B218" s="16" t="s">
        <v>326</v>
      </c>
      <c r="C218" s="17" t="s">
        <v>69</v>
      </c>
    </row>
    <row r="219" spans="1:3">
      <c r="A219" t="s">
        <v>119</v>
      </c>
      <c r="B219" s="16" t="s">
        <v>327</v>
      </c>
      <c r="C219" s="17" t="s">
        <v>69</v>
      </c>
    </row>
    <row r="220" spans="1:3">
      <c r="A220" t="s">
        <v>117</v>
      </c>
      <c r="B220" s="16" t="s">
        <v>328</v>
      </c>
      <c r="C220" s="17" t="s">
        <v>69</v>
      </c>
    </row>
    <row r="221" spans="1:3">
      <c r="A221" t="s">
        <v>119</v>
      </c>
      <c r="B221" s="16" t="s">
        <v>329</v>
      </c>
      <c r="C221" s="17" t="s">
        <v>65</v>
      </c>
    </row>
    <row r="222" spans="1:3">
      <c r="A222" t="s">
        <v>117</v>
      </c>
      <c r="B222" s="16" t="s">
        <v>330</v>
      </c>
      <c r="C222" s="17" t="s">
        <v>65</v>
      </c>
    </row>
    <row r="223" spans="1:3">
      <c r="A223" t="s">
        <v>117</v>
      </c>
      <c r="B223" s="16" t="s">
        <v>331</v>
      </c>
      <c r="C223" s="17" t="s">
        <v>65</v>
      </c>
    </row>
    <row r="224" spans="1:3" ht="15" customHeight="1">
      <c r="A224" t="s">
        <v>119</v>
      </c>
      <c r="B224" s="16" t="s">
        <v>332</v>
      </c>
      <c r="C224" s="17" t="s">
        <v>65</v>
      </c>
    </row>
    <row r="225" spans="1:3" ht="15" customHeight="1">
      <c r="A225" t="s">
        <v>117</v>
      </c>
      <c r="B225" s="16" t="s">
        <v>333</v>
      </c>
      <c r="C225" s="17" t="s">
        <v>65</v>
      </c>
    </row>
    <row r="226" spans="1:3" ht="15" customHeight="1">
      <c r="A226" t="s">
        <v>117</v>
      </c>
      <c r="B226" s="16" t="s">
        <v>334</v>
      </c>
      <c r="C226" s="17" t="s">
        <v>65</v>
      </c>
    </row>
    <row r="227" spans="1:3" ht="15" customHeight="1">
      <c r="A227" t="s">
        <v>119</v>
      </c>
      <c r="B227" s="16" t="s">
        <v>335</v>
      </c>
      <c r="C227" s="17" t="s">
        <v>69</v>
      </c>
    </row>
    <row r="228" spans="1:3" ht="15" customHeight="1">
      <c r="A228" t="s">
        <v>119</v>
      </c>
      <c r="B228" s="18" t="s">
        <v>336</v>
      </c>
      <c r="C228" s="17" t="s">
        <v>65</v>
      </c>
    </row>
    <row r="229" spans="1:3" ht="15" customHeight="1">
      <c r="A229" t="s">
        <v>117</v>
      </c>
      <c r="B229" s="16" t="s">
        <v>337</v>
      </c>
      <c r="C229" s="17" t="s">
        <v>69</v>
      </c>
    </row>
    <row r="230" spans="1:3" ht="15" customHeight="1">
      <c r="A230" t="s">
        <v>117</v>
      </c>
      <c r="B230" s="16" t="s">
        <v>338</v>
      </c>
      <c r="C230" s="17" t="s">
        <v>69</v>
      </c>
    </row>
    <row r="231" spans="1:3" ht="15" customHeight="1">
      <c r="A231" t="s">
        <v>119</v>
      </c>
      <c r="B231" s="16" t="s">
        <v>339</v>
      </c>
      <c r="C231" s="17" t="s">
        <v>69</v>
      </c>
    </row>
    <row r="232" spans="1:3" ht="15" customHeight="1">
      <c r="A232" t="s">
        <v>119</v>
      </c>
      <c r="B232" s="16" t="s">
        <v>340</v>
      </c>
      <c r="C232" s="17" t="s">
        <v>69</v>
      </c>
    </row>
    <row r="233" spans="1:3" ht="15" customHeight="1">
      <c r="A233" t="s">
        <v>117</v>
      </c>
      <c r="B233" s="16" t="s">
        <v>341</v>
      </c>
      <c r="C233" s="17" t="s">
        <v>69</v>
      </c>
    </row>
    <row r="234" spans="1:3">
      <c r="A234" t="s">
        <v>119</v>
      </c>
      <c r="B234" s="16" t="s">
        <v>342</v>
      </c>
      <c r="C234" s="17" t="s">
        <v>69</v>
      </c>
    </row>
    <row r="235" spans="1:3">
      <c r="A235" t="s">
        <v>117</v>
      </c>
      <c r="B235" s="16" t="s">
        <v>343</v>
      </c>
      <c r="C235" s="17" t="s">
        <v>69</v>
      </c>
    </row>
    <row r="236" spans="1:3">
      <c r="A236" t="s">
        <v>117</v>
      </c>
      <c r="B236" s="16" t="s">
        <v>344</v>
      </c>
      <c r="C236" s="17" t="s">
        <v>69</v>
      </c>
    </row>
    <row r="237" spans="1:3">
      <c r="A237" t="s">
        <v>119</v>
      </c>
      <c r="B237" s="16" t="s">
        <v>345</v>
      </c>
      <c r="C237" s="17" t="s">
        <v>69</v>
      </c>
    </row>
    <row r="238" spans="1:3">
      <c r="A238" t="s">
        <v>117</v>
      </c>
      <c r="B238" s="16" t="s">
        <v>346</v>
      </c>
      <c r="C238" s="17" t="s">
        <v>69</v>
      </c>
    </row>
    <row r="239" spans="1:3">
      <c r="A239" t="s">
        <v>117</v>
      </c>
      <c r="B239" s="16" t="s">
        <v>347</v>
      </c>
      <c r="C239" s="17" t="s">
        <v>69</v>
      </c>
    </row>
    <row r="240" spans="1:3">
      <c r="A240" t="s">
        <v>119</v>
      </c>
      <c r="B240" s="16" t="s">
        <v>348</v>
      </c>
      <c r="C240" s="17" t="s">
        <v>65</v>
      </c>
    </row>
    <row r="241" spans="1:3">
      <c r="A241" t="s">
        <v>119</v>
      </c>
      <c r="B241" s="16" t="s">
        <v>349</v>
      </c>
      <c r="C241" s="17" t="s">
        <v>69</v>
      </c>
    </row>
    <row r="242" spans="1:3">
      <c r="A242" t="s">
        <v>119</v>
      </c>
      <c r="B242" s="16" t="s">
        <v>350</v>
      </c>
      <c r="C242" s="17" t="s">
        <v>69</v>
      </c>
    </row>
    <row r="243" spans="1:3">
      <c r="A243" t="s">
        <v>117</v>
      </c>
      <c r="B243" s="16" t="s">
        <v>351</v>
      </c>
      <c r="C243" s="17" t="s">
        <v>65</v>
      </c>
    </row>
    <row r="244" spans="1:3">
      <c r="A244" t="s">
        <v>117</v>
      </c>
      <c r="B244" s="16" t="s">
        <v>352</v>
      </c>
      <c r="C244" s="17" t="s">
        <v>65</v>
      </c>
    </row>
    <row r="245" spans="1:3">
      <c r="A245" t="s">
        <v>119</v>
      </c>
      <c r="B245" s="16" t="s">
        <v>77</v>
      </c>
      <c r="C245" s="17" t="s">
        <v>65</v>
      </c>
    </row>
    <row r="246" spans="1:3">
      <c r="A246" t="s">
        <v>119</v>
      </c>
      <c r="B246" s="16" t="s">
        <v>353</v>
      </c>
      <c r="C246" s="17" t="s">
        <v>65</v>
      </c>
    </row>
    <row r="247" spans="1:3">
      <c r="A247" t="s">
        <v>117</v>
      </c>
      <c r="B247" s="16" t="s">
        <v>354</v>
      </c>
      <c r="C247" s="17" t="s">
        <v>69</v>
      </c>
    </row>
    <row r="248" spans="1:3">
      <c r="A248" t="s">
        <v>117</v>
      </c>
      <c r="B248" s="16" t="s">
        <v>355</v>
      </c>
      <c r="C248" s="17" t="s">
        <v>69</v>
      </c>
    </row>
    <row r="249" spans="1:3">
      <c r="A249" t="s">
        <v>117</v>
      </c>
      <c r="B249" s="16" t="s">
        <v>356</v>
      </c>
      <c r="C249" s="17" t="s">
        <v>69</v>
      </c>
    </row>
    <row r="250" spans="1:3">
      <c r="A250" t="s">
        <v>117</v>
      </c>
      <c r="B250" s="16" t="s">
        <v>357</v>
      </c>
      <c r="C250" s="17" t="s">
        <v>69</v>
      </c>
    </row>
    <row r="251" spans="1:3">
      <c r="A251" t="s">
        <v>119</v>
      </c>
      <c r="B251" s="16" t="s">
        <v>358</v>
      </c>
      <c r="C251" s="17" t="s">
        <v>69</v>
      </c>
    </row>
    <row r="252" spans="1:3">
      <c r="A252" t="s">
        <v>119</v>
      </c>
      <c r="B252" s="16" t="s">
        <v>359</v>
      </c>
      <c r="C252" s="17" t="s">
        <v>69</v>
      </c>
    </row>
    <row r="253" spans="1:3">
      <c r="B253" s="16" t="s">
        <v>360</v>
      </c>
      <c r="C253" s="17" t="s">
        <v>69</v>
      </c>
    </row>
    <row r="254" spans="1:3">
      <c r="A254" t="s">
        <v>117</v>
      </c>
      <c r="B254" s="16" t="s">
        <v>361</v>
      </c>
      <c r="C254" s="17" t="s">
        <v>69</v>
      </c>
    </row>
    <row r="255" spans="1:3">
      <c r="A255" t="s">
        <v>117</v>
      </c>
      <c r="B255" s="16" t="s">
        <v>362</v>
      </c>
      <c r="C255" s="17" t="s">
        <v>69</v>
      </c>
    </row>
    <row r="256" spans="1:3">
      <c r="A256" t="s">
        <v>119</v>
      </c>
      <c r="B256" s="16" t="s">
        <v>363</v>
      </c>
      <c r="C256" s="17" t="s">
        <v>69</v>
      </c>
    </row>
    <row r="257" spans="1:3">
      <c r="A257" t="s">
        <v>117</v>
      </c>
      <c r="B257" s="16" t="s">
        <v>364</v>
      </c>
      <c r="C257" s="17" t="s">
        <v>69</v>
      </c>
    </row>
    <row r="258" spans="1:3">
      <c r="A258" t="s">
        <v>117</v>
      </c>
      <c r="B258" s="16" t="s">
        <v>365</v>
      </c>
      <c r="C258" s="17" t="s">
        <v>69</v>
      </c>
    </row>
    <row r="259" spans="1:3">
      <c r="A259" t="s">
        <v>119</v>
      </c>
      <c r="B259" s="16" t="s">
        <v>366</v>
      </c>
      <c r="C259" s="17" t="s">
        <v>69</v>
      </c>
    </row>
    <row r="260" spans="1:3">
      <c r="A260" t="s">
        <v>117</v>
      </c>
      <c r="B260" s="16" t="s">
        <v>367</v>
      </c>
      <c r="C260" s="17" t="s">
        <v>69</v>
      </c>
    </row>
    <row r="261" spans="1:3">
      <c r="A261" t="s">
        <v>117</v>
      </c>
      <c r="B261" s="16" t="s">
        <v>368</v>
      </c>
      <c r="C261" s="17" t="s">
        <v>69</v>
      </c>
    </row>
    <row r="262" spans="1:3">
      <c r="A262" t="s">
        <v>117</v>
      </c>
      <c r="B262" s="16" t="s">
        <v>369</v>
      </c>
      <c r="C262" s="17" t="s">
        <v>69</v>
      </c>
    </row>
    <row r="263" spans="1:3">
      <c r="A263" t="s">
        <v>119</v>
      </c>
      <c r="B263" s="16" t="s">
        <v>370</v>
      </c>
      <c r="C263" s="17" t="s">
        <v>69</v>
      </c>
    </row>
    <row r="264" spans="1:3" ht="15" customHeight="1">
      <c r="A264" t="s">
        <v>117</v>
      </c>
      <c r="B264" s="16" t="s">
        <v>371</v>
      </c>
      <c r="C264" s="17" t="s">
        <v>69</v>
      </c>
    </row>
    <row r="265" spans="1:3" ht="15" customHeight="1">
      <c r="A265" t="s">
        <v>119</v>
      </c>
      <c r="B265" s="16" t="s">
        <v>372</v>
      </c>
      <c r="C265" s="17" t="s">
        <v>69</v>
      </c>
    </row>
    <row r="266" spans="1:3" ht="15" customHeight="1">
      <c r="A266" t="s">
        <v>117</v>
      </c>
      <c r="B266" s="16" t="s">
        <v>373</v>
      </c>
      <c r="C266" s="17" t="s">
        <v>65</v>
      </c>
    </row>
    <row r="267" spans="1:3">
      <c r="A267" t="s">
        <v>119</v>
      </c>
      <c r="B267" s="16" t="s">
        <v>374</v>
      </c>
      <c r="C267" s="17" t="s">
        <v>69</v>
      </c>
    </row>
    <row r="268" spans="1:3">
      <c r="A268" t="s">
        <v>119</v>
      </c>
      <c r="B268" s="16" t="s">
        <v>375</v>
      </c>
      <c r="C268" s="17" t="s">
        <v>65</v>
      </c>
    </row>
    <row r="269" spans="1:3">
      <c r="A269" t="s">
        <v>119</v>
      </c>
      <c r="B269" s="16" t="s">
        <v>376</v>
      </c>
      <c r="C269" s="17" t="s">
        <v>65</v>
      </c>
    </row>
    <row r="270" spans="1:3">
      <c r="A270" t="s">
        <v>119</v>
      </c>
      <c r="B270" s="16" t="s">
        <v>377</v>
      </c>
      <c r="C270" s="17" t="s">
        <v>65</v>
      </c>
    </row>
    <row r="271" spans="1:3">
      <c r="A271" t="s">
        <v>119</v>
      </c>
      <c r="B271" s="16" t="s">
        <v>378</v>
      </c>
      <c r="C271" s="17" t="s">
        <v>65</v>
      </c>
    </row>
    <row r="272" spans="1:3">
      <c r="A272" t="s">
        <v>119</v>
      </c>
      <c r="B272" s="16" t="s">
        <v>379</v>
      </c>
      <c r="C272" s="17" t="s">
        <v>69</v>
      </c>
    </row>
    <row r="273" spans="1:3">
      <c r="A273" t="s">
        <v>119</v>
      </c>
      <c r="B273" s="16" t="s">
        <v>380</v>
      </c>
      <c r="C273" s="17" t="s">
        <v>65</v>
      </c>
    </row>
    <row r="274" spans="1:3">
      <c r="A274" t="s">
        <v>119</v>
      </c>
      <c r="B274" s="16" t="s">
        <v>381</v>
      </c>
      <c r="C274" s="17" t="s">
        <v>65</v>
      </c>
    </row>
    <row r="275" spans="1:3">
      <c r="A275" t="s">
        <v>119</v>
      </c>
      <c r="B275" s="16" t="s">
        <v>382</v>
      </c>
      <c r="C275" s="17" t="s">
        <v>65</v>
      </c>
    </row>
    <row r="276" spans="1:3">
      <c r="A276" t="s">
        <v>119</v>
      </c>
      <c r="B276" s="16" t="s">
        <v>383</v>
      </c>
      <c r="C276" s="17" t="s">
        <v>69</v>
      </c>
    </row>
    <row r="277" spans="1:3">
      <c r="A277" t="s">
        <v>119</v>
      </c>
      <c r="B277" s="16" t="s">
        <v>384</v>
      </c>
      <c r="C277" s="17" t="s">
        <v>69</v>
      </c>
    </row>
    <row r="278" spans="1:3">
      <c r="A278" t="s">
        <v>119</v>
      </c>
      <c r="B278" s="16" t="s">
        <v>385</v>
      </c>
      <c r="C278" s="17" t="s">
        <v>65</v>
      </c>
    </row>
    <row r="279" spans="1:3">
      <c r="A279" t="s">
        <v>119</v>
      </c>
      <c r="B279" s="16" t="s">
        <v>386</v>
      </c>
      <c r="C279" s="17" t="s">
        <v>65</v>
      </c>
    </row>
    <row r="280" spans="1:3">
      <c r="A280" t="s">
        <v>119</v>
      </c>
      <c r="B280" s="16" t="s">
        <v>387</v>
      </c>
      <c r="C280" s="17" t="s">
        <v>65</v>
      </c>
    </row>
    <row r="281" spans="1:3">
      <c r="B281" s="19"/>
      <c r="C281" s="19"/>
    </row>
    <row r="282" spans="1:3">
      <c r="B282" s="19"/>
      <c r="C282" s="19"/>
    </row>
    <row r="283" spans="1:3">
      <c r="B283" s="19"/>
      <c r="C283" s="19"/>
    </row>
    <row r="284" spans="1:3">
      <c r="B284" s="19"/>
      <c r="C284" s="19"/>
    </row>
    <row r="285" spans="1:3">
      <c r="B285" s="19"/>
      <c r="C285" s="19"/>
    </row>
    <row r="286" spans="1:3">
      <c r="B286" s="19"/>
      <c r="C286" s="19"/>
    </row>
    <row r="287" spans="1:3">
      <c r="B287" s="19"/>
      <c r="C287" s="19"/>
    </row>
    <row r="288" spans="1:3">
      <c r="B288" s="19"/>
      <c r="C288" s="19"/>
    </row>
    <row r="289" spans="2:3">
      <c r="B289" s="19"/>
      <c r="C289" s="19"/>
    </row>
    <row r="290" spans="2:3">
      <c r="B290" s="19"/>
      <c r="C290" s="19"/>
    </row>
    <row r="291" spans="2:3">
      <c r="B291" s="19"/>
      <c r="C291" s="19"/>
    </row>
    <row r="292" spans="2:3">
      <c r="B292" s="19"/>
      <c r="C292" s="19"/>
    </row>
    <row r="293" spans="2:3">
      <c r="B293" s="19"/>
      <c r="C293" s="19"/>
    </row>
    <row r="294" spans="2:3">
      <c r="B294" s="19"/>
      <c r="C294" s="19"/>
    </row>
    <row r="295" spans="2:3">
      <c r="B295" s="19"/>
      <c r="C295" s="19"/>
    </row>
    <row r="296" spans="2:3">
      <c r="B296" s="19"/>
      <c r="C296" s="19"/>
    </row>
    <row r="297" spans="2:3">
      <c r="B297" s="19"/>
      <c r="C297" s="19"/>
    </row>
    <row r="298" spans="2:3">
      <c r="B298" s="19"/>
      <c r="C298" s="19"/>
    </row>
    <row r="299" spans="2:3">
      <c r="B299" s="19"/>
      <c r="C299" s="19"/>
    </row>
    <row r="300" spans="2:3">
      <c r="B300" s="19"/>
      <c r="C300" s="19"/>
    </row>
    <row r="301" spans="2:3">
      <c r="B301" s="19"/>
      <c r="C301" s="19"/>
    </row>
    <row r="302" spans="2:3">
      <c r="B302" s="19"/>
      <c r="C302" s="19"/>
    </row>
    <row r="303" spans="2:3">
      <c r="B303" s="19"/>
      <c r="C303" s="19"/>
    </row>
    <row r="304" spans="2:3">
      <c r="B304" s="19"/>
      <c r="C304" s="19"/>
    </row>
    <row r="305" spans="2:3">
      <c r="B305" s="19"/>
      <c r="C305" s="19"/>
    </row>
    <row r="306" spans="2:3">
      <c r="B306" s="19"/>
      <c r="C306" s="19"/>
    </row>
    <row r="307" spans="2:3">
      <c r="B307" s="19"/>
      <c r="C307" s="19"/>
    </row>
    <row r="308" spans="2:3">
      <c r="B308" s="19"/>
      <c r="C308" s="19"/>
    </row>
    <row r="309" spans="2:3">
      <c r="B309" s="19"/>
      <c r="C309" s="19"/>
    </row>
    <row r="310" spans="2:3">
      <c r="B310" s="19"/>
      <c r="C310" s="19"/>
    </row>
    <row r="311" spans="2:3">
      <c r="B311" s="19"/>
      <c r="C311" s="19"/>
    </row>
    <row r="312" spans="2:3">
      <c r="B312" s="19"/>
      <c r="C312" s="19"/>
    </row>
    <row r="313" spans="2:3">
      <c r="B313" s="19"/>
      <c r="C313" s="19"/>
    </row>
    <row r="314" spans="2:3">
      <c r="B314" s="19"/>
      <c r="C314" s="19"/>
    </row>
    <row r="315" spans="2:3">
      <c r="B315" s="19"/>
      <c r="C315" s="19"/>
    </row>
    <row r="316" spans="2:3">
      <c r="B316" s="19"/>
      <c r="C316" s="19"/>
    </row>
    <row r="317" spans="2:3">
      <c r="B317" s="19"/>
      <c r="C317" s="19"/>
    </row>
    <row r="318" spans="2:3">
      <c r="B318" s="19"/>
      <c r="C318" s="19"/>
    </row>
    <row r="319" spans="2:3">
      <c r="B319" s="19"/>
      <c r="C319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Alejandro Gamboa Moreno</dc:creator>
  <cp:keywords/>
  <dc:description/>
  <cp:lastModifiedBy>Daniela Valdes Torres</cp:lastModifiedBy>
  <cp:revision/>
  <dcterms:created xsi:type="dcterms:W3CDTF">2019-10-24T19:32:28Z</dcterms:created>
  <dcterms:modified xsi:type="dcterms:W3CDTF">2024-07-19T16:54:34Z</dcterms:modified>
  <cp:category/>
  <cp:contentStatus/>
</cp:coreProperties>
</file>