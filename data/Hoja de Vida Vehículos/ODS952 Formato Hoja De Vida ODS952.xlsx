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AUDITORIA\"/>
    </mc:Choice>
  </mc:AlternateContent>
  <xr:revisionPtr revIDLastSave="727" documentId="11_8750CA22C7DA3F14D47852117C5DFFD8124BB4B2" xr6:coauthVersionLast="47" xr6:coauthVersionMax="47" xr10:uidLastSave="{8116254B-236E-4786-AFBB-80A27D8A77CE}"/>
  <bookViews>
    <workbookView xWindow="0" yWindow="0" windowWidth="20490" windowHeight="6930" xr2:uid="{00000000-000D-0000-FFFF-FFFF00000000}"/>
  </bookViews>
  <sheets>
    <sheet name="ODS952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" i="2" l="1"/>
  <c r="X43" i="2"/>
  <c r="T43" i="2"/>
  <c r="U43" i="2" s="1"/>
  <c r="V43" i="2" s="1"/>
  <c r="T44" i="2"/>
  <c r="U44" i="2" s="1"/>
  <c r="V44" i="2" s="1"/>
  <c r="T45" i="2"/>
  <c r="U45" i="2" s="1"/>
  <c r="V45" i="2" s="1"/>
  <c r="T46" i="2"/>
  <c r="U46" i="2" s="1"/>
  <c r="V46" i="2" s="1"/>
  <c r="T47" i="2"/>
  <c r="U47" i="2" s="1"/>
  <c r="V47" i="2" s="1"/>
  <c r="T48" i="2"/>
  <c r="U48" i="2" s="1"/>
  <c r="V48" i="2" s="1"/>
  <c r="T49" i="2"/>
  <c r="U49" i="2" s="1"/>
  <c r="V49" i="2" s="1"/>
  <c r="T50" i="2"/>
  <c r="U50" i="2" s="1"/>
  <c r="V50" i="2" s="1"/>
  <c r="T51" i="2"/>
  <c r="U51" i="2" s="1"/>
  <c r="V51" i="2" s="1"/>
  <c r="T52" i="2"/>
  <c r="U52" i="2" s="1"/>
  <c r="V52" i="2" s="1"/>
  <c r="T53" i="2"/>
  <c r="U53" i="2" s="1"/>
  <c r="V53" i="2" s="1"/>
  <c r="T54" i="2"/>
  <c r="U54" i="2" s="1"/>
  <c r="V54" i="2" s="1"/>
  <c r="T55" i="2"/>
  <c r="U55" i="2" s="1"/>
  <c r="V55" i="2" s="1"/>
  <c r="T56" i="2"/>
  <c r="U56" i="2" s="1"/>
  <c r="V56" i="2" s="1"/>
  <c r="T57" i="2"/>
  <c r="U57" i="2" s="1"/>
  <c r="V57" i="2" s="1"/>
  <c r="T58" i="2"/>
  <c r="U58" i="2" s="1"/>
  <c r="V58" i="2" s="1"/>
  <c r="T59" i="2"/>
  <c r="U59" i="2" s="1"/>
  <c r="V59" i="2" s="1"/>
  <c r="T60" i="2"/>
  <c r="U60" i="2" s="1"/>
  <c r="V60" i="2" s="1"/>
  <c r="T61" i="2"/>
  <c r="T62" i="2"/>
  <c r="P43" i="2"/>
  <c r="Q43" i="2" s="1"/>
  <c r="R43" i="2" s="1"/>
  <c r="P44" i="2"/>
  <c r="Q44" i="2" s="1"/>
  <c r="R44" i="2" s="1"/>
  <c r="P45" i="2"/>
  <c r="Q45" i="2" s="1"/>
  <c r="R45" i="2" s="1"/>
  <c r="P46" i="2"/>
  <c r="Q46" i="2" s="1"/>
  <c r="R46" i="2" s="1"/>
  <c r="P47" i="2"/>
  <c r="Q47" i="2" s="1"/>
  <c r="R47" i="2" s="1"/>
  <c r="P48" i="2"/>
  <c r="Q48" i="2" s="1"/>
  <c r="R48" i="2" s="1"/>
  <c r="P49" i="2"/>
  <c r="Q49" i="2" s="1"/>
  <c r="R49" i="2" s="1"/>
  <c r="P50" i="2"/>
  <c r="Q50" i="2" s="1"/>
  <c r="R50" i="2" s="1"/>
  <c r="P51" i="2"/>
  <c r="Q51" i="2" s="1"/>
  <c r="R51" i="2" s="1"/>
  <c r="P52" i="2"/>
  <c r="Q52" i="2" s="1"/>
  <c r="R52" i="2" s="1"/>
  <c r="P53" i="2"/>
  <c r="Q53" i="2" s="1"/>
  <c r="R53" i="2" s="1"/>
  <c r="P54" i="2"/>
  <c r="Q54" i="2" s="1"/>
  <c r="R54" i="2" s="1"/>
  <c r="P55" i="2"/>
  <c r="Q55" i="2" s="1"/>
  <c r="R55" i="2" s="1"/>
  <c r="P56" i="2"/>
  <c r="Q56" i="2" s="1"/>
  <c r="R56" i="2" s="1"/>
  <c r="P57" i="2"/>
  <c r="Q57" i="2" s="1"/>
  <c r="R57" i="2" s="1"/>
  <c r="P58" i="2"/>
  <c r="Q58" i="2" s="1"/>
  <c r="R58" i="2" s="1"/>
  <c r="P59" i="2"/>
  <c r="Q59" i="2" s="1"/>
  <c r="R59" i="2" s="1"/>
  <c r="P60" i="2"/>
  <c r="Q60" i="2" s="1"/>
  <c r="R60" i="2" s="1"/>
  <c r="T42" i="2"/>
  <c r="U42" i="2" s="1"/>
  <c r="V42" i="2" s="1"/>
  <c r="P42" i="2"/>
  <c r="Q42" i="2" s="1"/>
  <c r="R42" i="2" s="1"/>
  <c r="T20" i="2"/>
  <c r="U20" i="2" s="1"/>
  <c r="V20" i="2" s="1"/>
  <c r="T21" i="2"/>
  <c r="U21" i="2" s="1"/>
  <c r="V21" i="2" s="1"/>
  <c r="T19" i="2"/>
  <c r="U19" i="2" s="1"/>
  <c r="V19" i="2" s="1"/>
  <c r="U61" i="2"/>
  <c r="V61" i="2" s="1"/>
  <c r="P61" i="2"/>
  <c r="Q61" i="2" s="1"/>
  <c r="R61" i="2" s="1"/>
  <c r="T41" i="2"/>
  <c r="U41" i="2" s="1"/>
  <c r="V41" i="2" s="1"/>
  <c r="P41" i="2"/>
  <c r="Q41" i="2" s="1"/>
  <c r="R41" i="2" s="1"/>
  <c r="T40" i="2"/>
  <c r="U40" i="2" s="1"/>
  <c r="V40" i="2" s="1"/>
  <c r="P40" i="2"/>
  <c r="Q40" i="2" s="1"/>
  <c r="R40" i="2" s="1"/>
  <c r="T39" i="2"/>
  <c r="U39" i="2" s="1"/>
  <c r="V39" i="2" s="1"/>
  <c r="P39" i="2"/>
  <c r="Q39" i="2" s="1"/>
  <c r="R39" i="2" s="1"/>
  <c r="T38" i="2"/>
  <c r="U38" i="2" s="1"/>
  <c r="V38" i="2" s="1"/>
  <c r="P38" i="2"/>
  <c r="Q38" i="2" s="1"/>
  <c r="R38" i="2" s="1"/>
  <c r="T37" i="2"/>
  <c r="U37" i="2" s="1"/>
  <c r="V37" i="2" s="1"/>
  <c r="P37" i="2"/>
  <c r="Q37" i="2" s="1"/>
  <c r="R37" i="2" s="1"/>
  <c r="T36" i="2"/>
  <c r="U36" i="2" s="1"/>
  <c r="V36" i="2" s="1"/>
  <c r="P36" i="2"/>
  <c r="Q36" i="2" s="1"/>
  <c r="R36" i="2" s="1"/>
  <c r="T35" i="2"/>
  <c r="U35" i="2" s="1"/>
  <c r="V35" i="2" s="1"/>
  <c r="P35" i="2"/>
  <c r="Q35" i="2" s="1"/>
  <c r="R35" i="2" s="1"/>
  <c r="T34" i="2"/>
  <c r="U34" i="2" s="1"/>
  <c r="V34" i="2" s="1"/>
  <c r="P34" i="2"/>
  <c r="Q34" i="2" s="1"/>
  <c r="R34" i="2" s="1"/>
  <c r="T33" i="2"/>
  <c r="U33" i="2" s="1"/>
  <c r="V33" i="2" s="1"/>
  <c r="P33" i="2"/>
  <c r="Q33" i="2" s="1"/>
  <c r="R33" i="2" s="1"/>
  <c r="T32" i="2"/>
  <c r="U32" i="2" s="1"/>
  <c r="V32" i="2" s="1"/>
  <c r="P32" i="2"/>
  <c r="Q32" i="2" s="1"/>
  <c r="R32" i="2" s="1"/>
  <c r="T31" i="2"/>
  <c r="U31" i="2" s="1"/>
  <c r="V31" i="2" s="1"/>
  <c r="P31" i="2"/>
  <c r="Q31" i="2" s="1"/>
  <c r="R31" i="2" s="1"/>
  <c r="T30" i="2"/>
  <c r="U30" i="2" s="1"/>
  <c r="V30" i="2" s="1"/>
  <c r="P30" i="2"/>
  <c r="Q30" i="2" s="1"/>
  <c r="R30" i="2" s="1"/>
  <c r="T29" i="2"/>
  <c r="U29" i="2" s="1"/>
  <c r="V29" i="2" s="1"/>
  <c r="P29" i="2"/>
  <c r="Q29" i="2" s="1"/>
  <c r="R29" i="2" s="1"/>
  <c r="T28" i="2"/>
  <c r="U28" i="2" s="1"/>
  <c r="V28" i="2" s="1"/>
  <c r="P28" i="2"/>
  <c r="Q28" i="2" s="1"/>
  <c r="R28" i="2" s="1"/>
  <c r="T27" i="2"/>
  <c r="U27" i="2" s="1"/>
  <c r="V27" i="2" s="1"/>
  <c r="P27" i="2"/>
  <c r="Q27" i="2" s="1"/>
  <c r="R27" i="2" s="1"/>
  <c r="T26" i="2"/>
  <c r="U26" i="2" s="1"/>
  <c r="V26" i="2" s="1"/>
  <c r="P26" i="2"/>
  <c r="Q26" i="2" s="1"/>
  <c r="R26" i="2" s="1"/>
  <c r="T25" i="2"/>
  <c r="U25" i="2" s="1"/>
  <c r="V25" i="2" s="1"/>
  <c r="P25" i="2"/>
  <c r="Q25" i="2" s="1"/>
  <c r="R25" i="2" s="1"/>
  <c r="T24" i="2"/>
  <c r="U24" i="2" s="1"/>
  <c r="V24" i="2" s="1"/>
  <c r="P24" i="2"/>
  <c r="R24" i="2" s="1"/>
  <c r="T23" i="2"/>
  <c r="U23" i="2" s="1"/>
  <c r="V23" i="2" s="1"/>
  <c r="P23" i="2"/>
  <c r="Q23" i="2" s="1"/>
  <c r="R23" i="2" s="1"/>
  <c r="T22" i="2"/>
  <c r="U22" i="2" s="1"/>
  <c r="V22" i="2" s="1"/>
  <c r="P22" i="2"/>
  <c r="Q22" i="2" s="1"/>
  <c r="R22" i="2" s="1"/>
  <c r="P21" i="2"/>
  <c r="R21" i="2" s="1"/>
  <c r="P20" i="2"/>
  <c r="Q20" i="2" s="1"/>
  <c r="R20" i="2" s="1"/>
  <c r="W20" i="2" s="1"/>
  <c r="P19" i="2"/>
  <c r="Q19" i="2" s="1"/>
  <c r="R19" i="2" s="1"/>
  <c r="W19" i="2" s="1"/>
  <c r="P62" i="2"/>
  <c r="Q62" i="2"/>
  <c r="R62" i="2" s="1"/>
  <c r="U62" i="2"/>
  <c r="V62" i="2" s="1"/>
  <c r="W62" i="2"/>
  <c r="P63" i="2"/>
  <c r="Q63" i="2"/>
  <c r="R63" i="2"/>
  <c r="T63" i="2"/>
  <c r="U63" i="2"/>
  <c r="V63" i="2"/>
  <c r="W63" i="2"/>
  <c r="P64" i="2"/>
  <c r="Q64" i="2"/>
  <c r="R64" i="2"/>
  <c r="T64" i="2"/>
  <c r="U64" i="2"/>
  <c r="V64" i="2"/>
  <c r="W64" i="2"/>
  <c r="P65" i="2"/>
  <c r="Q65" i="2"/>
  <c r="R65" i="2"/>
  <c r="T65" i="2"/>
  <c r="U65" i="2"/>
  <c r="V65" i="2"/>
  <c r="W65" i="2"/>
  <c r="P66" i="2"/>
  <c r="Q66" i="2"/>
  <c r="R66" i="2"/>
  <c r="T66" i="2"/>
  <c r="U66" i="2"/>
  <c r="V66" i="2"/>
  <c r="W66" i="2"/>
  <c r="W61" i="2" l="1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X42" i="2" s="1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X33" i="2" l="1"/>
  <c r="X24" i="2"/>
  <c r="X19" i="2"/>
</calcChain>
</file>

<file path=xl/sharedStrings.xml><?xml version="1.0" encoding="utf-8"?>
<sst xmlns="http://schemas.openxmlformats.org/spreadsheetml/2006/main" count="1485" uniqueCount="558">
  <si>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</si>
  <si>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</si>
  <si>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</si>
  <si>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</si>
  <si>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</si>
  <si>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</si>
  <si>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</si>
  <si>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</si>
  <si>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</si>
  <si>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</si>
  <si>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</si>
  <si>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</si>
  <si>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</si>
  <si>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</si>
  <si>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</si>
  <si>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</si>
  <si>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</si>
  <si>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</si>
  <si>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</si>
  <si>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</si>
  <si>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</si>
  <si>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ODS952</t>
  </si>
  <si>
    <t>JIMMY</t>
  </si>
  <si>
    <t>CAMPERO</t>
  </si>
  <si>
    <t>SUZUKI</t>
  </si>
  <si>
    <t>NEGRO</t>
  </si>
  <si>
    <t>M13A2339943</t>
  </si>
  <si>
    <t>JS3JB43V6E4102294</t>
  </si>
  <si>
    <t>CABINADO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</si>
  <si>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</si>
  <si>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</si>
  <si>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</si>
  <si>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</si>
  <si>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</si>
  <si>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</si>
  <si>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</si>
  <si>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</si>
  <si>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</si>
  <si>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</si>
  <si>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</si>
  <si>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DIAGNOSTICENTRO INTEGRAL AUTOMOTOR D1</t>
  </si>
  <si>
    <t>RUEDE SEGURO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</si>
  <si>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</si>
  <si>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</si>
  <si>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</si>
  <si>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</si>
  <si>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</si>
  <si>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</si>
  <si>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</si>
  <si>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</si>
  <si>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</si>
  <si>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</si>
  <si>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</si>
  <si>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</si>
  <si>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</si>
  <si>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</si>
  <si>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</si>
  <si>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</si>
  <si>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</si>
  <si>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</si>
  <si>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</si>
  <si>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</si>
  <si>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</si>
  <si>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</si>
  <si>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</si>
  <si>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CAMBIO DE ACEITE Y FILTROS (ACEITE Y AIRE), GRADUACIÓN FRENO, CAMBIO PLUMILLAS LIMPIABRISAS_x000D_</t>
  </si>
  <si>
    <t>AUTOCARS INGENIERIA SAS</t>
  </si>
  <si>
    <t>AIS 9446</t>
  </si>
  <si>
    <t>PREVENTIVO</t>
  </si>
  <si>
    <t>FILTRO DE AIRE R</t>
  </si>
  <si>
    <t>SOPORTE</t>
  </si>
  <si>
    <t>FILTRO DE ACEITE R</t>
  </si>
  <si>
    <t>ACEITE MOTOR X1 CUARTO R</t>
  </si>
  <si>
    <t>CORRECTIVO</t>
  </si>
  <si>
    <t>REVISIÓN GENERAL DE FRENOS</t>
  </si>
  <si>
    <t>ACEITE MOTOR X1 CUARTO S</t>
  </si>
  <si>
    <t>CAMBIO ACEITE DIFERENCIAL, REVISIÓN FRENOS, REVISIÓN SUSTPENSIÓN, CALIBRACIÓN VÁLVULAS</t>
  </si>
  <si>
    <t>AIS 9447</t>
  </si>
  <si>
    <t>VAVULINA TRANSMISIÓN X1 CUARTO R</t>
  </si>
  <si>
    <t>CALIBRACIÓN VÁLVULAS, INCLUYE DESMONTE DE TAPA VALVULAS -S</t>
  </si>
  <si>
    <t>MANTENIMIENTO PASADORES MORDAZA C/U, INCLUYE ENGRASE -S</t>
  </si>
  <si>
    <t>AJUSTE DE SUSPENCIÓN DELANTERA S</t>
  </si>
  <si>
    <t xml:space="preserve">AJUSTE DE SUSPENCIÓN TRASERA S </t>
  </si>
  <si>
    <t>REVISIÓN GENERAL DE FRENOS S</t>
  </si>
  <si>
    <t>GRADUAR FRENOS S</t>
  </si>
  <si>
    <t>POLARIZADO CONVENCIONAL AL 35% S</t>
  </si>
  <si>
    <t>REVISIÓN DE FUGAS Y CAMBIO DE VALVULINA DIFERENCIAL DELANTERA S</t>
  </si>
  <si>
    <t xml:space="preserve">REVISIÓN GENERAL DE FRENOS, FRENADO DEFICIENTE Y PRESENTA RUIDO AL FRENAR, REVISIÓN LUCES, STOP NO ENCIEDE, CAMBIO PLUMILLAS LIMPIA PARABRISAS </t>
  </si>
  <si>
    <t xml:space="preserve">UNION TEMPORAL EL NORTE </t>
  </si>
  <si>
    <t>FVUN 160</t>
  </si>
  <si>
    <t>DISCO FRENO DELANTERO (JUEGO)</t>
  </si>
  <si>
    <t xml:space="preserve">PASTILLAS FRENOS (X4 UNID) DELANTERAS </t>
  </si>
  <si>
    <t>BANDAS FRENOS TRASEROS(JUEGO)</t>
  </si>
  <si>
    <t>PLUMILLAS LIMPIA BRISAS DELANTERAS (JUEGO)</t>
  </si>
  <si>
    <t xml:space="preserve">PLUMILLA LIMPIA BRISAS TRASERA </t>
  </si>
  <si>
    <t>LIMPIADOR PARTES DE FRENO</t>
  </si>
  <si>
    <t>BOMBILLO STOP</t>
  </si>
  <si>
    <t>CAMBIO DISCOS (DELANTEROS O TRASEROS)</t>
  </si>
  <si>
    <t>CAMBIO DE PASTILLAS O BANDAS</t>
  </si>
  <si>
    <t>REVISIÓN SISTEMA HIDRAULICO DIRECCIÓN, PRESENTA RUIDO</t>
  </si>
  <si>
    <t>FVUN 183</t>
  </si>
  <si>
    <t>BOMBA HIDRAULICA</t>
  </si>
  <si>
    <t>REVISIÓN SISTEMA ELECTRICO BOBINAS DE ENCENDIDO, ROTACIÓN LLANTAS . BOBINAS QUEMADAS - PREVENTIVO</t>
  </si>
  <si>
    <t>FVUN 196</t>
  </si>
  <si>
    <t xml:space="preserve">BUJIA MOTOR </t>
  </si>
  <si>
    <t xml:space="preserve">BOBINA DE ENCENDIDO </t>
  </si>
  <si>
    <t>INSTALACIÓN DE ALTA</t>
  </si>
  <si>
    <t>LIMPIADOR DE INYECTORES</t>
  </si>
  <si>
    <t xml:space="preserve">CONECTOR DE DOS PINES </t>
  </si>
  <si>
    <t>CAMBIO DE BUJIA</t>
  </si>
  <si>
    <t>CAMBIO DE BOBINAS</t>
  </si>
  <si>
    <t>REVISIÓN ELECTRICA</t>
  </si>
  <si>
    <t>LAVADO EXTERIOR CAMIONETA</t>
  </si>
  <si>
    <t>LAVADO MOTOR CAMIONETA</t>
  </si>
  <si>
    <t>REVISIÓN SISTEMA HIDRAULICO DIRECCIÓN, FUGA DE ACEITE HIDRAULICO DIRECCIÓN</t>
  </si>
  <si>
    <t>FVUN 211</t>
  </si>
  <si>
    <t xml:space="preserve">EMPAQUETADURA CAJA </t>
  </si>
  <si>
    <t xml:space="preserve"> SOPORTE </t>
  </si>
  <si>
    <t>DEPOSITO DE ACEITE</t>
  </si>
  <si>
    <t>ACEITE HIDRAULICO</t>
  </si>
  <si>
    <t>CAMBIO DE EMPAQUES CAJA DE DIRECCIÓN</t>
  </si>
  <si>
    <t>CAMBIO DEPOSITO DE ACEITE</t>
  </si>
  <si>
    <t>Nota: Si este documento se encuentra impreso se considera Copia no Controlada. La versión vigente está publicada en la intranet de la Personería de Bogotá, D. C.</t>
  </si>
  <si>
    <t>TALLERES EL NORTE</t>
  </si>
  <si>
    <t>ABRAZADERA 450x720 NEGRA</t>
  </si>
  <si>
    <t>INVERSIONES EL NORTE SAS</t>
  </si>
  <si>
    <t>ACEITE CHEVRON PARA HIDRAULICO</t>
  </si>
  <si>
    <t>ACEITE HID ACD PLUS ATF TYPE VI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</si>
  <si>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</si>
  <si>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</si>
  <si>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</si>
  <si>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</si>
  <si>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</si>
  <si>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</si>
  <si>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</si>
  <si>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</si>
  <si>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</si>
  <si>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</si>
  <si>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</si>
  <si>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</si>
  <si>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</si>
  <si>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</si>
  <si>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</si>
  <si>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</si>
  <si>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</si>
  <si>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</si>
  <si>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</si>
  <si>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</si>
  <si>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</si>
  <si>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</si>
  <si>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</si>
  <si>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</si>
  <si>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</si>
  <si>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</si>
  <si>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</si>
  <si>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</si>
  <si>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</si>
  <si>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</si>
  <si>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</si>
  <si>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</si>
  <si>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</si>
  <si>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MOTOVENTILADOR</t>
  </si>
  <si>
    <t>ARREGLO TAPIZADO GENERAL</t>
  </si>
  <si>
    <t>ARREGLO Y MANTENIMIENTO ESCAPE</t>
  </si>
  <si>
    <t>AUTOMATICO ARRANQUE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</si>
  <si>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</si>
  <si>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</si>
  <si>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</si>
  <si>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</si>
  <si>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</si>
  <si>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</si>
  <si>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</si>
  <si>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</si>
  <si>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</si>
  <si>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</si>
  <si>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</si>
  <si>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</si>
  <si>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</si>
  <si>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</si>
  <si>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</si>
  <si>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</si>
  <si>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</si>
  <si>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</si>
  <si>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</si>
  <si>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</si>
  <si>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</si>
  <si>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</si>
  <si>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UNIDAD DELANTERA</t>
  </si>
  <si>
    <t>BORNE BATERIA TIPO PESADO</t>
  </si>
  <si>
    <t>BORNE CARRETERA LIVIANO</t>
  </si>
  <si>
    <t>BRAZO AXIAL</t>
  </si>
  <si>
    <t>BRAZO PALANCA CONTROL CAMBIOS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</si>
  <si>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</si>
  <si>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</si>
  <si>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</si>
  <si>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</si>
  <si>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</si>
  <si>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</si>
  <si>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</si>
  <si>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</si>
  <si>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</si>
  <si>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</si>
  <si>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</si>
  <si>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</si>
  <si>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</si>
  <si>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</si>
  <si>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</si>
  <si>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</si>
  <si>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</si>
  <si>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</si>
  <si>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</si>
  <si>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</si>
  <si>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</si>
  <si>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</si>
  <si>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</si>
  <si>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</si>
  <si>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</si>
  <si>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</si>
  <si>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BUJES TIJERA INFERIOR Y SUPERIOR</t>
  </si>
  <si>
    <t>CAMBIO CERRADURA</t>
  </si>
  <si>
    <t>CAMBIO CILINDRO DE FRENO</t>
  </si>
  <si>
    <t>CAMBIO CORREAS</t>
  </si>
  <si>
    <t>CAMBIO CREMALLERA</t>
  </si>
  <si>
    <t>CAMBIO DE ACEITE</t>
  </si>
  <si>
    <t>CAMBIO DE ACEITE MOTOR, ENTRE OTROS</t>
  </si>
  <si>
    <t>CAMBIO DE FILTROS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</si>
  <si>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</si>
  <si>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</si>
  <si>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</si>
  <si>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</si>
  <si>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</si>
  <si>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</si>
  <si>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</si>
  <si>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</si>
  <si>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</si>
  <si>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</si>
  <si>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</si>
  <si>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</si>
  <si>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</si>
  <si>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</si>
  <si>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</si>
  <si>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</si>
  <si>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</si>
  <si>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</si>
  <si>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</si>
  <si>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</si>
  <si>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</si>
  <si>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</si>
  <si>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</si>
  <si>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</si>
  <si>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</si>
  <si>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</si>
  <si>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</si>
  <si>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PORTAMANGUETA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</si>
  <si>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</si>
  <si>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</si>
  <si>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</si>
  <si>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</si>
  <si>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</si>
  <si>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</si>
  <si>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</si>
  <si>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</si>
  <si>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</si>
  <si>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</si>
  <si>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</si>
  <si>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</si>
  <si>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</si>
  <si>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</si>
  <si>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</si>
  <si>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</si>
  <si>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</si>
  <si>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</si>
  <si>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</si>
  <si>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</si>
  <si>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</si>
  <si>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</si>
  <si>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</si>
  <si>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</si>
  <si>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</si>
  <si>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</si>
  <si>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</si>
  <si>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</si>
  <si>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</si>
  <si>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</si>
  <si>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</si>
  <si>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</si>
  <si>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</si>
  <si>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CREMALLERA PUERTA IZQ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</si>
  <si>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</si>
  <si>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</si>
  <si>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</si>
  <si>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</si>
  <si>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</si>
  <si>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</si>
  <si>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</si>
  <si>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</si>
  <si>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</si>
  <si>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</si>
  <si>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</si>
  <si>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</si>
  <si>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</si>
  <si>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</si>
  <si>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</si>
  <si>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</si>
  <si>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</si>
  <si>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>DESENGRASANTE</t>
  </si>
  <si>
    <t xml:space="preserve">DESMANCHADO EXTERIOR </t>
  </si>
  <si>
    <t>DESMONTE RADIADOR ARREGLO FUGAS Y SONDEO</t>
  </si>
  <si>
    <t>DESMONTE TANQUE COMBUSTIBLE</t>
  </si>
  <si>
    <t>DESMONTE TIJERA INFERIOR</t>
  </si>
  <si>
    <t>DESMONTE TIJERA INFERIOR Y SUPERIOR</t>
  </si>
  <si>
    <t>DIRECCIONAL ESPEJO</t>
  </si>
  <si>
    <t>DUCTO ENTRADA AIRE</t>
  </si>
  <si>
    <t>DUCTO SALIDA FILTRO AIRE</t>
  </si>
  <si>
    <t>EMBUJAR MORDAZAS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</si>
  <si>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</si>
  <si>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</si>
  <si>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</si>
  <si>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</si>
  <si>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</si>
  <si>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</si>
  <si>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</si>
  <si>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</si>
  <si>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</si>
  <si>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</si>
  <si>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</si>
  <si>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</si>
  <si>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</si>
  <si>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</si>
  <si>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</si>
  <si>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</si>
  <si>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</si>
  <si>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</si>
  <si>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</si>
  <si>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</si>
  <si>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</si>
  <si>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</si>
  <si>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</si>
  <si>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</si>
  <si>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</si>
  <si>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</si>
  <si>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</si>
  <si>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</si>
  <si>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</si>
  <si>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</si>
  <si>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</si>
  <si>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</si>
  <si>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</si>
  <si>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GUIA CARROCERIA DEL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</si>
  <si>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</si>
  <si>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</si>
  <si>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</si>
  <si>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</si>
  <si>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</si>
  <si>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</si>
  <si>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</si>
  <si>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</si>
  <si>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</si>
  <si>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</si>
  <si>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</si>
  <si>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</si>
  <si>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</si>
  <si>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</si>
  <si>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</si>
  <si>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</si>
  <si>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</si>
  <si>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</si>
  <si>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</si>
  <si>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</si>
  <si>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</si>
  <si>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</si>
  <si>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</si>
  <si>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</si>
  <si>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</si>
  <si>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</si>
  <si>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</si>
  <si>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</si>
  <si>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</si>
  <si>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</si>
  <si>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</si>
  <si>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</si>
  <si>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</si>
  <si>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</si>
  <si>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</si>
  <si>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</si>
  <si>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</si>
  <si>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</si>
  <si>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</si>
  <si>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</si>
  <si>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</si>
  <si>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</si>
  <si>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</si>
  <si>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</si>
  <si>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</si>
  <si>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</si>
  <si>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</si>
  <si>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</si>
  <si>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</si>
  <si>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</si>
  <si>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</si>
  <si>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</si>
  <si>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</si>
  <si>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</si>
  <si>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</si>
  <si>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</si>
  <si>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MODULO TANQUE MEDIDOR COMBUSTIBLE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</si>
  <si>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</si>
  <si>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</si>
  <si>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</si>
  <si>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</si>
  <si>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</si>
  <si>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</si>
  <si>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</si>
  <si>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</si>
  <si>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PALANCA CONTROL CAMBIOS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</si>
  <si>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</si>
  <si>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</si>
  <si>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</si>
  <si>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</si>
  <si>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</si>
  <si>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</si>
  <si>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</si>
  <si>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PERITAJE Y/O EVALUACION VEHICULOS BAJA</t>
  </si>
  <si>
    <t>BAJA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</si>
  <si>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</si>
  <si>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</si>
  <si>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</si>
  <si>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</si>
  <si>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</si>
  <si>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</si>
  <si>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</si>
  <si>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</si>
  <si>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</si>
  <si>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</si>
  <si>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</si>
  <si>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</si>
  <si>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PORTAMANGUETA IZQ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</si>
  <si>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</si>
  <si>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</si>
  <si>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</si>
  <si>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</si>
  <si>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</si>
  <si>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</si>
  <si>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</si>
  <si>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</si>
  <si>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</si>
  <si>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</si>
  <si>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</si>
  <si>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</si>
  <si>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</si>
  <si>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</si>
  <si>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</si>
  <si>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</si>
  <si>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</si>
  <si>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</si>
  <si>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</si>
  <si>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</si>
  <si>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REPARAR CAJA VELOCIDADES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</si>
  <si>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</si>
  <si>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</si>
  <si>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</si>
  <si>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</si>
  <si>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</si>
  <si>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</si>
  <si>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</si>
  <si>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</si>
  <si>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</si>
  <si>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</si>
  <si>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</si>
  <si>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</si>
  <si>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</si>
  <si>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</si>
  <si>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</si>
  <si>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</si>
  <si>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</si>
  <si>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</si>
  <si>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</si>
  <si>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</si>
  <si>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</si>
  <si>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</si>
  <si>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 Y RUTEO CABLEADO ELECTRICO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</si>
  <si>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</si>
  <si>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</si>
  <si>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</si>
  <si>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</si>
  <si>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</si>
  <si>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</si>
  <si>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</si>
  <si>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</si>
  <si>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</si>
  <si>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</si>
  <si>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</si>
  <si>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</si>
  <si>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</si>
  <si>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</si>
  <si>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</si>
  <si>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</si>
  <si>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</si>
  <si>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</si>
  <si>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</si>
  <si>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</si>
  <si>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</si>
  <si>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</si>
  <si>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</si>
  <si>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</si>
  <si>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</si>
  <si>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</si>
  <si>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</si>
  <si>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</si>
  <si>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</si>
  <si>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</si>
  <si>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</si>
  <si>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</si>
  <si>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</si>
  <si>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</si>
  <si>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CAJA IZQ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</si>
  <si>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</si>
  <si>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</si>
  <si>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</si>
  <si>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</si>
  <si>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</si>
  <si>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</si>
  <si>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</si>
  <si>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</si>
  <si>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</si>
  <si>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</si>
  <si>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</si>
  <si>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TAPIZADO SILLA CONDUCTOR</t>
  </si>
  <si>
    <t>TAPON CULATA EJE DE LEVAS TRASERO</t>
  </si>
  <si>
    <t>TEMPLETE SUPERIOR CARROCERIA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</si>
  <si>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</si>
  <si>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</si>
  <si>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</si>
  <si>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</si>
  <si>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</si>
  <si>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</si>
  <si>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</si>
  <si>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</si>
  <si>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</si>
  <si>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</si>
  <si>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</si>
  <si>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</si>
  <si>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</si>
  <si>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</si>
  <si>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</si>
  <si>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</si>
  <si>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VALVULINA</t>
  </si>
  <si>
    <t>VARILLA ACEITE</t>
  </si>
  <si>
    <t>VARSOL</t>
  </si>
  <si>
    <t>VENTILADOR</t>
  </si>
  <si>
    <t>VULCANIZAR LLANTA</t>
  </si>
  <si>
    <t>JUEGO TAPONES EJE DE LEVAS</t>
  </si>
  <si>
    <t>RECARGA AIRE ACONDICIONADO</t>
  </si>
  <si>
    <t>SWITCH</t>
  </si>
  <si>
    <t>LIQUIDO AFLOJATODO</t>
  </si>
  <si>
    <t>CAMBIO FILTRO TRAMPA DE AGUA</t>
  </si>
  <si>
    <t>PINES</t>
  </si>
  <si>
    <t>GUAYA EMBRAGUE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</si>
</sst>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dd/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Bahnschrift"/>
      <family val="2"/>
    </font>
    <font>
      <sz val="9"/>
      <color rgb="FFFF000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</font>
    <font>
      <sz val="9"/>
      <color theme="1"/>
      <name val="Arial"/>
    </font>
    <font>
      <sz val="9"/>
      <color rgb="FFFF0000"/>
      <name val="Arial"/>
    </font>
    <font>
      <sz val="7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02">
    <xf numFmtId="0" fontId="0" fillId="0" borderId="0" xfId="0"/>
    <xf numFmtId="0" fontId="6" fillId="0" borderId="1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right" vertical="center"/>
    </xf>
    <xf numFmtId="0" fontId="12" fillId="5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2" fillId="5" borderId="1" xfId="0" applyFont="1" applyFill="1" applyBorder="1" applyAlignment="1">
      <alignment vertical="top" wrapText="1"/>
    </xf>
    <xf numFmtId="0" fontId="12" fillId="5" borderId="4" xfId="0" applyFont="1" applyFill="1" applyBorder="1" applyAlignment="1">
      <alignment horizontal="left" wrapText="1"/>
    </xf>
    <xf numFmtId="0" fontId="7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0" borderId="0" xfId="0" applyFont="1"/>
    <xf numFmtId="0" fontId="14" fillId="0" borderId="0" xfId="0" applyFont="1"/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8" fillId="0" borderId="1" xfId="0" applyFont="1" applyBorder="1" applyAlignment="1">
      <alignment vertical="center"/>
    </xf>
    <xf numFmtId="0" fontId="4" fillId="0" borderId="0" xfId="0" applyFont="1" applyAlignment="1">
      <alignment vertical="top"/>
    </xf>
    <xf numFmtId="1" fontId="9" fillId="0" borderId="1" xfId="0" applyNumberFormat="1" applyFont="1" applyBorder="1" applyAlignment="1">
      <alignment vertical="center"/>
    </xf>
    <xf numFmtId="0" fontId="7" fillId="0" borderId="0" xfId="0" applyFont="1"/>
    <xf numFmtId="0" fontId="4" fillId="0" borderId="0" xfId="0" applyFont="1" applyAlignment="1">
      <alignment vertical="center"/>
    </xf>
    <xf numFmtId="0" fontId="15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wrapText="1"/>
    </xf>
    <xf numFmtId="165" fontId="11" fillId="0" borderId="1" xfId="1" applyNumberFormat="1" applyFont="1" applyFill="1" applyBorder="1" applyAlignment="1">
      <alignment horizontal="center" vertical="center"/>
    </xf>
    <xf numFmtId="165" fontId="15" fillId="0" borderId="0" xfId="0" applyNumberFormat="1" applyFont="1"/>
    <xf numFmtId="0" fontId="4" fillId="6" borderId="0" xfId="0" applyFont="1" applyFill="1"/>
    <xf numFmtId="0" fontId="15" fillId="6" borderId="0" xfId="0" applyFont="1" applyFill="1"/>
    <xf numFmtId="0" fontId="14" fillId="6" borderId="0" xfId="0" applyFont="1" applyFill="1"/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7" fillId="2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4" fontId="6" fillId="3" borderId="7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3" fontId="11" fillId="0" borderId="9" xfId="0" applyNumberFormat="1" applyFont="1" applyBorder="1" applyAlignment="1">
      <alignment horizontal="center"/>
    </xf>
    <xf numFmtId="14" fontId="11" fillId="6" borderId="9" xfId="0" applyNumberFormat="1" applyFont="1" applyFill="1" applyBorder="1" applyAlignment="1">
      <alignment horizontal="center"/>
    </xf>
    <xf numFmtId="0" fontId="11" fillId="0" borderId="9" xfId="0" applyFont="1" applyBorder="1"/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wrapText="1"/>
    </xf>
    <xf numFmtId="165" fontId="11" fillId="0" borderId="9" xfId="1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top"/>
    </xf>
    <xf numFmtId="14" fontId="21" fillId="0" borderId="1" xfId="0" applyNumberFormat="1" applyFont="1" applyBorder="1" applyAlignment="1">
      <alignment horizontal="center" vertical="top"/>
    </xf>
    <xf numFmtId="0" fontId="21" fillId="0" borderId="2" xfId="0" applyFont="1" applyBorder="1" applyAlignment="1">
      <alignment vertical="top"/>
    </xf>
    <xf numFmtId="0" fontId="20" fillId="0" borderId="10" xfId="0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164" fontId="20" fillId="0" borderId="1" xfId="1" applyFont="1" applyFill="1" applyBorder="1" applyAlignment="1">
      <alignment horizontal="center" vertical="center"/>
    </xf>
    <xf numFmtId="164" fontId="20" fillId="0" borderId="1" xfId="1" applyFont="1" applyBorder="1" applyAlignment="1">
      <alignment horizontal="center" vertical="center"/>
    </xf>
    <xf numFmtId="164" fontId="20" fillId="0" borderId="2" xfId="1" applyFont="1" applyBorder="1" applyAlignment="1">
      <alignment horizontal="center" vertical="center"/>
    </xf>
    <xf numFmtId="164" fontId="20" fillId="0" borderId="10" xfId="1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64" fontId="20" fillId="0" borderId="9" xfId="1" applyFont="1" applyFill="1" applyBorder="1" applyAlignment="1">
      <alignment horizontal="center" vertical="center"/>
    </xf>
    <xf numFmtId="164" fontId="20" fillId="0" borderId="11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0" fontId="20" fillId="6" borderId="10" xfId="0" applyFont="1" applyFill="1" applyBorder="1" applyAlignment="1">
      <alignment vertical="center"/>
    </xf>
    <xf numFmtId="0" fontId="20" fillId="6" borderId="3" xfId="0" applyFont="1" applyFill="1" applyBorder="1" applyAlignment="1">
      <alignment horizontal="center" vertical="center"/>
    </xf>
    <xf numFmtId="164" fontId="20" fillId="6" borderId="1" xfId="1" applyFont="1" applyFill="1" applyBorder="1" applyAlignment="1">
      <alignment horizontal="center" vertical="center"/>
    </xf>
    <xf numFmtId="164" fontId="20" fillId="6" borderId="2" xfId="0" applyNumberFormat="1" applyFont="1" applyFill="1" applyBorder="1" applyAlignment="1">
      <alignment horizontal="center" vertical="center"/>
    </xf>
    <xf numFmtId="0" fontId="19" fillId="0" borderId="10" xfId="2" applyFont="1" applyBorder="1" applyAlignment="1">
      <alignment vertical="center"/>
    </xf>
    <xf numFmtId="164" fontId="19" fillId="0" borderId="12" xfId="2" applyNumberFormat="1" applyFont="1" applyFill="1" applyBorder="1" applyAlignment="1">
      <alignment vertical="center"/>
    </xf>
    <xf numFmtId="0" fontId="20" fillId="0" borderId="10" xfId="0" applyFont="1" applyBorder="1" applyAlignment="1">
      <alignment vertical="center" wrapText="1"/>
    </xf>
    <xf numFmtId="0" fontId="21" fillId="0" borderId="16" xfId="0" applyFont="1" applyBorder="1" applyAlignment="1">
      <alignment vertical="top"/>
    </xf>
    <xf numFmtId="0" fontId="20" fillId="0" borderId="10" xfId="0" applyFont="1" applyBorder="1" applyAlignment="1">
      <alignment horizontal="center" vertical="center" wrapText="1"/>
    </xf>
    <xf numFmtId="0" fontId="20" fillId="6" borderId="10" xfId="0" applyFont="1" applyFill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16" fillId="0" borderId="15" xfId="2" applyBorder="1" applyAlignment="1">
      <alignment vertical="center"/>
    </xf>
    <xf numFmtId="164" fontId="0" fillId="0" borderId="12" xfId="2" applyNumberFormat="1" applyFont="1" applyFill="1" applyBorder="1" applyAlignment="1">
      <alignment vertical="center"/>
    </xf>
    <xf numFmtId="3" fontId="21" fillId="0" borderId="1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4" fontId="14" fillId="0" borderId="10" xfId="0" applyNumberFormat="1" applyFont="1" applyBorder="1" applyAlignment="1">
      <alignment horizontal="center" vertical="center"/>
    </xf>
    <xf numFmtId="0" fontId="12" fillId="0" borderId="10" xfId="0" applyFont="1" applyBorder="1"/>
    <xf numFmtId="0" fontId="21" fillId="0" borderId="10" xfId="0" applyFont="1" applyBorder="1" applyAlignment="1">
      <alignment horizontal="center" vertical="top"/>
    </xf>
    <xf numFmtId="0" fontId="22" fillId="0" borderId="3" xfId="0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14" fontId="21" fillId="0" borderId="9" xfId="0" applyNumberFormat="1" applyFont="1" applyBorder="1" applyAlignment="1">
      <alignment horizontal="center" vertical="center"/>
    </xf>
    <xf numFmtId="3" fontId="21" fillId="0" borderId="9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14" fontId="14" fillId="0" borderId="14" xfId="0" applyNumberFormat="1" applyFont="1" applyBorder="1" applyAlignment="1">
      <alignment horizontal="center" vertical="center"/>
    </xf>
    <xf numFmtId="164" fontId="0" fillId="0" borderId="13" xfId="2" applyNumberFormat="1" applyFont="1" applyFill="1" applyBorder="1" applyAlignment="1">
      <alignment horizontal="center" vertical="center"/>
    </xf>
    <xf numFmtId="164" fontId="0" fillId="0" borderId="14" xfId="2" applyNumberFormat="1" applyFont="1" applyFill="1" applyBorder="1" applyAlignment="1">
      <alignment horizontal="center" vertical="center"/>
    </xf>
    <xf numFmtId="164" fontId="0" fillId="0" borderId="15" xfId="2" applyNumberFormat="1" applyFont="1" applyFill="1" applyBorder="1" applyAlignment="1">
      <alignment horizontal="center" vertical="center"/>
    </xf>
    <xf numFmtId="0" fontId="16" fillId="0" borderId="13" xfId="2" applyBorder="1" applyAlignment="1">
      <alignment horizontal="center" vertical="center"/>
    </xf>
    <xf numFmtId="0" fontId="16" fillId="0" borderId="14" xfId="2" applyBorder="1" applyAlignment="1">
      <alignment horizontal="center" vertical="center"/>
    </xf>
    <xf numFmtId="0" fontId="16" fillId="0" borderId="15" xfId="2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1" fillId="0" borderId="7" xfId="0" applyNumberFormat="1" applyFont="1" applyBorder="1" applyAlignment="1">
      <alignment horizontal="center" vertical="center"/>
    </xf>
    <xf numFmtId="14" fontId="21" fillId="0" borderId="4" xfId="0" applyNumberFormat="1" applyFont="1" applyBorder="1" applyAlignment="1">
      <alignment horizontal="center" vertical="center"/>
    </xf>
    <xf numFmtId="3" fontId="21" fillId="0" borderId="7" xfId="0" applyNumberFormat="1" applyFont="1" applyBorder="1" applyAlignment="1">
      <alignment horizontal="center" vertical="center"/>
    </xf>
    <xf numFmtId="3" fontId="21" fillId="0" borderId="4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4" fontId="12" fillId="0" borderId="20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64" fontId="23" fillId="0" borderId="17" xfId="2" applyNumberFormat="1" applyFont="1" applyFill="1" applyBorder="1" applyAlignment="1">
      <alignment horizontal="center" vertical="center"/>
    </xf>
    <xf numFmtId="164" fontId="23" fillId="0" borderId="18" xfId="2" applyNumberFormat="1" applyFont="1" applyFill="1" applyBorder="1" applyAlignment="1">
      <alignment horizontal="center" vertical="center"/>
    </xf>
    <xf numFmtId="164" fontId="23" fillId="0" borderId="19" xfId="2" applyNumberFormat="1" applyFont="1" applyFill="1" applyBorder="1" applyAlignment="1">
      <alignment horizontal="center" vertical="center"/>
    </xf>
    <xf numFmtId="0" fontId="16" fillId="0" borderId="10" xfId="2" applyFill="1" applyBorder="1" applyAlignment="1">
      <alignment horizontal="center" vertical="center"/>
    </xf>
    <xf numFmtId="0" fontId="20" fillId="6" borderId="20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0" fillId="0" borderId="9" xfId="0" applyNumberFormat="1" applyFont="1" applyBorder="1" applyAlignment="1">
      <alignment horizontal="center" vertical="center"/>
    </xf>
    <xf numFmtId="3" fontId="7" fillId="0" borderId="20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0" fontId="16" fillId="0" borderId="10" xfId="2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66" fontId="20" fillId="0" borderId="10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164" fontId="23" fillId="0" borderId="13" xfId="2" applyNumberFormat="1" applyFont="1" applyFill="1" applyBorder="1" applyAlignment="1">
      <alignment horizontal="center" vertical="center"/>
    </xf>
    <xf numFmtId="164" fontId="23" fillId="0" borderId="14" xfId="2" applyNumberFormat="1" applyFont="1" applyFill="1" applyBorder="1" applyAlignment="1">
      <alignment horizontal="center" vertical="center"/>
    </xf>
    <xf numFmtId="164" fontId="23" fillId="0" borderId="15" xfId="2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4" fontId="24" fillId="0" borderId="7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 applyProtection="1">
      <alignment horizontal="center" vertical="center" wrapText="1"/>
      <protection locked="0"/>
    </xf>
    <xf numFmtId="164" fontId="16" fillId="0" borderId="13" xfId="2" applyNumberFormat="1" applyFill="1" applyBorder="1" applyAlignment="1">
      <alignment horizontal="center" vertical="center"/>
    </xf>
    <xf numFmtId="164" fontId="16" fillId="0" borderId="14" xfId="2" applyNumberFormat="1" applyFill="1" applyBorder="1" applyAlignment="1">
      <alignment horizontal="center" vertical="center"/>
    </xf>
    <xf numFmtId="164" fontId="16" fillId="0" borderId="15" xfId="2" applyNumberFormat="1" applyFill="1" applyBorder="1" applyAlignment="1">
      <alignment horizontal="center" vertical="center"/>
    </xf>
    <xf numFmtId="14" fontId="14" fillId="0" borderId="10" xfId="0" applyNumberFormat="1" applyFon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JIMNY/AUT_ODS952_MANT_FACT_FVUN160.pdf?csf=1&amp;web=1&amp;e=nuB4VW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ersoneriabogota-my.sharepoint.com/:b:/g/personal/sgdrecfisicos_personeriabogota_gov_co/EXQ0Yf2xMU5Fg8zbSdqMeugBpX8cCpSwaZf8OdglK_EO7A?e=wD5xge" TargetMode="External"/><Relationship Id="rId1" Type="http://schemas.openxmlformats.org/officeDocument/2006/relationships/hyperlink" Target="https://personeriabogota-my.sharepoint.com/:b:/g/personal/sgdrecfisicos_personeriabogota_gov_co/Ed_FYSbPwqpBl9pWgGP-9i0BhePzlYU-tUnBFCCPjm8t4g?e=8yrWbz" TargetMode="External"/><Relationship Id="rId6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JIMNY/AUT_ODS952_177540_FACT_FVUN211.pdf?csf=1&amp;web=1&amp;e=2YnQkl" TargetMode="External"/><Relationship Id="rId5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JIMNY/AUT_ODS952_176942_FACT_FVUN196.pdf?csf=1&amp;web=1&amp;e=vaq9X9" TargetMode="External"/><Relationship Id="rId4" Type="http://schemas.openxmlformats.org/officeDocument/2006/relationships/hyperlink" Target="https://personeriabogota-my.sharepoint.com/:b:/g/personal/sgdrecfisicos_personeriabogota_gov_co/EdWjHWWkk35OptYnSsDK0IgBMK1qgiAGUezc28TIQN0OSA?e=9Zam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105"/>
  <sheetViews>
    <sheetView tabSelected="1" topLeftCell="Q42" zoomScale="85" zoomScaleNormal="85" workbookViewId="0">
      <selection activeCell="V59" sqref="V59"/>
    </sheetView>
  </sheetViews>
  <sheetFormatPr defaultColWidth="0" defaultRowHeight="15"/>
  <cols>
    <col min="1" max="2" width="1.85546875" style="19" customWidth="1"/>
    <col min="3" max="3" width="22.7109375" style="19" bestFit="1" customWidth="1"/>
    <col min="4" max="4" width="16.5703125" style="19" customWidth="1"/>
    <col min="5" max="5" width="16" style="19" customWidth="1"/>
    <col min="6" max="6" width="17.42578125" style="19" customWidth="1"/>
    <col min="7" max="7" width="14.85546875" style="19" customWidth="1"/>
    <col min="8" max="8" width="12.85546875" style="19" customWidth="1"/>
    <col min="9" max="9" width="11.7109375" style="19" customWidth="1"/>
    <col min="10" max="10" width="10" style="19" customWidth="1"/>
    <col min="11" max="11" width="13.7109375" style="19" customWidth="1"/>
    <col min="12" max="12" width="43" style="19" customWidth="1"/>
    <col min="13" max="13" width="4.28515625" style="19" hidden="1" customWidth="1"/>
    <col min="14" max="14" width="12.42578125" style="19" customWidth="1"/>
    <col min="15" max="15" width="13.85546875" style="19" bestFit="1" customWidth="1"/>
    <col min="16" max="16" width="12.85546875" style="19" customWidth="1"/>
    <col min="17" max="17" width="11.42578125" style="19" customWidth="1"/>
    <col min="18" max="18" width="12.85546875" style="19" customWidth="1"/>
    <col min="19" max="19" width="14.140625" style="19" customWidth="1"/>
    <col min="20" max="20" width="12" style="19" customWidth="1"/>
    <col min="21" max="21" width="13.42578125" style="19" customWidth="1"/>
    <col min="22" max="22" width="15.7109375" style="19" customWidth="1"/>
    <col min="23" max="23" width="14.140625" style="19" customWidth="1"/>
    <col min="24" max="24" width="15.5703125" style="19" bestFit="1" customWidth="1"/>
    <col min="25" max="25" width="16.5703125" style="19" bestFit="1" customWidth="1"/>
    <col min="26" max="26" width="11.42578125" style="19" customWidth="1"/>
    <col min="27" max="28" width="0" style="19" hidden="1"/>
    <col min="29" max="29" width="15.5703125" style="19" hidden="1"/>
    <col min="30" max="30" width="13.85546875" style="19" hidden="1"/>
    <col min="31" max="250" width="0" style="19" hidden="1"/>
    <col min="251" max="251" width="1.85546875" style="19" hidden="1"/>
    <col min="252" max="252" width="8" style="19" hidden="1"/>
    <col min="253" max="253" width="9.5703125" style="19" hidden="1"/>
    <col min="254" max="255" width="8" style="19" hidden="1"/>
    <col min="256" max="258" width="1.85546875" style="19" hidden="1"/>
    <col min="259" max="259" width="13.42578125" style="19" hidden="1"/>
    <col min="260" max="260" width="16.85546875" style="19" hidden="1"/>
    <col min="261" max="261" width="9.7109375" style="19" hidden="1"/>
    <col min="262" max="262" width="9.85546875" style="19" hidden="1"/>
    <col min="263" max="263" width="7.7109375" style="19" hidden="1"/>
    <col min="264" max="264" width="12.85546875" style="19" hidden="1"/>
    <col min="265" max="265" width="13.85546875" style="19" hidden="1"/>
    <col min="266" max="266" width="9.85546875" style="19" hidden="1"/>
    <col min="267" max="267" width="14.7109375" style="19" hidden="1"/>
    <col min="268" max="268" width="16.42578125" style="19" hidden="1"/>
    <col min="269" max="271" width="13.85546875" style="19" hidden="1"/>
    <col min="272" max="272" width="12.85546875" style="19" hidden="1"/>
    <col min="273" max="273" width="14.140625" style="19" hidden="1"/>
    <col min="274" max="274" width="12.28515625" style="19" hidden="1"/>
    <col min="275" max="276" width="14.42578125" style="19" hidden="1"/>
    <col min="277" max="277" width="12.85546875" style="19" hidden="1"/>
    <col min="278" max="278" width="12.28515625" style="19" hidden="1"/>
    <col min="279" max="279" width="16.7109375" style="19" hidden="1"/>
    <col min="280" max="506" width="0" style="19" hidden="1"/>
    <col min="507" max="507" width="1.85546875" style="19" hidden="1"/>
    <col min="508" max="508" width="8" style="19" hidden="1"/>
    <col min="509" max="509" width="9.5703125" style="19" hidden="1"/>
    <col min="510" max="511" width="8" style="19" hidden="1"/>
    <col min="512" max="514" width="1.85546875" style="19" hidden="1"/>
    <col min="515" max="515" width="13.42578125" style="19" hidden="1"/>
    <col min="516" max="516" width="16.85546875" style="19" hidden="1"/>
    <col min="517" max="517" width="9.7109375" style="19" hidden="1"/>
    <col min="518" max="518" width="9.85546875" style="19" hidden="1"/>
    <col min="519" max="519" width="7.7109375" style="19" hidden="1"/>
    <col min="520" max="520" width="12.85546875" style="19" hidden="1"/>
    <col min="521" max="521" width="13.85546875" style="19" hidden="1"/>
    <col min="522" max="522" width="9.85546875" style="19" hidden="1"/>
    <col min="523" max="523" width="14.7109375" style="19" hidden="1"/>
    <col min="524" max="524" width="16.42578125" style="19" hidden="1"/>
    <col min="525" max="527" width="13.85546875" style="19" hidden="1"/>
    <col min="528" max="528" width="12.85546875" style="19" hidden="1"/>
    <col min="529" max="529" width="14.140625" style="19" hidden="1"/>
    <col min="530" max="530" width="12.28515625" style="19" hidden="1"/>
    <col min="531" max="532" width="14.42578125" style="19" hidden="1"/>
    <col min="533" max="533" width="12.85546875" style="19" hidden="1"/>
    <col min="534" max="534" width="12.28515625" style="19" hidden="1"/>
    <col min="535" max="535" width="16.7109375" style="19" hidden="1"/>
    <col min="536" max="762" width="0" style="19" hidden="1"/>
    <col min="763" max="763" width="1.85546875" style="19" hidden="1"/>
    <col min="764" max="764" width="8" style="19" hidden="1"/>
    <col min="765" max="765" width="9.5703125" style="19" hidden="1"/>
    <col min="766" max="767" width="8" style="19" hidden="1"/>
    <col min="768" max="770" width="1.85546875" style="19" hidden="1"/>
    <col min="771" max="771" width="13.42578125" style="19" hidden="1"/>
    <col min="772" max="772" width="16.85546875" style="19" hidden="1"/>
    <col min="773" max="773" width="9.7109375" style="19" hidden="1"/>
    <col min="774" max="774" width="9.85546875" style="19" hidden="1"/>
    <col min="775" max="775" width="7.7109375" style="19" hidden="1"/>
    <col min="776" max="776" width="12.85546875" style="19" hidden="1"/>
    <col min="777" max="777" width="13.85546875" style="19" hidden="1"/>
    <col min="778" max="778" width="9.85546875" style="19" hidden="1"/>
    <col min="779" max="779" width="14.7109375" style="19" hidden="1"/>
    <col min="780" max="780" width="16.42578125" style="19" hidden="1"/>
    <col min="781" max="783" width="13.85546875" style="19" hidden="1"/>
    <col min="784" max="784" width="12.85546875" style="19" hidden="1"/>
    <col min="785" max="785" width="14.140625" style="19" hidden="1"/>
    <col min="786" max="786" width="12.28515625" style="19" hidden="1"/>
    <col min="787" max="788" width="14.42578125" style="19" hidden="1"/>
    <col min="789" max="789" width="12.85546875" style="19" hidden="1"/>
    <col min="790" max="790" width="12.28515625" style="19" hidden="1"/>
    <col min="791" max="791" width="16.7109375" style="19" hidden="1"/>
    <col min="792" max="1018" width="0" style="19" hidden="1"/>
    <col min="1019" max="1019" width="1.85546875" style="19" hidden="1"/>
    <col min="1020" max="1020" width="8" style="19" hidden="1"/>
    <col min="1021" max="1021" width="9.5703125" style="19" hidden="1"/>
    <col min="1022" max="1023" width="8" style="19" hidden="1"/>
    <col min="1024" max="1026" width="1.85546875" style="19" hidden="1"/>
    <col min="1027" max="1027" width="13.42578125" style="19" hidden="1"/>
    <col min="1028" max="1028" width="16.85546875" style="19" hidden="1"/>
    <col min="1029" max="1029" width="9.7109375" style="19" hidden="1"/>
    <col min="1030" max="1030" width="9.85546875" style="19" hidden="1"/>
    <col min="1031" max="1031" width="7.7109375" style="19" hidden="1"/>
    <col min="1032" max="1032" width="12.85546875" style="19" hidden="1"/>
    <col min="1033" max="1033" width="13.85546875" style="19" hidden="1"/>
    <col min="1034" max="1034" width="9.85546875" style="19" hidden="1"/>
    <col min="1035" max="1035" width="14.7109375" style="19" hidden="1"/>
    <col min="1036" max="1036" width="16.42578125" style="19" hidden="1"/>
    <col min="1037" max="1039" width="13.85546875" style="19" hidden="1"/>
    <col min="1040" max="1040" width="12.85546875" style="19" hidden="1"/>
    <col min="1041" max="1041" width="14.140625" style="19" hidden="1"/>
    <col min="1042" max="1042" width="12.28515625" style="19" hidden="1"/>
    <col min="1043" max="1044" width="14.42578125" style="19" hidden="1"/>
    <col min="1045" max="1045" width="12.85546875" style="19" hidden="1"/>
    <col min="1046" max="1046" width="12.28515625" style="19" hidden="1"/>
    <col min="1047" max="1047" width="16.7109375" style="19" hidden="1"/>
    <col min="1048" max="1274" width="0" style="19" hidden="1"/>
    <col min="1275" max="1275" width="1.85546875" style="19" hidden="1"/>
    <col min="1276" max="1276" width="8" style="19" hidden="1"/>
    <col min="1277" max="1277" width="9.5703125" style="19" hidden="1"/>
    <col min="1278" max="1279" width="8" style="19" hidden="1"/>
    <col min="1280" max="1282" width="1.85546875" style="19" hidden="1"/>
    <col min="1283" max="1283" width="13.42578125" style="19" hidden="1"/>
    <col min="1284" max="1284" width="16.85546875" style="19" hidden="1"/>
    <col min="1285" max="1285" width="9.7109375" style="19" hidden="1"/>
    <col min="1286" max="1286" width="9.85546875" style="19" hidden="1"/>
    <col min="1287" max="1287" width="7.7109375" style="19" hidden="1"/>
    <col min="1288" max="1288" width="12.85546875" style="19" hidden="1"/>
    <col min="1289" max="1289" width="13.85546875" style="19" hidden="1"/>
    <col min="1290" max="1290" width="9.85546875" style="19" hidden="1"/>
    <col min="1291" max="1291" width="14.7109375" style="19" hidden="1"/>
    <col min="1292" max="1292" width="16.42578125" style="19" hidden="1"/>
    <col min="1293" max="1295" width="13.85546875" style="19" hidden="1"/>
    <col min="1296" max="1296" width="12.85546875" style="19" hidden="1"/>
    <col min="1297" max="1297" width="14.140625" style="19" hidden="1"/>
    <col min="1298" max="1298" width="12.28515625" style="19" hidden="1"/>
    <col min="1299" max="1300" width="14.42578125" style="19" hidden="1"/>
    <col min="1301" max="1301" width="12.85546875" style="19" hidden="1"/>
    <col min="1302" max="1302" width="12.28515625" style="19" hidden="1"/>
    <col min="1303" max="1303" width="16.7109375" style="19" hidden="1"/>
    <col min="1304" max="1530" width="0" style="19" hidden="1"/>
    <col min="1531" max="1531" width="1.85546875" style="19" hidden="1"/>
    <col min="1532" max="1532" width="8" style="19" hidden="1"/>
    <col min="1533" max="1533" width="9.5703125" style="19" hidden="1"/>
    <col min="1534" max="1535" width="8" style="19" hidden="1"/>
    <col min="1536" max="1538" width="1.85546875" style="19" hidden="1"/>
    <col min="1539" max="1539" width="13.42578125" style="19" hidden="1"/>
    <col min="1540" max="1540" width="16.85546875" style="19" hidden="1"/>
    <col min="1541" max="1541" width="9.7109375" style="19" hidden="1"/>
    <col min="1542" max="1542" width="9.85546875" style="19" hidden="1"/>
    <col min="1543" max="1543" width="7.7109375" style="19" hidden="1"/>
    <col min="1544" max="1544" width="12.85546875" style="19" hidden="1"/>
    <col min="1545" max="1545" width="13.85546875" style="19" hidden="1"/>
    <col min="1546" max="1546" width="9.85546875" style="19" hidden="1"/>
    <col min="1547" max="1547" width="14.7109375" style="19" hidden="1"/>
    <col min="1548" max="1548" width="16.42578125" style="19" hidden="1"/>
    <col min="1549" max="1551" width="13.85546875" style="19" hidden="1"/>
    <col min="1552" max="1552" width="12.85546875" style="19" hidden="1"/>
    <col min="1553" max="1553" width="14.140625" style="19" hidden="1"/>
    <col min="1554" max="1554" width="12.28515625" style="19" hidden="1"/>
    <col min="1555" max="1556" width="14.42578125" style="19" hidden="1"/>
    <col min="1557" max="1557" width="12.85546875" style="19" hidden="1"/>
    <col min="1558" max="1558" width="12.28515625" style="19" hidden="1"/>
    <col min="1559" max="1559" width="16.7109375" style="19" hidden="1"/>
    <col min="1560" max="1786" width="0" style="19" hidden="1"/>
    <col min="1787" max="1787" width="1.85546875" style="19" hidden="1"/>
    <col min="1788" max="1788" width="8" style="19" hidden="1"/>
    <col min="1789" max="1789" width="9.5703125" style="19" hidden="1"/>
    <col min="1790" max="1791" width="8" style="19" hidden="1"/>
    <col min="1792" max="1794" width="1.85546875" style="19" hidden="1"/>
    <col min="1795" max="1795" width="13.42578125" style="19" hidden="1"/>
    <col min="1796" max="1796" width="16.85546875" style="19" hidden="1"/>
    <col min="1797" max="1797" width="9.7109375" style="19" hidden="1"/>
    <col min="1798" max="1798" width="9.85546875" style="19" hidden="1"/>
    <col min="1799" max="1799" width="7.7109375" style="19" hidden="1"/>
    <col min="1800" max="1800" width="12.85546875" style="19" hidden="1"/>
    <col min="1801" max="1801" width="13.85546875" style="19" hidden="1"/>
    <col min="1802" max="1802" width="9.85546875" style="19" hidden="1"/>
    <col min="1803" max="1803" width="14.7109375" style="19" hidden="1"/>
    <col min="1804" max="1804" width="16.42578125" style="19" hidden="1"/>
    <col min="1805" max="1807" width="13.85546875" style="19" hidden="1"/>
    <col min="1808" max="1808" width="12.85546875" style="19" hidden="1"/>
    <col min="1809" max="1809" width="14.140625" style="19" hidden="1"/>
    <col min="1810" max="1810" width="12.28515625" style="19" hidden="1"/>
    <col min="1811" max="1812" width="14.42578125" style="19" hidden="1"/>
    <col min="1813" max="1813" width="12.85546875" style="19" hidden="1"/>
    <col min="1814" max="1814" width="12.28515625" style="19" hidden="1"/>
    <col min="1815" max="1815" width="16.7109375" style="19" hidden="1"/>
    <col min="1816" max="2042" width="0" style="19" hidden="1"/>
    <col min="2043" max="2043" width="1.85546875" style="19" hidden="1"/>
    <col min="2044" max="2044" width="8" style="19" hidden="1"/>
    <col min="2045" max="2045" width="9.5703125" style="19" hidden="1"/>
    <col min="2046" max="2047" width="8" style="19" hidden="1"/>
    <col min="2048" max="2050" width="1.85546875" style="19" hidden="1"/>
    <col min="2051" max="2051" width="13.42578125" style="19" hidden="1"/>
    <col min="2052" max="2052" width="16.85546875" style="19" hidden="1"/>
    <col min="2053" max="2053" width="9.7109375" style="19" hidden="1"/>
    <col min="2054" max="2054" width="9.85546875" style="19" hidden="1"/>
    <col min="2055" max="2055" width="7.7109375" style="19" hidden="1"/>
    <col min="2056" max="2056" width="12.85546875" style="19" hidden="1"/>
    <col min="2057" max="2057" width="13.85546875" style="19" hidden="1"/>
    <col min="2058" max="2058" width="9.85546875" style="19" hidden="1"/>
    <col min="2059" max="2059" width="14.7109375" style="19" hidden="1"/>
    <col min="2060" max="2060" width="16.42578125" style="19" hidden="1"/>
    <col min="2061" max="2063" width="13.85546875" style="19" hidden="1"/>
    <col min="2064" max="2064" width="12.85546875" style="19" hidden="1"/>
    <col min="2065" max="2065" width="14.140625" style="19" hidden="1"/>
    <col min="2066" max="2066" width="12.28515625" style="19" hidden="1"/>
    <col min="2067" max="2068" width="14.42578125" style="19" hidden="1"/>
    <col min="2069" max="2069" width="12.85546875" style="19" hidden="1"/>
    <col min="2070" max="2070" width="12.28515625" style="19" hidden="1"/>
    <col min="2071" max="2071" width="16.7109375" style="19" hidden="1"/>
    <col min="2072" max="2298" width="0" style="19" hidden="1"/>
    <col min="2299" max="2299" width="1.85546875" style="19" hidden="1"/>
    <col min="2300" max="2300" width="8" style="19" hidden="1"/>
    <col min="2301" max="2301" width="9.5703125" style="19" hidden="1"/>
    <col min="2302" max="2303" width="8" style="19" hidden="1"/>
    <col min="2304" max="2306" width="1.85546875" style="19" hidden="1"/>
    <col min="2307" max="2307" width="13.42578125" style="19" hidden="1"/>
    <col min="2308" max="2308" width="16.85546875" style="19" hidden="1"/>
    <col min="2309" max="2309" width="9.7109375" style="19" hidden="1"/>
    <col min="2310" max="2310" width="9.85546875" style="19" hidden="1"/>
    <col min="2311" max="2311" width="7.7109375" style="19" hidden="1"/>
    <col min="2312" max="2312" width="12.85546875" style="19" hidden="1"/>
    <col min="2313" max="2313" width="13.85546875" style="19" hidden="1"/>
    <col min="2314" max="2314" width="9.85546875" style="19" hidden="1"/>
    <col min="2315" max="2315" width="14.7109375" style="19" hidden="1"/>
    <col min="2316" max="2316" width="16.42578125" style="19" hidden="1"/>
    <col min="2317" max="2319" width="13.85546875" style="19" hidden="1"/>
    <col min="2320" max="2320" width="12.85546875" style="19" hidden="1"/>
    <col min="2321" max="2321" width="14.140625" style="19" hidden="1"/>
    <col min="2322" max="2322" width="12.28515625" style="19" hidden="1"/>
    <col min="2323" max="2324" width="14.42578125" style="19" hidden="1"/>
    <col min="2325" max="2325" width="12.85546875" style="19" hidden="1"/>
    <col min="2326" max="2326" width="12.28515625" style="19" hidden="1"/>
    <col min="2327" max="2327" width="16.7109375" style="19" hidden="1"/>
    <col min="2328" max="2554" width="0" style="19" hidden="1"/>
    <col min="2555" max="2555" width="1.85546875" style="19" hidden="1"/>
    <col min="2556" max="2556" width="8" style="19" hidden="1"/>
    <col min="2557" max="2557" width="9.5703125" style="19" hidden="1"/>
    <col min="2558" max="2559" width="8" style="19" hidden="1"/>
    <col min="2560" max="2562" width="1.85546875" style="19" hidden="1"/>
    <col min="2563" max="2563" width="13.42578125" style="19" hidden="1"/>
    <col min="2564" max="2564" width="16.85546875" style="19" hidden="1"/>
    <col min="2565" max="2565" width="9.7109375" style="19" hidden="1"/>
    <col min="2566" max="2566" width="9.85546875" style="19" hidden="1"/>
    <col min="2567" max="2567" width="7.7109375" style="19" hidden="1"/>
    <col min="2568" max="2568" width="12.85546875" style="19" hidden="1"/>
    <col min="2569" max="2569" width="13.85546875" style="19" hidden="1"/>
    <col min="2570" max="2570" width="9.85546875" style="19" hidden="1"/>
    <col min="2571" max="2571" width="14.7109375" style="19" hidden="1"/>
    <col min="2572" max="2572" width="16.42578125" style="19" hidden="1"/>
    <col min="2573" max="2575" width="13.85546875" style="19" hidden="1"/>
    <col min="2576" max="2576" width="12.85546875" style="19" hidden="1"/>
    <col min="2577" max="2577" width="14.140625" style="19" hidden="1"/>
    <col min="2578" max="2578" width="12.28515625" style="19" hidden="1"/>
    <col min="2579" max="2580" width="14.42578125" style="19" hidden="1"/>
    <col min="2581" max="2581" width="12.85546875" style="19" hidden="1"/>
    <col min="2582" max="2582" width="12.28515625" style="19" hidden="1"/>
    <col min="2583" max="2583" width="16.7109375" style="19" hidden="1"/>
    <col min="2584" max="2810" width="0" style="19" hidden="1"/>
    <col min="2811" max="2811" width="1.85546875" style="19" hidden="1"/>
    <col min="2812" max="2812" width="8" style="19" hidden="1"/>
    <col min="2813" max="2813" width="9.5703125" style="19" hidden="1"/>
    <col min="2814" max="2815" width="8" style="19" hidden="1"/>
    <col min="2816" max="2818" width="1.85546875" style="19" hidden="1"/>
    <col min="2819" max="2819" width="13.42578125" style="19" hidden="1"/>
    <col min="2820" max="2820" width="16.85546875" style="19" hidden="1"/>
    <col min="2821" max="2821" width="9.7109375" style="19" hidden="1"/>
    <col min="2822" max="2822" width="9.85546875" style="19" hidden="1"/>
    <col min="2823" max="2823" width="7.7109375" style="19" hidden="1"/>
    <col min="2824" max="2824" width="12.85546875" style="19" hidden="1"/>
    <col min="2825" max="2825" width="13.85546875" style="19" hidden="1"/>
    <col min="2826" max="2826" width="9.85546875" style="19" hidden="1"/>
    <col min="2827" max="2827" width="14.7109375" style="19" hidden="1"/>
    <col min="2828" max="2828" width="16.42578125" style="19" hidden="1"/>
    <col min="2829" max="2831" width="13.85546875" style="19" hidden="1"/>
    <col min="2832" max="2832" width="12.85546875" style="19" hidden="1"/>
    <col min="2833" max="2833" width="14.140625" style="19" hidden="1"/>
    <col min="2834" max="2834" width="12.28515625" style="19" hidden="1"/>
    <col min="2835" max="2836" width="14.42578125" style="19" hidden="1"/>
    <col min="2837" max="2837" width="12.85546875" style="19" hidden="1"/>
    <col min="2838" max="2838" width="12.28515625" style="19" hidden="1"/>
    <col min="2839" max="2839" width="16.7109375" style="19" hidden="1"/>
    <col min="2840" max="3066" width="0" style="19" hidden="1"/>
    <col min="3067" max="3067" width="1.85546875" style="19" hidden="1"/>
    <col min="3068" max="3068" width="8" style="19" hidden="1"/>
    <col min="3069" max="3069" width="9.5703125" style="19" hidden="1"/>
    <col min="3070" max="3071" width="8" style="19" hidden="1"/>
    <col min="3072" max="3074" width="1.85546875" style="19" hidden="1"/>
    <col min="3075" max="3075" width="13.42578125" style="19" hidden="1"/>
    <col min="3076" max="3076" width="16.85546875" style="19" hidden="1"/>
    <col min="3077" max="3077" width="9.7109375" style="19" hidden="1"/>
    <col min="3078" max="3078" width="9.85546875" style="19" hidden="1"/>
    <col min="3079" max="3079" width="7.7109375" style="19" hidden="1"/>
    <col min="3080" max="3080" width="12.85546875" style="19" hidden="1"/>
    <col min="3081" max="3081" width="13.85546875" style="19" hidden="1"/>
    <col min="3082" max="3082" width="9.85546875" style="19" hidden="1"/>
    <col min="3083" max="3083" width="14.7109375" style="19" hidden="1"/>
    <col min="3084" max="3084" width="16.42578125" style="19" hidden="1"/>
    <col min="3085" max="3087" width="13.85546875" style="19" hidden="1"/>
    <col min="3088" max="3088" width="12.85546875" style="19" hidden="1"/>
    <col min="3089" max="3089" width="14.140625" style="19" hidden="1"/>
    <col min="3090" max="3090" width="12.28515625" style="19" hidden="1"/>
    <col min="3091" max="3092" width="14.42578125" style="19" hidden="1"/>
    <col min="3093" max="3093" width="12.85546875" style="19" hidden="1"/>
    <col min="3094" max="3094" width="12.28515625" style="19" hidden="1"/>
    <col min="3095" max="3095" width="16.7109375" style="19" hidden="1"/>
    <col min="3096" max="3322" width="0" style="19" hidden="1"/>
    <col min="3323" max="3323" width="1.85546875" style="19" hidden="1"/>
    <col min="3324" max="3324" width="8" style="19" hidden="1"/>
    <col min="3325" max="3325" width="9.5703125" style="19" hidden="1"/>
    <col min="3326" max="3327" width="8" style="19" hidden="1"/>
    <col min="3328" max="3330" width="1.85546875" style="19" hidden="1"/>
    <col min="3331" max="3331" width="13.42578125" style="19" hidden="1"/>
    <col min="3332" max="3332" width="16.85546875" style="19" hidden="1"/>
    <col min="3333" max="3333" width="9.7109375" style="19" hidden="1"/>
    <col min="3334" max="3334" width="9.85546875" style="19" hidden="1"/>
    <col min="3335" max="3335" width="7.7109375" style="19" hidden="1"/>
    <col min="3336" max="3336" width="12.85546875" style="19" hidden="1"/>
    <col min="3337" max="3337" width="13.85546875" style="19" hidden="1"/>
    <col min="3338" max="3338" width="9.85546875" style="19" hidden="1"/>
    <col min="3339" max="3339" width="14.7109375" style="19" hidden="1"/>
    <col min="3340" max="3340" width="16.42578125" style="19" hidden="1"/>
    <col min="3341" max="3343" width="13.85546875" style="19" hidden="1"/>
    <col min="3344" max="3344" width="12.85546875" style="19" hidden="1"/>
    <col min="3345" max="3345" width="14.140625" style="19" hidden="1"/>
    <col min="3346" max="3346" width="12.28515625" style="19" hidden="1"/>
    <col min="3347" max="3348" width="14.42578125" style="19" hidden="1"/>
    <col min="3349" max="3349" width="12.85546875" style="19" hidden="1"/>
    <col min="3350" max="3350" width="12.28515625" style="19" hidden="1"/>
    <col min="3351" max="3351" width="16.7109375" style="19" hidden="1"/>
    <col min="3352" max="3578" width="0" style="19" hidden="1"/>
    <col min="3579" max="3579" width="1.85546875" style="19" hidden="1"/>
    <col min="3580" max="3580" width="8" style="19" hidden="1"/>
    <col min="3581" max="3581" width="9.5703125" style="19" hidden="1"/>
    <col min="3582" max="3583" width="8" style="19" hidden="1"/>
    <col min="3584" max="3586" width="1.85546875" style="19" hidden="1"/>
    <col min="3587" max="3587" width="13.42578125" style="19" hidden="1"/>
    <col min="3588" max="3588" width="16.85546875" style="19" hidden="1"/>
    <col min="3589" max="3589" width="9.7109375" style="19" hidden="1"/>
    <col min="3590" max="3590" width="9.85546875" style="19" hidden="1"/>
    <col min="3591" max="3591" width="7.7109375" style="19" hidden="1"/>
    <col min="3592" max="3592" width="12.85546875" style="19" hidden="1"/>
    <col min="3593" max="3593" width="13.85546875" style="19" hidden="1"/>
    <col min="3594" max="3594" width="9.85546875" style="19" hidden="1"/>
    <col min="3595" max="3595" width="14.7109375" style="19" hidden="1"/>
    <col min="3596" max="3596" width="16.42578125" style="19" hidden="1"/>
    <col min="3597" max="3599" width="13.85546875" style="19" hidden="1"/>
    <col min="3600" max="3600" width="12.85546875" style="19" hidden="1"/>
    <col min="3601" max="3601" width="14.140625" style="19" hidden="1"/>
    <col min="3602" max="3602" width="12.28515625" style="19" hidden="1"/>
    <col min="3603" max="3604" width="14.42578125" style="19" hidden="1"/>
    <col min="3605" max="3605" width="12.85546875" style="19" hidden="1"/>
    <col min="3606" max="3606" width="12.28515625" style="19" hidden="1"/>
    <col min="3607" max="3607" width="16.7109375" style="19" hidden="1"/>
    <col min="3608" max="3834" width="0" style="19" hidden="1"/>
    <col min="3835" max="3835" width="1.85546875" style="19" hidden="1"/>
    <col min="3836" max="3836" width="8" style="19" hidden="1"/>
    <col min="3837" max="3837" width="9.5703125" style="19" hidden="1"/>
    <col min="3838" max="3839" width="8" style="19" hidden="1"/>
    <col min="3840" max="3842" width="1.85546875" style="19" hidden="1"/>
    <col min="3843" max="3843" width="13.42578125" style="19" hidden="1"/>
    <col min="3844" max="3844" width="16.85546875" style="19" hidden="1"/>
    <col min="3845" max="3845" width="9.7109375" style="19" hidden="1"/>
    <col min="3846" max="3846" width="9.85546875" style="19" hidden="1"/>
    <col min="3847" max="3847" width="7.7109375" style="19" hidden="1"/>
    <col min="3848" max="3848" width="12.85546875" style="19" hidden="1"/>
    <col min="3849" max="3849" width="13.85546875" style="19" hidden="1"/>
    <col min="3850" max="3850" width="9.85546875" style="19" hidden="1"/>
    <col min="3851" max="3851" width="14.7109375" style="19" hidden="1"/>
    <col min="3852" max="3852" width="16.42578125" style="19" hidden="1"/>
    <col min="3853" max="3855" width="13.85546875" style="19" hidden="1"/>
    <col min="3856" max="3856" width="12.85546875" style="19" hidden="1"/>
    <col min="3857" max="3857" width="14.140625" style="19" hidden="1"/>
    <col min="3858" max="3858" width="12.28515625" style="19" hidden="1"/>
    <col min="3859" max="3860" width="14.42578125" style="19" hidden="1"/>
    <col min="3861" max="3861" width="12.85546875" style="19" hidden="1"/>
    <col min="3862" max="3862" width="12.28515625" style="19" hidden="1"/>
    <col min="3863" max="3863" width="16.7109375" style="19" hidden="1"/>
    <col min="3864" max="4090" width="0" style="19" hidden="1"/>
    <col min="4091" max="4091" width="1.85546875" style="19" hidden="1"/>
    <col min="4092" max="4092" width="8" style="19" hidden="1"/>
    <col min="4093" max="4093" width="9.5703125" style="19" hidden="1"/>
    <col min="4094" max="4095" width="8" style="19" hidden="1"/>
    <col min="4096" max="4098" width="1.85546875" style="19" hidden="1"/>
    <col min="4099" max="4099" width="13.42578125" style="19" hidden="1"/>
    <col min="4100" max="4100" width="16.85546875" style="19" hidden="1"/>
    <col min="4101" max="4101" width="9.7109375" style="19" hidden="1"/>
    <col min="4102" max="4102" width="9.85546875" style="19" hidden="1"/>
    <col min="4103" max="4103" width="7.7109375" style="19" hidden="1"/>
    <col min="4104" max="4104" width="12.85546875" style="19" hidden="1"/>
    <col min="4105" max="4105" width="13.85546875" style="19" hidden="1"/>
    <col min="4106" max="4106" width="9.85546875" style="19" hidden="1"/>
    <col min="4107" max="4107" width="14.7109375" style="19" hidden="1"/>
    <col min="4108" max="4108" width="16.42578125" style="19" hidden="1"/>
    <col min="4109" max="4111" width="13.85546875" style="19" hidden="1"/>
    <col min="4112" max="4112" width="12.85546875" style="19" hidden="1"/>
    <col min="4113" max="4113" width="14.140625" style="19" hidden="1"/>
    <col min="4114" max="4114" width="12.28515625" style="19" hidden="1"/>
    <col min="4115" max="4116" width="14.42578125" style="19" hidden="1"/>
    <col min="4117" max="4117" width="12.85546875" style="19" hidden="1"/>
    <col min="4118" max="4118" width="12.28515625" style="19" hidden="1"/>
    <col min="4119" max="4119" width="16.7109375" style="19" hidden="1"/>
    <col min="4120" max="4346" width="0" style="19" hidden="1"/>
    <col min="4347" max="4347" width="1.85546875" style="19" hidden="1"/>
    <col min="4348" max="4348" width="8" style="19" hidden="1"/>
    <col min="4349" max="4349" width="9.5703125" style="19" hidden="1"/>
    <col min="4350" max="4351" width="8" style="19" hidden="1"/>
    <col min="4352" max="4354" width="1.85546875" style="19" hidden="1"/>
    <col min="4355" max="4355" width="13.42578125" style="19" hidden="1"/>
    <col min="4356" max="4356" width="16.85546875" style="19" hidden="1"/>
    <col min="4357" max="4357" width="9.7109375" style="19" hidden="1"/>
    <col min="4358" max="4358" width="9.85546875" style="19" hidden="1"/>
    <col min="4359" max="4359" width="7.7109375" style="19" hidden="1"/>
    <col min="4360" max="4360" width="12.85546875" style="19" hidden="1"/>
    <col min="4361" max="4361" width="13.85546875" style="19" hidden="1"/>
    <col min="4362" max="4362" width="9.85546875" style="19" hidden="1"/>
    <col min="4363" max="4363" width="14.7109375" style="19" hidden="1"/>
    <col min="4364" max="4364" width="16.42578125" style="19" hidden="1"/>
    <col min="4365" max="4367" width="13.85546875" style="19" hidden="1"/>
    <col min="4368" max="4368" width="12.85546875" style="19" hidden="1"/>
    <col min="4369" max="4369" width="14.140625" style="19" hidden="1"/>
    <col min="4370" max="4370" width="12.28515625" style="19" hidden="1"/>
    <col min="4371" max="4372" width="14.42578125" style="19" hidden="1"/>
    <col min="4373" max="4373" width="12.85546875" style="19" hidden="1"/>
    <col min="4374" max="4374" width="12.28515625" style="19" hidden="1"/>
    <col min="4375" max="4375" width="16.7109375" style="19" hidden="1"/>
    <col min="4376" max="4602" width="0" style="19" hidden="1"/>
    <col min="4603" max="4603" width="1.85546875" style="19" hidden="1"/>
    <col min="4604" max="4604" width="8" style="19" hidden="1"/>
    <col min="4605" max="4605" width="9.5703125" style="19" hidden="1"/>
    <col min="4606" max="4607" width="8" style="19" hidden="1"/>
    <col min="4608" max="4610" width="1.85546875" style="19" hidden="1"/>
    <col min="4611" max="4611" width="13.42578125" style="19" hidden="1"/>
    <col min="4612" max="4612" width="16.85546875" style="19" hidden="1"/>
    <col min="4613" max="4613" width="9.7109375" style="19" hidden="1"/>
    <col min="4614" max="4614" width="9.85546875" style="19" hidden="1"/>
    <col min="4615" max="4615" width="7.7109375" style="19" hidden="1"/>
    <col min="4616" max="4616" width="12.85546875" style="19" hidden="1"/>
    <col min="4617" max="4617" width="13.85546875" style="19" hidden="1"/>
    <col min="4618" max="4618" width="9.85546875" style="19" hidden="1"/>
    <col min="4619" max="4619" width="14.7109375" style="19" hidden="1"/>
    <col min="4620" max="4620" width="16.42578125" style="19" hidden="1"/>
    <col min="4621" max="4623" width="13.85546875" style="19" hidden="1"/>
    <col min="4624" max="4624" width="12.85546875" style="19" hidden="1"/>
    <col min="4625" max="4625" width="14.140625" style="19" hidden="1"/>
    <col min="4626" max="4626" width="12.28515625" style="19" hidden="1"/>
    <col min="4627" max="4628" width="14.42578125" style="19" hidden="1"/>
    <col min="4629" max="4629" width="12.85546875" style="19" hidden="1"/>
    <col min="4630" max="4630" width="12.28515625" style="19" hidden="1"/>
    <col min="4631" max="4631" width="16.7109375" style="19" hidden="1"/>
    <col min="4632" max="4858" width="0" style="19" hidden="1"/>
    <col min="4859" max="4859" width="1.85546875" style="19" hidden="1"/>
    <col min="4860" max="4860" width="8" style="19" hidden="1"/>
    <col min="4861" max="4861" width="9.5703125" style="19" hidden="1"/>
    <col min="4862" max="4863" width="8" style="19" hidden="1"/>
    <col min="4864" max="4866" width="1.85546875" style="19" hidden="1"/>
    <col min="4867" max="4867" width="13.42578125" style="19" hidden="1"/>
    <col min="4868" max="4868" width="16.85546875" style="19" hidden="1"/>
    <col min="4869" max="4869" width="9.7109375" style="19" hidden="1"/>
    <col min="4870" max="4870" width="9.85546875" style="19" hidden="1"/>
    <col min="4871" max="4871" width="7.7109375" style="19" hidden="1"/>
    <col min="4872" max="4872" width="12.85546875" style="19" hidden="1"/>
    <col min="4873" max="4873" width="13.85546875" style="19" hidden="1"/>
    <col min="4874" max="4874" width="9.85546875" style="19" hidden="1"/>
    <col min="4875" max="4875" width="14.7109375" style="19" hidden="1"/>
    <col min="4876" max="4876" width="16.42578125" style="19" hidden="1"/>
    <col min="4877" max="4879" width="13.85546875" style="19" hidden="1"/>
    <col min="4880" max="4880" width="12.85546875" style="19" hidden="1"/>
    <col min="4881" max="4881" width="14.140625" style="19" hidden="1"/>
    <col min="4882" max="4882" width="12.28515625" style="19" hidden="1"/>
    <col min="4883" max="4884" width="14.42578125" style="19" hidden="1"/>
    <col min="4885" max="4885" width="12.85546875" style="19" hidden="1"/>
    <col min="4886" max="4886" width="12.28515625" style="19" hidden="1"/>
    <col min="4887" max="4887" width="16.7109375" style="19" hidden="1"/>
    <col min="4888" max="5114" width="0" style="19" hidden="1"/>
    <col min="5115" max="5115" width="1.85546875" style="19" hidden="1"/>
    <col min="5116" max="5116" width="8" style="19" hidden="1"/>
    <col min="5117" max="5117" width="9.5703125" style="19" hidden="1"/>
    <col min="5118" max="5119" width="8" style="19" hidden="1"/>
    <col min="5120" max="5122" width="1.85546875" style="19" hidden="1"/>
    <col min="5123" max="5123" width="13.42578125" style="19" hidden="1"/>
    <col min="5124" max="5124" width="16.85546875" style="19" hidden="1"/>
    <col min="5125" max="5125" width="9.7109375" style="19" hidden="1"/>
    <col min="5126" max="5126" width="9.85546875" style="19" hidden="1"/>
    <col min="5127" max="5127" width="7.7109375" style="19" hidden="1"/>
    <col min="5128" max="5128" width="12.85546875" style="19" hidden="1"/>
    <col min="5129" max="5129" width="13.85546875" style="19" hidden="1"/>
    <col min="5130" max="5130" width="9.85546875" style="19" hidden="1"/>
    <col min="5131" max="5131" width="14.7109375" style="19" hidden="1"/>
    <col min="5132" max="5132" width="16.42578125" style="19" hidden="1"/>
    <col min="5133" max="5135" width="13.85546875" style="19" hidden="1"/>
    <col min="5136" max="5136" width="12.85546875" style="19" hidden="1"/>
    <col min="5137" max="5137" width="14.140625" style="19" hidden="1"/>
    <col min="5138" max="5138" width="12.28515625" style="19" hidden="1"/>
    <col min="5139" max="5140" width="14.42578125" style="19" hidden="1"/>
    <col min="5141" max="5141" width="12.85546875" style="19" hidden="1"/>
    <col min="5142" max="5142" width="12.28515625" style="19" hidden="1"/>
    <col min="5143" max="5143" width="16.7109375" style="19" hidden="1"/>
    <col min="5144" max="5370" width="0" style="19" hidden="1"/>
    <col min="5371" max="5371" width="1.85546875" style="19" hidden="1"/>
    <col min="5372" max="5372" width="8" style="19" hidden="1"/>
    <col min="5373" max="5373" width="9.5703125" style="19" hidden="1"/>
    <col min="5374" max="5375" width="8" style="19" hidden="1"/>
    <col min="5376" max="5378" width="1.85546875" style="19" hidden="1"/>
    <col min="5379" max="5379" width="13.42578125" style="19" hidden="1"/>
    <col min="5380" max="5380" width="16.85546875" style="19" hidden="1"/>
    <col min="5381" max="5381" width="9.7109375" style="19" hidden="1"/>
    <col min="5382" max="5382" width="9.85546875" style="19" hidden="1"/>
    <col min="5383" max="5383" width="7.7109375" style="19" hidden="1"/>
    <col min="5384" max="5384" width="12.85546875" style="19" hidden="1"/>
    <col min="5385" max="5385" width="13.85546875" style="19" hidden="1"/>
    <col min="5386" max="5386" width="9.85546875" style="19" hidden="1"/>
    <col min="5387" max="5387" width="14.7109375" style="19" hidden="1"/>
    <col min="5388" max="5388" width="16.42578125" style="19" hidden="1"/>
    <col min="5389" max="5391" width="13.85546875" style="19" hidden="1"/>
    <col min="5392" max="5392" width="12.85546875" style="19" hidden="1"/>
    <col min="5393" max="5393" width="14.140625" style="19" hidden="1"/>
    <col min="5394" max="5394" width="12.28515625" style="19" hidden="1"/>
    <col min="5395" max="5396" width="14.42578125" style="19" hidden="1"/>
    <col min="5397" max="5397" width="12.85546875" style="19" hidden="1"/>
    <col min="5398" max="5398" width="12.28515625" style="19" hidden="1"/>
    <col min="5399" max="5399" width="16.7109375" style="19" hidden="1"/>
    <col min="5400" max="5626" width="0" style="19" hidden="1"/>
    <col min="5627" max="5627" width="1.85546875" style="19" hidden="1"/>
    <col min="5628" max="5628" width="8" style="19" hidden="1"/>
    <col min="5629" max="5629" width="9.5703125" style="19" hidden="1"/>
    <col min="5630" max="5631" width="8" style="19" hidden="1"/>
    <col min="5632" max="5634" width="1.85546875" style="19" hidden="1"/>
    <col min="5635" max="5635" width="13.42578125" style="19" hidden="1"/>
    <col min="5636" max="5636" width="16.85546875" style="19" hidden="1"/>
    <col min="5637" max="5637" width="9.7109375" style="19" hidden="1"/>
    <col min="5638" max="5638" width="9.85546875" style="19" hidden="1"/>
    <col min="5639" max="5639" width="7.7109375" style="19" hidden="1"/>
    <col min="5640" max="5640" width="12.85546875" style="19" hidden="1"/>
    <col min="5641" max="5641" width="13.85546875" style="19" hidden="1"/>
    <col min="5642" max="5642" width="9.85546875" style="19" hidden="1"/>
    <col min="5643" max="5643" width="14.7109375" style="19" hidden="1"/>
    <col min="5644" max="5644" width="16.42578125" style="19" hidden="1"/>
    <col min="5645" max="5647" width="13.85546875" style="19" hidden="1"/>
    <col min="5648" max="5648" width="12.85546875" style="19" hidden="1"/>
    <col min="5649" max="5649" width="14.140625" style="19" hidden="1"/>
    <col min="5650" max="5650" width="12.28515625" style="19" hidden="1"/>
    <col min="5651" max="5652" width="14.42578125" style="19" hidden="1"/>
    <col min="5653" max="5653" width="12.85546875" style="19" hidden="1"/>
    <col min="5654" max="5654" width="12.28515625" style="19" hidden="1"/>
    <col min="5655" max="5655" width="16.7109375" style="19" hidden="1"/>
    <col min="5656" max="5882" width="0" style="19" hidden="1"/>
    <col min="5883" max="5883" width="1.85546875" style="19" hidden="1"/>
    <col min="5884" max="5884" width="8" style="19" hidden="1"/>
    <col min="5885" max="5885" width="9.5703125" style="19" hidden="1"/>
    <col min="5886" max="5887" width="8" style="19" hidden="1"/>
    <col min="5888" max="5890" width="1.85546875" style="19" hidden="1"/>
    <col min="5891" max="5891" width="13.42578125" style="19" hidden="1"/>
    <col min="5892" max="5892" width="16.85546875" style="19" hidden="1"/>
    <col min="5893" max="5893" width="9.7109375" style="19" hidden="1"/>
    <col min="5894" max="5894" width="9.85546875" style="19" hidden="1"/>
    <col min="5895" max="5895" width="7.7109375" style="19" hidden="1"/>
    <col min="5896" max="5896" width="12.85546875" style="19" hidden="1"/>
    <col min="5897" max="5897" width="13.85546875" style="19" hidden="1"/>
    <col min="5898" max="5898" width="9.85546875" style="19" hidden="1"/>
    <col min="5899" max="5899" width="14.7109375" style="19" hidden="1"/>
    <col min="5900" max="5900" width="16.42578125" style="19" hidden="1"/>
    <col min="5901" max="5903" width="13.85546875" style="19" hidden="1"/>
    <col min="5904" max="5904" width="12.85546875" style="19" hidden="1"/>
    <col min="5905" max="5905" width="14.140625" style="19" hidden="1"/>
    <col min="5906" max="5906" width="12.28515625" style="19" hidden="1"/>
    <col min="5907" max="5908" width="14.42578125" style="19" hidden="1"/>
    <col min="5909" max="5909" width="12.85546875" style="19" hidden="1"/>
    <col min="5910" max="5910" width="12.28515625" style="19" hidden="1"/>
    <col min="5911" max="5911" width="16.7109375" style="19" hidden="1"/>
    <col min="5912" max="6138" width="0" style="19" hidden="1"/>
    <col min="6139" max="6139" width="1.85546875" style="19" hidden="1"/>
    <col min="6140" max="6140" width="8" style="19" hidden="1"/>
    <col min="6141" max="6141" width="9.5703125" style="19" hidden="1"/>
    <col min="6142" max="6143" width="8" style="19" hidden="1"/>
    <col min="6144" max="6146" width="1.85546875" style="19" hidden="1"/>
    <col min="6147" max="6147" width="13.42578125" style="19" hidden="1"/>
    <col min="6148" max="6148" width="16.85546875" style="19" hidden="1"/>
    <col min="6149" max="6149" width="9.7109375" style="19" hidden="1"/>
    <col min="6150" max="6150" width="9.85546875" style="19" hidden="1"/>
    <col min="6151" max="6151" width="7.7109375" style="19" hidden="1"/>
    <col min="6152" max="6152" width="12.85546875" style="19" hidden="1"/>
    <col min="6153" max="6153" width="13.85546875" style="19" hidden="1"/>
    <col min="6154" max="6154" width="9.85546875" style="19" hidden="1"/>
    <col min="6155" max="6155" width="14.7109375" style="19" hidden="1"/>
    <col min="6156" max="6156" width="16.42578125" style="19" hidden="1"/>
    <col min="6157" max="6159" width="13.85546875" style="19" hidden="1"/>
    <col min="6160" max="6160" width="12.85546875" style="19" hidden="1"/>
    <col min="6161" max="6161" width="14.140625" style="19" hidden="1"/>
    <col min="6162" max="6162" width="12.28515625" style="19" hidden="1"/>
    <col min="6163" max="6164" width="14.42578125" style="19" hidden="1"/>
    <col min="6165" max="6165" width="12.85546875" style="19" hidden="1"/>
    <col min="6166" max="6166" width="12.28515625" style="19" hidden="1"/>
    <col min="6167" max="6167" width="16.7109375" style="19" hidden="1"/>
    <col min="6168" max="6394" width="0" style="19" hidden="1"/>
    <col min="6395" max="6395" width="1.85546875" style="19" hidden="1"/>
    <col min="6396" max="6396" width="8" style="19" hidden="1"/>
    <col min="6397" max="6397" width="9.5703125" style="19" hidden="1"/>
    <col min="6398" max="6399" width="8" style="19" hidden="1"/>
    <col min="6400" max="6402" width="1.85546875" style="19" hidden="1"/>
    <col min="6403" max="6403" width="13.42578125" style="19" hidden="1"/>
    <col min="6404" max="6404" width="16.85546875" style="19" hidden="1"/>
    <col min="6405" max="6405" width="9.7109375" style="19" hidden="1"/>
    <col min="6406" max="6406" width="9.85546875" style="19" hidden="1"/>
    <col min="6407" max="6407" width="7.7109375" style="19" hidden="1"/>
    <col min="6408" max="6408" width="12.85546875" style="19" hidden="1"/>
    <col min="6409" max="6409" width="13.85546875" style="19" hidden="1"/>
    <col min="6410" max="6410" width="9.85546875" style="19" hidden="1"/>
    <col min="6411" max="6411" width="14.7109375" style="19" hidden="1"/>
    <col min="6412" max="6412" width="16.42578125" style="19" hidden="1"/>
    <col min="6413" max="6415" width="13.85546875" style="19" hidden="1"/>
    <col min="6416" max="6416" width="12.85546875" style="19" hidden="1"/>
    <col min="6417" max="6417" width="14.140625" style="19" hidden="1"/>
    <col min="6418" max="6418" width="12.28515625" style="19" hidden="1"/>
    <col min="6419" max="6420" width="14.42578125" style="19" hidden="1"/>
    <col min="6421" max="6421" width="12.85546875" style="19" hidden="1"/>
    <col min="6422" max="6422" width="12.28515625" style="19" hidden="1"/>
    <col min="6423" max="6423" width="16.7109375" style="19" hidden="1"/>
    <col min="6424" max="6650" width="0" style="19" hidden="1"/>
    <col min="6651" max="6651" width="1.85546875" style="19" hidden="1"/>
    <col min="6652" max="6652" width="8" style="19" hidden="1"/>
    <col min="6653" max="6653" width="9.5703125" style="19" hidden="1"/>
    <col min="6654" max="6655" width="8" style="19" hidden="1"/>
    <col min="6656" max="6658" width="1.85546875" style="19" hidden="1"/>
    <col min="6659" max="6659" width="13.42578125" style="19" hidden="1"/>
    <col min="6660" max="6660" width="16.85546875" style="19" hidden="1"/>
    <col min="6661" max="6661" width="9.7109375" style="19" hidden="1"/>
    <col min="6662" max="6662" width="9.85546875" style="19" hidden="1"/>
    <col min="6663" max="6663" width="7.7109375" style="19" hidden="1"/>
    <col min="6664" max="6664" width="12.85546875" style="19" hidden="1"/>
    <col min="6665" max="6665" width="13.85546875" style="19" hidden="1"/>
    <col min="6666" max="6666" width="9.85546875" style="19" hidden="1"/>
    <col min="6667" max="6667" width="14.7109375" style="19" hidden="1"/>
    <col min="6668" max="6668" width="16.42578125" style="19" hidden="1"/>
    <col min="6669" max="6671" width="13.85546875" style="19" hidden="1"/>
    <col min="6672" max="6672" width="12.85546875" style="19" hidden="1"/>
    <col min="6673" max="6673" width="14.140625" style="19" hidden="1"/>
    <col min="6674" max="6674" width="12.28515625" style="19" hidden="1"/>
    <col min="6675" max="6676" width="14.42578125" style="19" hidden="1"/>
    <col min="6677" max="6677" width="12.85546875" style="19" hidden="1"/>
    <col min="6678" max="6678" width="12.28515625" style="19" hidden="1"/>
    <col min="6679" max="6679" width="16.7109375" style="19" hidden="1"/>
    <col min="6680" max="6906" width="0" style="19" hidden="1"/>
    <col min="6907" max="6907" width="1.85546875" style="19" hidden="1"/>
    <col min="6908" max="6908" width="8" style="19" hidden="1"/>
    <col min="6909" max="6909" width="9.5703125" style="19" hidden="1"/>
    <col min="6910" max="6911" width="8" style="19" hidden="1"/>
    <col min="6912" max="6914" width="1.85546875" style="19" hidden="1"/>
    <col min="6915" max="6915" width="13.42578125" style="19" hidden="1"/>
    <col min="6916" max="6916" width="16.85546875" style="19" hidden="1"/>
    <col min="6917" max="6917" width="9.7109375" style="19" hidden="1"/>
    <col min="6918" max="6918" width="9.85546875" style="19" hidden="1"/>
    <col min="6919" max="6919" width="7.7109375" style="19" hidden="1"/>
    <col min="6920" max="6920" width="12.85546875" style="19" hidden="1"/>
    <col min="6921" max="6921" width="13.85546875" style="19" hidden="1"/>
    <col min="6922" max="6922" width="9.85546875" style="19" hidden="1"/>
    <col min="6923" max="6923" width="14.7109375" style="19" hidden="1"/>
    <col min="6924" max="6924" width="16.42578125" style="19" hidden="1"/>
    <col min="6925" max="6927" width="13.85546875" style="19" hidden="1"/>
    <col min="6928" max="6928" width="12.85546875" style="19" hidden="1"/>
    <col min="6929" max="6929" width="14.140625" style="19" hidden="1"/>
    <col min="6930" max="6930" width="12.28515625" style="19" hidden="1"/>
    <col min="6931" max="6932" width="14.42578125" style="19" hidden="1"/>
    <col min="6933" max="6933" width="12.85546875" style="19" hidden="1"/>
    <col min="6934" max="6934" width="12.28515625" style="19" hidden="1"/>
    <col min="6935" max="6935" width="16.7109375" style="19" hidden="1"/>
    <col min="6936" max="7162" width="0" style="19" hidden="1"/>
    <col min="7163" max="7163" width="1.85546875" style="19" hidden="1"/>
    <col min="7164" max="7164" width="8" style="19" hidden="1"/>
    <col min="7165" max="7165" width="9.5703125" style="19" hidden="1"/>
    <col min="7166" max="7167" width="8" style="19" hidden="1"/>
    <col min="7168" max="7170" width="1.85546875" style="19" hidden="1"/>
    <col min="7171" max="7171" width="13.42578125" style="19" hidden="1"/>
    <col min="7172" max="7172" width="16.85546875" style="19" hidden="1"/>
    <col min="7173" max="7173" width="9.7109375" style="19" hidden="1"/>
    <col min="7174" max="7174" width="9.85546875" style="19" hidden="1"/>
    <col min="7175" max="7175" width="7.7109375" style="19" hidden="1"/>
    <col min="7176" max="7176" width="12.85546875" style="19" hidden="1"/>
    <col min="7177" max="7177" width="13.85546875" style="19" hidden="1"/>
    <col min="7178" max="7178" width="9.85546875" style="19" hidden="1"/>
    <col min="7179" max="7179" width="14.7109375" style="19" hidden="1"/>
    <col min="7180" max="7180" width="16.42578125" style="19" hidden="1"/>
    <col min="7181" max="7183" width="13.85546875" style="19" hidden="1"/>
    <col min="7184" max="7184" width="12.85546875" style="19" hidden="1"/>
    <col min="7185" max="7185" width="14.140625" style="19" hidden="1"/>
    <col min="7186" max="7186" width="12.28515625" style="19" hidden="1"/>
    <col min="7187" max="7188" width="14.42578125" style="19" hidden="1"/>
    <col min="7189" max="7189" width="12.85546875" style="19" hidden="1"/>
    <col min="7190" max="7190" width="12.28515625" style="19" hidden="1"/>
    <col min="7191" max="7191" width="16.7109375" style="19" hidden="1"/>
    <col min="7192" max="7418" width="0" style="19" hidden="1"/>
    <col min="7419" max="7419" width="1.85546875" style="19" hidden="1"/>
    <col min="7420" max="7420" width="8" style="19" hidden="1"/>
    <col min="7421" max="7421" width="9.5703125" style="19" hidden="1"/>
    <col min="7422" max="7423" width="8" style="19" hidden="1"/>
    <col min="7424" max="7426" width="1.85546875" style="19" hidden="1"/>
    <col min="7427" max="7427" width="13.42578125" style="19" hidden="1"/>
    <col min="7428" max="7428" width="16.85546875" style="19" hidden="1"/>
    <col min="7429" max="7429" width="9.7109375" style="19" hidden="1"/>
    <col min="7430" max="7430" width="9.85546875" style="19" hidden="1"/>
    <col min="7431" max="7431" width="7.7109375" style="19" hidden="1"/>
    <col min="7432" max="7432" width="12.85546875" style="19" hidden="1"/>
    <col min="7433" max="7433" width="13.85546875" style="19" hidden="1"/>
    <col min="7434" max="7434" width="9.85546875" style="19" hidden="1"/>
    <col min="7435" max="7435" width="14.7109375" style="19" hidden="1"/>
    <col min="7436" max="7436" width="16.42578125" style="19" hidden="1"/>
    <col min="7437" max="7439" width="13.85546875" style="19" hidden="1"/>
    <col min="7440" max="7440" width="12.85546875" style="19" hidden="1"/>
    <col min="7441" max="7441" width="14.140625" style="19" hidden="1"/>
    <col min="7442" max="7442" width="12.28515625" style="19" hidden="1"/>
    <col min="7443" max="7444" width="14.42578125" style="19" hidden="1"/>
    <col min="7445" max="7445" width="12.85546875" style="19" hidden="1"/>
    <col min="7446" max="7446" width="12.28515625" style="19" hidden="1"/>
    <col min="7447" max="7447" width="16.7109375" style="19" hidden="1"/>
    <col min="7448" max="7674" width="0" style="19" hidden="1"/>
    <col min="7675" max="7675" width="1.85546875" style="19" hidden="1"/>
    <col min="7676" max="7676" width="8" style="19" hidden="1"/>
    <col min="7677" max="7677" width="9.5703125" style="19" hidden="1"/>
    <col min="7678" max="7679" width="8" style="19" hidden="1"/>
    <col min="7680" max="7682" width="1.85546875" style="19" hidden="1"/>
    <col min="7683" max="7683" width="13.42578125" style="19" hidden="1"/>
    <col min="7684" max="7684" width="16.85546875" style="19" hidden="1"/>
    <col min="7685" max="7685" width="9.7109375" style="19" hidden="1"/>
    <col min="7686" max="7686" width="9.85546875" style="19" hidden="1"/>
    <col min="7687" max="7687" width="7.7109375" style="19" hidden="1"/>
    <col min="7688" max="7688" width="12.85546875" style="19" hidden="1"/>
    <col min="7689" max="7689" width="13.85546875" style="19" hidden="1"/>
    <col min="7690" max="7690" width="9.85546875" style="19" hidden="1"/>
    <col min="7691" max="7691" width="14.7109375" style="19" hidden="1"/>
    <col min="7692" max="7692" width="16.42578125" style="19" hidden="1"/>
    <col min="7693" max="7695" width="13.85546875" style="19" hidden="1"/>
    <col min="7696" max="7696" width="12.85546875" style="19" hidden="1"/>
    <col min="7697" max="7697" width="14.140625" style="19" hidden="1"/>
    <col min="7698" max="7698" width="12.28515625" style="19" hidden="1"/>
    <col min="7699" max="7700" width="14.42578125" style="19" hidden="1"/>
    <col min="7701" max="7701" width="12.85546875" style="19" hidden="1"/>
    <col min="7702" max="7702" width="12.28515625" style="19" hidden="1"/>
    <col min="7703" max="7703" width="16.7109375" style="19" hidden="1"/>
    <col min="7704" max="7930" width="0" style="19" hidden="1"/>
    <col min="7931" max="7931" width="1.85546875" style="19" hidden="1"/>
    <col min="7932" max="7932" width="8" style="19" hidden="1"/>
    <col min="7933" max="7933" width="9.5703125" style="19" hidden="1"/>
    <col min="7934" max="7935" width="8" style="19" hidden="1"/>
    <col min="7936" max="7938" width="1.85546875" style="19" hidden="1"/>
    <col min="7939" max="7939" width="13.42578125" style="19" hidden="1"/>
    <col min="7940" max="7940" width="16.85546875" style="19" hidden="1"/>
    <col min="7941" max="7941" width="9.7109375" style="19" hidden="1"/>
    <col min="7942" max="7942" width="9.85546875" style="19" hidden="1"/>
    <col min="7943" max="7943" width="7.7109375" style="19" hidden="1"/>
    <col min="7944" max="7944" width="12.85546875" style="19" hidden="1"/>
    <col min="7945" max="7945" width="13.85546875" style="19" hidden="1"/>
    <col min="7946" max="7946" width="9.85546875" style="19" hidden="1"/>
    <col min="7947" max="7947" width="14.7109375" style="19" hidden="1"/>
    <col min="7948" max="7948" width="16.42578125" style="19" hidden="1"/>
    <col min="7949" max="7951" width="13.85546875" style="19" hidden="1"/>
    <col min="7952" max="7952" width="12.85546875" style="19" hidden="1"/>
    <col min="7953" max="7953" width="14.140625" style="19" hidden="1"/>
    <col min="7954" max="7954" width="12.28515625" style="19" hidden="1"/>
    <col min="7955" max="7956" width="14.42578125" style="19" hidden="1"/>
    <col min="7957" max="7957" width="12.85546875" style="19" hidden="1"/>
    <col min="7958" max="7958" width="12.28515625" style="19" hidden="1"/>
    <col min="7959" max="7959" width="16.7109375" style="19" hidden="1"/>
    <col min="7960" max="8186" width="0" style="19" hidden="1"/>
    <col min="8187" max="8187" width="1.85546875" style="19" hidden="1"/>
    <col min="8188" max="8188" width="8" style="19" hidden="1"/>
    <col min="8189" max="8189" width="9.5703125" style="19" hidden="1"/>
    <col min="8190" max="8191" width="8" style="19" hidden="1"/>
    <col min="8192" max="8194" width="1.85546875" style="19" hidden="1"/>
    <col min="8195" max="8195" width="13.42578125" style="19" hidden="1"/>
    <col min="8196" max="8196" width="16.85546875" style="19" hidden="1"/>
    <col min="8197" max="8197" width="9.7109375" style="19" hidden="1"/>
    <col min="8198" max="8198" width="9.85546875" style="19" hidden="1"/>
    <col min="8199" max="8199" width="7.7109375" style="19" hidden="1"/>
    <col min="8200" max="8200" width="12.85546875" style="19" hidden="1"/>
    <col min="8201" max="8201" width="13.85546875" style="19" hidden="1"/>
    <col min="8202" max="8202" width="9.85546875" style="19" hidden="1"/>
    <col min="8203" max="8203" width="14.7109375" style="19" hidden="1"/>
    <col min="8204" max="8204" width="16.42578125" style="19" hidden="1"/>
    <col min="8205" max="8207" width="13.85546875" style="19" hidden="1"/>
    <col min="8208" max="8208" width="12.85546875" style="19" hidden="1"/>
    <col min="8209" max="8209" width="14.140625" style="19" hidden="1"/>
    <col min="8210" max="8210" width="12.28515625" style="19" hidden="1"/>
    <col min="8211" max="8212" width="14.42578125" style="19" hidden="1"/>
    <col min="8213" max="8213" width="12.85546875" style="19" hidden="1"/>
    <col min="8214" max="8214" width="12.28515625" style="19" hidden="1"/>
    <col min="8215" max="8215" width="16.7109375" style="19" hidden="1"/>
    <col min="8216" max="8442" width="0" style="19" hidden="1"/>
    <col min="8443" max="8443" width="1.85546875" style="19" hidden="1"/>
    <col min="8444" max="8444" width="8" style="19" hidden="1"/>
    <col min="8445" max="8445" width="9.5703125" style="19" hidden="1"/>
    <col min="8446" max="8447" width="8" style="19" hidden="1"/>
    <col min="8448" max="8450" width="1.85546875" style="19" hidden="1"/>
    <col min="8451" max="8451" width="13.42578125" style="19" hidden="1"/>
    <col min="8452" max="8452" width="16.85546875" style="19" hidden="1"/>
    <col min="8453" max="8453" width="9.7109375" style="19" hidden="1"/>
    <col min="8454" max="8454" width="9.85546875" style="19" hidden="1"/>
    <col min="8455" max="8455" width="7.7109375" style="19" hidden="1"/>
    <col min="8456" max="8456" width="12.85546875" style="19" hidden="1"/>
    <col min="8457" max="8457" width="13.85546875" style="19" hidden="1"/>
    <col min="8458" max="8458" width="9.85546875" style="19" hidden="1"/>
    <col min="8459" max="8459" width="14.7109375" style="19" hidden="1"/>
    <col min="8460" max="8460" width="16.42578125" style="19" hidden="1"/>
    <col min="8461" max="8463" width="13.85546875" style="19" hidden="1"/>
    <col min="8464" max="8464" width="12.85546875" style="19" hidden="1"/>
    <col min="8465" max="8465" width="14.140625" style="19" hidden="1"/>
    <col min="8466" max="8466" width="12.28515625" style="19" hidden="1"/>
    <col min="8467" max="8468" width="14.42578125" style="19" hidden="1"/>
    <col min="8469" max="8469" width="12.85546875" style="19" hidden="1"/>
    <col min="8470" max="8470" width="12.28515625" style="19" hidden="1"/>
    <col min="8471" max="8471" width="16.7109375" style="19" hidden="1"/>
    <col min="8472" max="8698" width="0" style="19" hidden="1"/>
    <col min="8699" max="8699" width="1.85546875" style="19" hidden="1"/>
    <col min="8700" max="8700" width="8" style="19" hidden="1"/>
    <col min="8701" max="8701" width="9.5703125" style="19" hidden="1"/>
    <col min="8702" max="8703" width="8" style="19" hidden="1"/>
    <col min="8704" max="8706" width="1.85546875" style="19" hidden="1"/>
    <col min="8707" max="8707" width="13.42578125" style="19" hidden="1"/>
    <col min="8708" max="8708" width="16.85546875" style="19" hidden="1"/>
    <col min="8709" max="8709" width="9.7109375" style="19" hidden="1"/>
    <col min="8710" max="8710" width="9.85546875" style="19" hidden="1"/>
    <col min="8711" max="8711" width="7.7109375" style="19" hidden="1"/>
    <col min="8712" max="8712" width="12.85546875" style="19" hidden="1"/>
    <col min="8713" max="8713" width="13.85546875" style="19" hidden="1"/>
    <col min="8714" max="8714" width="9.85546875" style="19" hidden="1"/>
    <col min="8715" max="8715" width="14.7109375" style="19" hidden="1"/>
    <col min="8716" max="8716" width="16.42578125" style="19" hidden="1"/>
    <col min="8717" max="8719" width="13.85546875" style="19" hidden="1"/>
    <col min="8720" max="8720" width="12.85546875" style="19" hidden="1"/>
    <col min="8721" max="8721" width="14.140625" style="19" hidden="1"/>
    <col min="8722" max="8722" width="12.28515625" style="19" hidden="1"/>
    <col min="8723" max="8724" width="14.42578125" style="19" hidden="1"/>
    <col min="8725" max="8725" width="12.85546875" style="19" hidden="1"/>
    <col min="8726" max="8726" width="12.28515625" style="19" hidden="1"/>
    <col min="8727" max="8727" width="16.7109375" style="19" hidden="1"/>
    <col min="8728" max="8954" width="0" style="19" hidden="1"/>
    <col min="8955" max="8955" width="1.85546875" style="19" hidden="1"/>
    <col min="8956" max="8956" width="8" style="19" hidden="1"/>
    <col min="8957" max="8957" width="9.5703125" style="19" hidden="1"/>
    <col min="8958" max="8959" width="8" style="19" hidden="1"/>
    <col min="8960" max="8962" width="1.85546875" style="19" hidden="1"/>
    <col min="8963" max="8963" width="13.42578125" style="19" hidden="1"/>
    <col min="8964" max="8964" width="16.85546875" style="19" hidden="1"/>
    <col min="8965" max="8965" width="9.7109375" style="19" hidden="1"/>
    <col min="8966" max="8966" width="9.85546875" style="19" hidden="1"/>
    <col min="8967" max="8967" width="7.7109375" style="19" hidden="1"/>
    <col min="8968" max="8968" width="12.85546875" style="19" hidden="1"/>
    <col min="8969" max="8969" width="13.85546875" style="19" hidden="1"/>
    <col min="8970" max="8970" width="9.85546875" style="19" hidden="1"/>
    <col min="8971" max="8971" width="14.7109375" style="19" hidden="1"/>
    <col min="8972" max="8972" width="16.42578125" style="19" hidden="1"/>
    <col min="8973" max="8975" width="13.85546875" style="19" hidden="1"/>
    <col min="8976" max="8976" width="12.85546875" style="19" hidden="1"/>
    <col min="8977" max="8977" width="14.140625" style="19" hidden="1"/>
    <col min="8978" max="8978" width="12.28515625" style="19" hidden="1"/>
    <col min="8979" max="8980" width="14.42578125" style="19" hidden="1"/>
    <col min="8981" max="8981" width="12.85546875" style="19" hidden="1"/>
    <col min="8982" max="8982" width="12.28515625" style="19" hidden="1"/>
    <col min="8983" max="8983" width="16.7109375" style="19" hidden="1"/>
    <col min="8984" max="9210" width="0" style="19" hidden="1"/>
    <col min="9211" max="9211" width="1.85546875" style="19" hidden="1"/>
    <col min="9212" max="9212" width="8" style="19" hidden="1"/>
    <col min="9213" max="9213" width="9.5703125" style="19" hidden="1"/>
    <col min="9214" max="9215" width="8" style="19" hidden="1"/>
    <col min="9216" max="9218" width="1.85546875" style="19" hidden="1"/>
    <col min="9219" max="9219" width="13.42578125" style="19" hidden="1"/>
    <col min="9220" max="9220" width="16.85546875" style="19" hidden="1"/>
    <col min="9221" max="9221" width="9.7109375" style="19" hidden="1"/>
    <col min="9222" max="9222" width="9.85546875" style="19" hidden="1"/>
    <col min="9223" max="9223" width="7.7109375" style="19" hidden="1"/>
    <col min="9224" max="9224" width="12.85546875" style="19" hidden="1"/>
    <col min="9225" max="9225" width="13.85546875" style="19" hidden="1"/>
    <col min="9226" max="9226" width="9.85546875" style="19" hidden="1"/>
    <col min="9227" max="9227" width="14.7109375" style="19" hidden="1"/>
    <col min="9228" max="9228" width="16.42578125" style="19" hidden="1"/>
    <col min="9229" max="9231" width="13.85546875" style="19" hidden="1"/>
    <col min="9232" max="9232" width="12.85546875" style="19" hidden="1"/>
    <col min="9233" max="9233" width="14.140625" style="19" hidden="1"/>
    <col min="9234" max="9234" width="12.28515625" style="19" hidden="1"/>
    <col min="9235" max="9236" width="14.42578125" style="19" hidden="1"/>
    <col min="9237" max="9237" width="12.85546875" style="19" hidden="1"/>
    <col min="9238" max="9238" width="12.28515625" style="19" hidden="1"/>
    <col min="9239" max="9239" width="16.7109375" style="19" hidden="1"/>
    <col min="9240" max="9466" width="0" style="19" hidden="1"/>
    <col min="9467" max="9467" width="1.85546875" style="19" hidden="1"/>
    <col min="9468" max="9468" width="8" style="19" hidden="1"/>
    <col min="9469" max="9469" width="9.5703125" style="19" hidden="1"/>
    <col min="9470" max="9471" width="8" style="19" hidden="1"/>
    <col min="9472" max="9474" width="1.85546875" style="19" hidden="1"/>
    <col min="9475" max="9475" width="13.42578125" style="19" hidden="1"/>
    <col min="9476" max="9476" width="16.85546875" style="19" hidden="1"/>
    <col min="9477" max="9477" width="9.7109375" style="19" hidden="1"/>
    <col min="9478" max="9478" width="9.85546875" style="19" hidden="1"/>
    <col min="9479" max="9479" width="7.7109375" style="19" hidden="1"/>
    <col min="9480" max="9480" width="12.85546875" style="19" hidden="1"/>
    <col min="9481" max="9481" width="13.85546875" style="19" hidden="1"/>
    <col min="9482" max="9482" width="9.85546875" style="19" hidden="1"/>
    <col min="9483" max="9483" width="14.7109375" style="19" hidden="1"/>
    <col min="9484" max="9484" width="16.42578125" style="19" hidden="1"/>
    <col min="9485" max="9487" width="13.85546875" style="19" hidden="1"/>
    <col min="9488" max="9488" width="12.85546875" style="19" hidden="1"/>
    <col min="9489" max="9489" width="14.140625" style="19" hidden="1"/>
    <col min="9490" max="9490" width="12.28515625" style="19" hidden="1"/>
    <col min="9491" max="9492" width="14.42578125" style="19" hidden="1"/>
    <col min="9493" max="9493" width="12.85546875" style="19" hidden="1"/>
    <col min="9494" max="9494" width="12.28515625" style="19" hidden="1"/>
    <col min="9495" max="9495" width="16.7109375" style="19" hidden="1"/>
    <col min="9496" max="9722" width="0" style="19" hidden="1"/>
    <col min="9723" max="9723" width="1.85546875" style="19" hidden="1"/>
    <col min="9724" max="9724" width="8" style="19" hidden="1"/>
    <col min="9725" max="9725" width="9.5703125" style="19" hidden="1"/>
    <col min="9726" max="9727" width="8" style="19" hidden="1"/>
    <col min="9728" max="9730" width="1.85546875" style="19" hidden="1"/>
    <col min="9731" max="9731" width="13.42578125" style="19" hidden="1"/>
    <col min="9732" max="9732" width="16.85546875" style="19" hidden="1"/>
    <col min="9733" max="9733" width="9.7109375" style="19" hidden="1"/>
    <col min="9734" max="9734" width="9.85546875" style="19" hidden="1"/>
    <col min="9735" max="9735" width="7.7109375" style="19" hidden="1"/>
    <col min="9736" max="9736" width="12.85546875" style="19" hidden="1"/>
    <col min="9737" max="9737" width="13.85546875" style="19" hidden="1"/>
    <col min="9738" max="9738" width="9.85546875" style="19" hidden="1"/>
    <col min="9739" max="9739" width="14.7109375" style="19" hidden="1"/>
    <col min="9740" max="9740" width="16.42578125" style="19" hidden="1"/>
    <col min="9741" max="9743" width="13.85546875" style="19" hidden="1"/>
    <col min="9744" max="9744" width="12.85546875" style="19" hidden="1"/>
    <col min="9745" max="9745" width="14.140625" style="19" hidden="1"/>
    <col min="9746" max="9746" width="12.28515625" style="19" hidden="1"/>
    <col min="9747" max="9748" width="14.42578125" style="19" hidden="1"/>
    <col min="9749" max="9749" width="12.85546875" style="19" hidden="1"/>
    <col min="9750" max="9750" width="12.28515625" style="19" hidden="1"/>
    <col min="9751" max="9751" width="16.7109375" style="19" hidden="1"/>
    <col min="9752" max="9978" width="0" style="19" hidden="1"/>
    <col min="9979" max="9979" width="1.85546875" style="19" hidden="1"/>
    <col min="9980" max="9980" width="8" style="19" hidden="1"/>
    <col min="9981" max="9981" width="9.5703125" style="19" hidden="1"/>
    <col min="9982" max="9983" width="8" style="19" hidden="1"/>
    <col min="9984" max="9986" width="1.85546875" style="19" hidden="1"/>
    <col min="9987" max="9987" width="13.42578125" style="19" hidden="1"/>
    <col min="9988" max="9988" width="16.85546875" style="19" hidden="1"/>
    <col min="9989" max="9989" width="9.7109375" style="19" hidden="1"/>
    <col min="9990" max="9990" width="9.85546875" style="19" hidden="1"/>
    <col min="9991" max="9991" width="7.7109375" style="19" hidden="1"/>
    <col min="9992" max="9992" width="12.85546875" style="19" hidden="1"/>
    <col min="9993" max="9993" width="13.85546875" style="19" hidden="1"/>
    <col min="9994" max="9994" width="9.85546875" style="19" hidden="1"/>
    <col min="9995" max="9995" width="14.7109375" style="19" hidden="1"/>
    <col min="9996" max="9996" width="16.42578125" style="19" hidden="1"/>
    <col min="9997" max="9999" width="13.85546875" style="19" hidden="1"/>
    <col min="10000" max="10000" width="12.85546875" style="19" hidden="1"/>
    <col min="10001" max="10001" width="14.140625" style="19" hidden="1"/>
    <col min="10002" max="10002" width="12.28515625" style="19" hidden="1"/>
    <col min="10003" max="10004" width="14.42578125" style="19" hidden="1"/>
    <col min="10005" max="10005" width="12.85546875" style="19" hidden="1"/>
    <col min="10006" max="10006" width="12.28515625" style="19" hidden="1"/>
    <col min="10007" max="10007" width="16.7109375" style="19" hidden="1"/>
    <col min="10008" max="10234" width="0" style="19" hidden="1"/>
    <col min="10235" max="10235" width="1.85546875" style="19" hidden="1"/>
    <col min="10236" max="10236" width="8" style="19" hidden="1"/>
    <col min="10237" max="10237" width="9.5703125" style="19" hidden="1"/>
    <col min="10238" max="10239" width="8" style="19" hidden="1"/>
    <col min="10240" max="10242" width="1.85546875" style="19" hidden="1"/>
    <col min="10243" max="10243" width="13.42578125" style="19" hidden="1"/>
    <col min="10244" max="10244" width="16.85546875" style="19" hidden="1"/>
    <col min="10245" max="10245" width="9.7109375" style="19" hidden="1"/>
    <col min="10246" max="10246" width="9.85546875" style="19" hidden="1"/>
    <col min="10247" max="10247" width="7.7109375" style="19" hidden="1"/>
    <col min="10248" max="10248" width="12.85546875" style="19" hidden="1"/>
    <col min="10249" max="10249" width="13.85546875" style="19" hidden="1"/>
    <col min="10250" max="10250" width="9.85546875" style="19" hidden="1"/>
    <col min="10251" max="10251" width="14.7109375" style="19" hidden="1"/>
    <col min="10252" max="10252" width="16.42578125" style="19" hidden="1"/>
    <col min="10253" max="10255" width="13.85546875" style="19" hidden="1"/>
    <col min="10256" max="10256" width="12.85546875" style="19" hidden="1"/>
    <col min="10257" max="10257" width="14.140625" style="19" hidden="1"/>
    <col min="10258" max="10258" width="12.28515625" style="19" hidden="1"/>
    <col min="10259" max="10260" width="14.42578125" style="19" hidden="1"/>
    <col min="10261" max="10261" width="12.85546875" style="19" hidden="1"/>
    <col min="10262" max="10262" width="12.28515625" style="19" hidden="1"/>
    <col min="10263" max="10263" width="16.7109375" style="19" hidden="1"/>
    <col min="10264" max="10490" width="0" style="19" hidden="1"/>
    <col min="10491" max="10491" width="1.85546875" style="19" hidden="1"/>
    <col min="10492" max="10492" width="8" style="19" hidden="1"/>
    <col min="10493" max="10493" width="9.5703125" style="19" hidden="1"/>
    <col min="10494" max="10495" width="8" style="19" hidden="1"/>
    <col min="10496" max="10498" width="1.85546875" style="19" hidden="1"/>
    <col min="10499" max="10499" width="13.42578125" style="19" hidden="1"/>
    <col min="10500" max="10500" width="16.85546875" style="19" hidden="1"/>
    <col min="10501" max="10501" width="9.7109375" style="19" hidden="1"/>
    <col min="10502" max="10502" width="9.85546875" style="19" hidden="1"/>
    <col min="10503" max="10503" width="7.7109375" style="19" hidden="1"/>
    <col min="10504" max="10504" width="12.85546875" style="19" hidden="1"/>
    <col min="10505" max="10505" width="13.85546875" style="19" hidden="1"/>
    <col min="10506" max="10506" width="9.85546875" style="19" hidden="1"/>
    <col min="10507" max="10507" width="14.7109375" style="19" hidden="1"/>
    <col min="10508" max="10508" width="16.42578125" style="19" hidden="1"/>
    <col min="10509" max="10511" width="13.85546875" style="19" hidden="1"/>
    <col min="10512" max="10512" width="12.85546875" style="19" hidden="1"/>
    <col min="10513" max="10513" width="14.140625" style="19" hidden="1"/>
    <col min="10514" max="10514" width="12.28515625" style="19" hidden="1"/>
    <col min="10515" max="10516" width="14.42578125" style="19" hidden="1"/>
    <col min="10517" max="10517" width="12.85546875" style="19" hidden="1"/>
    <col min="10518" max="10518" width="12.28515625" style="19" hidden="1"/>
    <col min="10519" max="10519" width="16.7109375" style="19" hidden="1"/>
    <col min="10520" max="10746" width="0" style="19" hidden="1"/>
    <col min="10747" max="10747" width="1.85546875" style="19" hidden="1"/>
    <col min="10748" max="10748" width="8" style="19" hidden="1"/>
    <col min="10749" max="10749" width="9.5703125" style="19" hidden="1"/>
    <col min="10750" max="10751" width="8" style="19" hidden="1"/>
    <col min="10752" max="10754" width="1.85546875" style="19" hidden="1"/>
    <col min="10755" max="10755" width="13.42578125" style="19" hidden="1"/>
    <col min="10756" max="10756" width="16.85546875" style="19" hidden="1"/>
    <col min="10757" max="10757" width="9.7109375" style="19" hidden="1"/>
    <col min="10758" max="10758" width="9.85546875" style="19" hidden="1"/>
    <col min="10759" max="10759" width="7.7109375" style="19" hidden="1"/>
    <col min="10760" max="10760" width="12.85546875" style="19" hidden="1"/>
    <col min="10761" max="10761" width="13.85546875" style="19" hidden="1"/>
    <col min="10762" max="10762" width="9.85546875" style="19" hidden="1"/>
    <col min="10763" max="10763" width="14.7109375" style="19" hidden="1"/>
    <col min="10764" max="10764" width="16.42578125" style="19" hidden="1"/>
    <col min="10765" max="10767" width="13.85546875" style="19" hidden="1"/>
    <col min="10768" max="10768" width="12.85546875" style="19" hidden="1"/>
    <col min="10769" max="10769" width="14.140625" style="19" hidden="1"/>
    <col min="10770" max="10770" width="12.28515625" style="19" hidden="1"/>
    <col min="10771" max="10772" width="14.42578125" style="19" hidden="1"/>
    <col min="10773" max="10773" width="12.85546875" style="19" hidden="1"/>
    <col min="10774" max="10774" width="12.28515625" style="19" hidden="1"/>
    <col min="10775" max="10775" width="16.7109375" style="19" hidden="1"/>
    <col min="10776" max="11002" width="0" style="19" hidden="1"/>
    <col min="11003" max="11003" width="1.85546875" style="19" hidden="1"/>
    <col min="11004" max="11004" width="8" style="19" hidden="1"/>
    <col min="11005" max="11005" width="9.5703125" style="19" hidden="1"/>
    <col min="11006" max="11007" width="8" style="19" hidden="1"/>
    <col min="11008" max="11010" width="1.85546875" style="19" hidden="1"/>
    <col min="11011" max="11011" width="13.42578125" style="19" hidden="1"/>
    <col min="11012" max="11012" width="16.85546875" style="19" hidden="1"/>
    <col min="11013" max="11013" width="9.7109375" style="19" hidden="1"/>
    <col min="11014" max="11014" width="9.85546875" style="19" hidden="1"/>
    <col min="11015" max="11015" width="7.7109375" style="19" hidden="1"/>
    <col min="11016" max="11016" width="12.85546875" style="19" hidden="1"/>
    <col min="11017" max="11017" width="13.85546875" style="19" hidden="1"/>
    <col min="11018" max="11018" width="9.85546875" style="19" hidden="1"/>
    <col min="11019" max="11019" width="14.7109375" style="19" hidden="1"/>
    <col min="11020" max="11020" width="16.42578125" style="19" hidden="1"/>
    <col min="11021" max="11023" width="13.85546875" style="19" hidden="1"/>
    <col min="11024" max="11024" width="12.85546875" style="19" hidden="1"/>
    <col min="11025" max="11025" width="14.140625" style="19" hidden="1"/>
    <col min="11026" max="11026" width="12.28515625" style="19" hidden="1"/>
    <col min="11027" max="11028" width="14.42578125" style="19" hidden="1"/>
    <col min="11029" max="11029" width="12.85546875" style="19" hidden="1"/>
    <col min="11030" max="11030" width="12.28515625" style="19" hidden="1"/>
    <col min="11031" max="11031" width="16.7109375" style="19" hidden="1"/>
    <col min="11032" max="11258" width="0" style="19" hidden="1"/>
    <col min="11259" max="11259" width="1.85546875" style="19" hidden="1"/>
    <col min="11260" max="11260" width="8" style="19" hidden="1"/>
    <col min="11261" max="11261" width="9.5703125" style="19" hidden="1"/>
    <col min="11262" max="11263" width="8" style="19" hidden="1"/>
    <col min="11264" max="11266" width="1.85546875" style="19" hidden="1"/>
    <col min="11267" max="11267" width="13.42578125" style="19" hidden="1"/>
    <col min="11268" max="11268" width="16.85546875" style="19" hidden="1"/>
    <col min="11269" max="11269" width="9.7109375" style="19" hidden="1"/>
    <col min="11270" max="11270" width="9.85546875" style="19" hidden="1"/>
    <col min="11271" max="11271" width="7.7109375" style="19" hidden="1"/>
    <col min="11272" max="11272" width="12.85546875" style="19" hidden="1"/>
    <col min="11273" max="11273" width="13.85546875" style="19" hidden="1"/>
    <col min="11274" max="11274" width="9.85546875" style="19" hidden="1"/>
    <col min="11275" max="11275" width="14.7109375" style="19" hidden="1"/>
    <col min="11276" max="11276" width="16.42578125" style="19" hidden="1"/>
    <col min="11277" max="11279" width="13.85546875" style="19" hidden="1"/>
    <col min="11280" max="11280" width="12.85546875" style="19" hidden="1"/>
    <col min="11281" max="11281" width="14.140625" style="19" hidden="1"/>
    <col min="11282" max="11282" width="12.28515625" style="19" hidden="1"/>
    <col min="11283" max="11284" width="14.42578125" style="19" hidden="1"/>
    <col min="11285" max="11285" width="12.85546875" style="19" hidden="1"/>
    <col min="11286" max="11286" width="12.28515625" style="19" hidden="1"/>
    <col min="11287" max="11287" width="16.7109375" style="19" hidden="1"/>
    <col min="11288" max="11514" width="0" style="19" hidden="1"/>
    <col min="11515" max="11515" width="1.85546875" style="19" hidden="1"/>
    <col min="11516" max="11516" width="8" style="19" hidden="1"/>
    <col min="11517" max="11517" width="9.5703125" style="19" hidden="1"/>
    <col min="11518" max="11519" width="8" style="19" hidden="1"/>
    <col min="11520" max="11522" width="1.85546875" style="19" hidden="1"/>
    <col min="11523" max="11523" width="13.42578125" style="19" hidden="1"/>
    <col min="11524" max="11524" width="16.85546875" style="19" hidden="1"/>
    <col min="11525" max="11525" width="9.7109375" style="19" hidden="1"/>
    <col min="11526" max="11526" width="9.85546875" style="19" hidden="1"/>
    <col min="11527" max="11527" width="7.7109375" style="19" hidden="1"/>
    <col min="11528" max="11528" width="12.85546875" style="19" hidden="1"/>
    <col min="11529" max="11529" width="13.85546875" style="19" hidden="1"/>
    <col min="11530" max="11530" width="9.85546875" style="19" hidden="1"/>
    <col min="11531" max="11531" width="14.7109375" style="19" hidden="1"/>
    <col min="11532" max="11532" width="16.42578125" style="19" hidden="1"/>
    <col min="11533" max="11535" width="13.85546875" style="19" hidden="1"/>
    <col min="11536" max="11536" width="12.85546875" style="19" hidden="1"/>
    <col min="11537" max="11537" width="14.140625" style="19" hidden="1"/>
    <col min="11538" max="11538" width="12.28515625" style="19" hidden="1"/>
    <col min="11539" max="11540" width="14.42578125" style="19" hidden="1"/>
    <col min="11541" max="11541" width="12.85546875" style="19" hidden="1"/>
    <col min="11542" max="11542" width="12.28515625" style="19" hidden="1"/>
    <col min="11543" max="11543" width="16.7109375" style="19" hidden="1"/>
    <col min="11544" max="11770" width="0" style="19" hidden="1"/>
    <col min="11771" max="11771" width="1.85546875" style="19" hidden="1"/>
    <col min="11772" max="11772" width="8" style="19" hidden="1"/>
    <col min="11773" max="11773" width="9.5703125" style="19" hidden="1"/>
    <col min="11774" max="11775" width="8" style="19" hidden="1"/>
    <col min="11776" max="11778" width="1.85546875" style="19" hidden="1"/>
    <col min="11779" max="11779" width="13.42578125" style="19" hidden="1"/>
    <col min="11780" max="11780" width="16.85546875" style="19" hidden="1"/>
    <col min="11781" max="11781" width="9.7109375" style="19" hidden="1"/>
    <col min="11782" max="11782" width="9.85546875" style="19" hidden="1"/>
    <col min="11783" max="11783" width="7.7109375" style="19" hidden="1"/>
    <col min="11784" max="11784" width="12.85546875" style="19" hidden="1"/>
    <col min="11785" max="11785" width="13.85546875" style="19" hidden="1"/>
    <col min="11786" max="11786" width="9.85546875" style="19" hidden="1"/>
    <col min="11787" max="11787" width="14.7109375" style="19" hidden="1"/>
    <col min="11788" max="11788" width="16.42578125" style="19" hidden="1"/>
    <col min="11789" max="11791" width="13.85546875" style="19" hidden="1"/>
    <col min="11792" max="11792" width="12.85546875" style="19" hidden="1"/>
    <col min="11793" max="11793" width="14.140625" style="19" hidden="1"/>
    <col min="11794" max="11794" width="12.28515625" style="19" hidden="1"/>
    <col min="11795" max="11796" width="14.42578125" style="19" hidden="1"/>
    <col min="11797" max="11797" width="12.85546875" style="19" hidden="1"/>
    <col min="11798" max="11798" width="12.28515625" style="19" hidden="1"/>
    <col min="11799" max="11799" width="16.7109375" style="19" hidden="1"/>
    <col min="11800" max="12026" width="0" style="19" hidden="1"/>
    <col min="12027" max="12027" width="1.85546875" style="19" hidden="1"/>
    <col min="12028" max="12028" width="8" style="19" hidden="1"/>
    <col min="12029" max="12029" width="9.5703125" style="19" hidden="1"/>
    <col min="12030" max="12031" width="8" style="19" hidden="1"/>
    <col min="12032" max="12034" width="1.85546875" style="19" hidden="1"/>
    <col min="12035" max="12035" width="13.42578125" style="19" hidden="1"/>
    <col min="12036" max="12036" width="16.85546875" style="19" hidden="1"/>
    <col min="12037" max="12037" width="9.7109375" style="19" hidden="1"/>
    <col min="12038" max="12038" width="9.85546875" style="19" hidden="1"/>
    <col min="12039" max="12039" width="7.7109375" style="19" hidden="1"/>
    <col min="12040" max="12040" width="12.85546875" style="19" hidden="1"/>
    <col min="12041" max="12041" width="13.85546875" style="19" hidden="1"/>
    <col min="12042" max="12042" width="9.85546875" style="19" hidden="1"/>
    <col min="12043" max="12043" width="14.7109375" style="19" hidden="1"/>
    <col min="12044" max="12044" width="16.42578125" style="19" hidden="1"/>
    <col min="12045" max="12047" width="13.85546875" style="19" hidden="1"/>
    <col min="12048" max="12048" width="12.85546875" style="19" hidden="1"/>
    <col min="12049" max="12049" width="14.140625" style="19" hidden="1"/>
    <col min="12050" max="12050" width="12.28515625" style="19" hidden="1"/>
    <col min="12051" max="12052" width="14.42578125" style="19" hidden="1"/>
    <col min="12053" max="12053" width="12.85546875" style="19" hidden="1"/>
    <col min="12054" max="12054" width="12.28515625" style="19" hidden="1"/>
    <col min="12055" max="12055" width="16.7109375" style="19" hidden="1"/>
    <col min="12056" max="12282" width="0" style="19" hidden="1"/>
    <col min="12283" max="12283" width="1.85546875" style="19" hidden="1"/>
    <col min="12284" max="12284" width="8" style="19" hidden="1"/>
    <col min="12285" max="12285" width="9.5703125" style="19" hidden="1"/>
    <col min="12286" max="12287" width="8" style="19" hidden="1"/>
    <col min="12288" max="12290" width="1.85546875" style="19" hidden="1"/>
    <col min="12291" max="12291" width="13.42578125" style="19" hidden="1"/>
    <col min="12292" max="12292" width="16.85546875" style="19" hidden="1"/>
    <col min="12293" max="12293" width="9.7109375" style="19" hidden="1"/>
    <col min="12294" max="12294" width="9.85546875" style="19" hidden="1"/>
    <col min="12295" max="12295" width="7.7109375" style="19" hidden="1"/>
    <col min="12296" max="12296" width="12.85546875" style="19" hidden="1"/>
    <col min="12297" max="12297" width="13.85546875" style="19" hidden="1"/>
    <col min="12298" max="12298" width="9.85546875" style="19" hidden="1"/>
    <col min="12299" max="12299" width="14.7109375" style="19" hidden="1"/>
    <col min="12300" max="12300" width="16.42578125" style="19" hidden="1"/>
    <col min="12301" max="12303" width="13.85546875" style="19" hidden="1"/>
    <col min="12304" max="12304" width="12.85546875" style="19" hidden="1"/>
    <col min="12305" max="12305" width="14.140625" style="19" hidden="1"/>
    <col min="12306" max="12306" width="12.28515625" style="19" hidden="1"/>
    <col min="12307" max="12308" width="14.42578125" style="19" hidden="1"/>
    <col min="12309" max="12309" width="12.85546875" style="19" hidden="1"/>
    <col min="12310" max="12310" width="12.28515625" style="19" hidden="1"/>
    <col min="12311" max="12311" width="16.7109375" style="19" hidden="1"/>
    <col min="12312" max="12538" width="0" style="19" hidden="1"/>
    <col min="12539" max="12539" width="1.85546875" style="19" hidden="1"/>
    <col min="12540" max="12540" width="8" style="19" hidden="1"/>
    <col min="12541" max="12541" width="9.5703125" style="19" hidden="1"/>
    <col min="12542" max="12543" width="8" style="19" hidden="1"/>
    <col min="12544" max="12546" width="1.85546875" style="19" hidden="1"/>
    <col min="12547" max="12547" width="13.42578125" style="19" hidden="1"/>
    <col min="12548" max="12548" width="16.85546875" style="19" hidden="1"/>
    <col min="12549" max="12549" width="9.7109375" style="19" hidden="1"/>
    <col min="12550" max="12550" width="9.85546875" style="19" hidden="1"/>
    <col min="12551" max="12551" width="7.7109375" style="19" hidden="1"/>
    <col min="12552" max="12552" width="12.85546875" style="19" hidden="1"/>
    <col min="12553" max="12553" width="13.85546875" style="19" hidden="1"/>
    <col min="12554" max="12554" width="9.85546875" style="19" hidden="1"/>
    <col min="12555" max="12555" width="14.7109375" style="19" hidden="1"/>
    <col min="12556" max="12556" width="16.42578125" style="19" hidden="1"/>
    <col min="12557" max="12559" width="13.85546875" style="19" hidden="1"/>
    <col min="12560" max="12560" width="12.85546875" style="19" hidden="1"/>
    <col min="12561" max="12561" width="14.140625" style="19" hidden="1"/>
    <col min="12562" max="12562" width="12.28515625" style="19" hidden="1"/>
    <col min="12563" max="12564" width="14.42578125" style="19" hidden="1"/>
    <col min="12565" max="12565" width="12.85546875" style="19" hidden="1"/>
    <col min="12566" max="12566" width="12.28515625" style="19" hidden="1"/>
    <col min="12567" max="12567" width="16.7109375" style="19" hidden="1"/>
    <col min="12568" max="12794" width="0" style="19" hidden="1"/>
    <col min="12795" max="12795" width="1.85546875" style="19" hidden="1"/>
    <col min="12796" max="12796" width="8" style="19" hidden="1"/>
    <col min="12797" max="12797" width="9.5703125" style="19" hidden="1"/>
    <col min="12798" max="12799" width="8" style="19" hidden="1"/>
    <col min="12800" max="12802" width="1.85546875" style="19" hidden="1"/>
    <col min="12803" max="12803" width="13.42578125" style="19" hidden="1"/>
    <col min="12804" max="12804" width="16.85546875" style="19" hidden="1"/>
    <col min="12805" max="12805" width="9.7109375" style="19" hidden="1"/>
    <col min="12806" max="12806" width="9.85546875" style="19" hidden="1"/>
    <col min="12807" max="12807" width="7.7109375" style="19" hidden="1"/>
    <col min="12808" max="12808" width="12.85546875" style="19" hidden="1"/>
    <col min="12809" max="12809" width="13.85546875" style="19" hidden="1"/>
    <col min="12810" max="12810" width="9.85546875" style="19" hidden="1"/>
    <col min="12811" max="12811" width="14.7109375" style="19" hidden="1"/>
    <col min="12812" max="12812" width="16.42578125" style="19" hidden="1"/>
    <col min="12813" max="12815" width="13.85546875" style="19" hidden="1"/>
    <col min="12816" max="12816" width="12.85546875" style="19" hidden="1"/>
    <col min="12817" max="12817" width="14.140625" style="19" hidden="1"/>
    <col min="12818" max="12818" width="12.28515625" style="19" hidden="1"/>
    <col min="12819" max="12820" width="14.42578125" style="19" hidden="1"/>
    <col min="12821" max="12821" width="12.85546875" style="19" hidden="1"/>
    <col min="12822" max="12822" width="12.28515625" style="19" hidden="1"/>
    <col min="12823" max="12823" width="16.7109375" style="19" hidden="1"/>
    <col min="12824" max="13050" width="0" style="19" hidden="1"/>
    <col min="13051" max="13051" width="1.85546875" style="19" hidden="1"/>
    <col min="13052" max="13052" width="8" style="19" hidden="1"/>
    <col min="13053" max="13053" width="9.5703125" style="19" hidden="1"/>
    <col min="13054" max="13055" width="8" style="19" hidden="1"/>
    <col min="13056" max="13058" width="1.85546875" style="19" hidden="1"/>
    <col min="13059" max="13059" width="13.42578125" style="19" hidden="1"/>
    <col min="13060" max="13060" width="16.85546875" style="19" hidden="1"/>
    <col min="13061" max="13061" width="9.7109375" style="19" hidden="1"/>
    <col min="13062" max="13062" width="9.85546875" style="19" hidden="1"/>
    <col min="13063" max="13063" width="7.7109375" style="19" hidden="1"/>
    <col min="13064" max="13064" width="12.85546875" style="19" hidden="1"/>
    <col min="13065" max="13065" width="13.85546875" style="19" hidden="1"/>
    <col min="13066" max="13066" width="9.85546875" style="19" hidden="1"/>
    <col min="13067" max="13067" width="14.7109375" style="19" hidden="1"/>
    <col min="13068" max="13068" width="16.42578125" style="19" hidden="1"/>
    <col min="13069" max="13071" width="13.85546875" style="19" hidden="1"/>
    <col min="13072" max="13072" width="12.85546875" style="19" hidden="1"/>
    <col min="13073" max="13073" width="14.140625" style="19" hidden="1"/>
    <col min="13074" max="13074" width="12.28515625" style="19" hidden="1"/>
    <col min="13075" max="13076" width="14.42578125" style="19" hidden="1"/>
    <col min="13077" max="13077" width="12.85546875" style="19" hidden="1"/>
    <col min="13078" max="13078" width="12.28515625" style="19" hidden="1"/>
    <col min="13079" max="13079" width="16.7109375" style="19" hidden="1"/>
    <col min="13080" max="13306" width="0" style="19" hidden="1"/>
    <col min="13307" max="13307" width="1.85546875" style="19" hidden="1"/>
    <col min="13308" max="13308" width="8" style="19" hidden="1"/>
    <col min="13309" max="13309" width="9.5703125" style="19" hidden="1"/>
    <col min="13310" max="13311" width="8" style="19" hidden="1"/>
    <col min="13312" max="13314" width="1.85546875" style="19" hidden="1"/>
    <col min="13315" max="13315" width="13.42578125" style="19" hidden="1"/>
    <col min="13316" max="13316" width="16.85546875" style="19" hidden="1"/>
    <col min="13317" max="13317" width="9.7109375" style="19" hidden="1"/>
    <col min="13318" max="13318" width="9.85546875" style="19" hidden="1"/>
    <col min="13319" max="13319" width="7.7109375" style="19" hidden="1"/>
    <col min="13320" max="13320" width="12.85546875" style="19" hidden="1"/>
    <col min="13321" max="13321" width="13.85546875" style="19" hidden="1"/>
    <col min="13322" max="13322" width="9.85546875" style="19" hidden="1"/>
    <col min="13323" max="13323" width="14.7109375" style="19" hidden="1"/>
    <col min="13324" max="13324" width="16.42578125" style="19" hidden="1"/>
    <col min="13325" max="13327" width="13.85546875" style="19" hidden="1"/>
    <col min="13328" max="13328" width="12.85546875" style="19" hidden="1"/>
    <col min="13329" max="13329" width="14.140625" style="19" hidden="1"/>
    <col min="13330" max="13330" width="12.28515625" style="19" hidden="1"/>
    <col min="13331" max="13332" width="14.42578125" style="19" hidden="1"/>
    <col min="13333" max="13333" width="12.85546875" style="19" hidden="1"/>
    <col min="13334" max="13334" width="12.28515625" style="19" hidden="1"/>
    <col min="13335" max="13335" width="16.7109375" style="19" hidden="1"/>
    <col min="13336" max="13562" width="0" style="19" hidden="1"/>
    <col min="13563" max="13563" width="1.85546875" style="19" hidden="1"/>
    <col min="13564" max="13564" width="8" style="19" hidden="1"/>
    <col min="13565" max="13565" width="9.5703125" style="19" hidden="1"/>
    <col min="13566" max="13567" width="8" style="19" hidden="1"/>
    <col min="13568" max="13570" width="1.85546875" style="19" hidden="1"/>
    <col min="13571" max="13571" width="13.42578125" style="19" hidden="1"/>
    <col min="13572" max="13572" width="16.85546875" style="19" hidden="1"/>
    <col min="13573" max="13573" width="9.7109375" style="19" hidden="1"/>
    <col min="13574" max="13574" width="9.85546875" style="19" hidden="1"/>
    <col min="13575" max="13575" width="7.7109375" style="19" hidden="1"/>
    <col min="13576" max="13576" width="12.85546875" style="19" hidden="1"/>
    <col min="13577" max="13577" width="13.85546875" style="19" hidden="1"/>
    <col min="13578" max="13578" width="9.85546875" style="19" hidden="1"/>
    <col min="13579" max="13579" width="14.7109375" style="19" hidden="1"/>
    <col min="13580" max="13580" width="16.42578125" style="19" hidden="1"/>
    <col min="13581" max="13583" width="13.85546875" style="19" hidden="1"/>
    <col min="13584" max="13584" width="12.85546875" style="19" hidden="1"/>
    <col min="13585" max="13585" width="14.140625" style="19" hidden="1"/>
    <col min="13586" max="13586" width="12.28515625" style="19" hidden="1"/>
    <col min="13587" max="13588" width="14.42578125" style="19" hidden="1"/>
    <col min="13589" max="13589" width="12.85546875" style="19" hidden="1"/>
    <col min="13590" max="13590" width="12.28515625" style="19" hidden="1"/>
    <col min="13591" max="13591" width="16.7109375" style="19" hidden="1"/>
    <col min="13592" max="13818" width="0" style="19" hidden="1"/>
    <col min="13819" max="13819" width="1.85546875" style="19" hidden="1"/>
    <col min="13820" max="13820" width="8" style="19" hidden="1"/>
    <col min="13821" max="13821" width="9.5703125" style="19" hidden="1"/>
    <col min="13822" max="13823" width="8" style="19" hidden="1"/>
    <col min="13824" max="13826" width="1.85546875" style="19" hidden="1"/>
    <col min="13827" max="13827" width="13.42578125" style="19" hidden="1"/>
    <col min="13828" max="13828" width="16.85546875" style="19" hidden="1"/>
    <col min="13829" max="13829" width="9.7109375" style="19" hidden="1"/>
    <col min="13830" max="13830" width="9.85546875" style="19" hidden="1"/>
    <col min="13831" max="13831" width="7.7109375" style="19" hidden="1"/>
    <col min="13832" max="13832" width="12.85546875" style="19" hidden="1"/>
    <col min="13833" max="13833" width="13.85546875" style="19" hidden="1"/>
    <col min="13834" max="13834" width="9.85546875" style="19" hidden="1"/>
    <col min="13835" max="13835" width="14.7109375" style="19" hidden="1"/>
    <col min="13836" max="13836" width="16.42578125" style="19" hidden="1"/>
    <col min="13837" max="13839" width="13.85546875" style="19" hidden="1"/>
    <col min="13840" max="13840" width="12.85546875" style="19" hidden="1"/>
    <col min="13841" max="13841" width="14.140625" style="19" hidden="1"/>
    <col min="13842" max="13842" width="12.28515625" style="19" hidden="1"/>
    <col min="13843" max="13844" width="14.42578125" style="19" hidden="1"/>
    <col min="13845" max="13845" width="12.85546875" style="19" hidden="1"/>
    <col min="13846" max="13846" width="12.28515625" style="19" hidden="1"/>
    <col min="13847" max="13847" width="16.7109375" style="19" hidden="1"/>
    <col min="13848" max="14074" width="0" style="19" hidden="1"/>
    <col min="14075" max="14075" width="1.85546875" style="19" hidden="1"/>
    <col min="14076" max="14076" width="8" style="19" hidden="1"/>
    <col min="14077" max="14077" width="9.5703125" style="19" hidden="1"/>
    <col min="14078" max="14079" width="8" style="19" hidden="1"/>
    <col min="14080" max="14082" width="1.85546875" style="19" hidden="1"/>
    <col min="14083" max="14083" width="13.42578125" style="19" hidden="1"/>
    <col min="14084" max="14084" width="16.85546875" style="19" hidden="1"/>
    <col min="14085" max="14085" width="9.7109375" style="19" hidden="1"/>
    <col min="14086" max="14086" width="9.85546875" style="19" hidden="1"/>
    <col min="14087" max="14087" width="7.7109375" style="19" hidden="1"/>
    <col min="14088" max="14088" width="12.85546875" style="19" hidden="1"/>
    <col min="14089" max="14089" width="13.85546875" style="19" hidden="1"/>
    <col min="14090" max="14090" width="9.85546875" style="19" hidden="1"/>
    <col min="14091" max="14091" width="14.7109375" style="19" hidden="1"/>
    <col min="14092" max="14092" width="16.42578125" style="19" hidden="1"/>
    <col min="14093" max="14095" width="13.85546875" style="19" hidden="1"/>
    <col min="14096" max="14096" width="12.85546875" style="19" hidden="1"/>
    <col min="14097" max="14097" width="14.140625" style="19" hidden="1"/>
    <col min="14098" max="14098" width="12.28515625" style="19" hidden="1"/>
    <col min="14099" max="14100" width="14.42578125" style="19" hidden="1"/>
    <col min="14101" max="14101" width="12.85546875" style="19" hidden="1"/>
    <col min="14102" max="14102" width="12.28515625" style="19" hidden="1"/>
    <col min="14103" max="14103" width="16.7109375" style="19" hidden="1"/>
    <col min="14104" max="14330" width="0" style="19" hidden="1"/>
    <col min="14331" max="14331" width="1.85546875" style="19" hidden="1"/>
    <col min="14332" max="14332" width="8" style="19" hidden="1"/>
    <col min="14333" max="14333" width="9.5703125" style="19" hidden="1"/>
    <col min="14334" max="14335" width="8" style="19" hidden="1"/>
    <col min="14336" max="14338" width="1.85546875" style="19" hidden="1"/>
    <col min="14339" max="14339" width="13.42578125" style="19" hidden="1"/>
    <col min="14340" max="14340" width="16.85546875" style="19" hidden="1"/>
    <col min="14341" max="14341" width="9.7109375" style="19" hidden="1"/>
    <col min="14342" max="14342" width="9.85546875" style="19" hidden="1"/>
    <col min="14343" max="14343" width="7.7109375" style="19" hidden="1"/>
    <col min="14344" max="14344" width="12.85546875" style="19" hidden="1"/>
    <col min="14345" max="14345" width="13.85546875" style="19" hidden="1"/>
    <col min="14346" max="14346" width="9.85546875" style="19" hidden="1"/>
    <col min="14347" max="14347" width="14.7109375" style="19" hidden="1"/>
    <col min="14348" max="14348" width="16.42578125" style="19" hidden="1"/>
    <col min="14349" max="14351" width="13.85546875" style="19" hidden="1"/>
    <col min="14352" max="14352" width="12.85546875" style="19" hidden="1"/>
    <col min="14353" max="14353" width="14.140625" style="19" hidden="1"/>
    <col min="14354" max="14354" width="12.28515625" style="19" hidden="1"/>
    <col min="14355" max="14356" width="14.42578125" style="19" hidden="1"/>
    <col min="14357" max="14357" width="12.85546875" style="19" hidden="1"/>
    <col min="14358" max="14358" width="12.28515625" style="19" hidden="1"/>
    <col min="14359" max="14359" width="16.7109375" style="19" hidden="1"/>
    <col min="14360" max="14586" width="0" style="19" hidden="1"/>
    <col min="14587" max="14587" width="1.85546875" style="19" hidden="1"/>
    <col min="14588" max="14588" width="8" style="19" hidden="1"/>
    <col min="14589" max="14589" width="9.5703125" style="19" hidden="1"/>
    <col min="14590" max="14591" width="8" style="19" hidden="1"/>
    <col min="14592" max="14594" width="1.85546875" style="19" hidden="1"/>
    <col min="14595" max="14595" width="13.42578125" style="19" hidden="1"/>
    <col min="14596" max="14596" width="16.85546875" style="19" hidden="1"/>
    <col min="14597" max="14597" width="9.7109375" style="19" hidden="1"/>
    <col min="14598" max="14598" width="9.85546875" style="19" hidden="1"/>
    <col min="14599" max="14599" width="7.7109375" style="19" hidden="1"/>
    <col min="14600" max="14600" width="12.85546875" style="19" hidden="1"/>
    <col min="14601" max="14601" width="13.85546875" style="19" hidden="1"/>
    <col min="14602" max="14602" width="9.85546875" style="19" hidden="1"/>
    <col min="14603" max="14603" width="14.7109375" style="19" hidden="1"/>
    <col min="14604" max="14604" width="16.42578125" style="19" hidden="1"/>
    <col min="14605" max="14607" width="13.85546875" style="19" hidden="1"/>
    <col min="14608" max="14608" width="12.85546875" style="19" hidden="1"/>
    <col min="14609" max="14609" width="14.140625" style="19" hidden="1"/>
    <col min="14610" max="14610" width="12.28515625" style="19" hidden="1"/>
    <col min="14611" max="14612" width="14.42578125" style="19" hidden="1"/>
    <col min="14613" max="14613" width="12.85546875" style="19" hidden="1"/>
    <col min="14614" max="14614" width="12.28515625" style="19" hidden="1"/>
    <col min="14615" max="14615" width="16.7109375" style="19" hidden="1"/>
    <col min="14616" max="14842" width="0" style="19" hidden="1"/>
    <col min="14843" max="14843" width="1.85546875" style="19" hidden="1"/>
    <col min="14844" max="14844" width="8" style="19" hidden="1"/>
    <col min="14845" max="14845" width="9.5703125" style="19" hidden="1"/>
    <col min="14846" max="14847" width="8" style="19" hidden="1"/>
    <col min="14848" max="14850" width="1.85546875" style="19" hidden="1"/>
    <col min="14851" max="14851" width="13.42578125" style="19" hidden="1"/>
    <col min="14852" max="14852" width="16.85546875" style="19" hidden="1"/>
    <col min="14853" max="14853" width="9.7109375" style="19" hidden="1"/>
    <col min="14854" max="14854" width="9.85546875" style="19" hidden="1"/>
    <col min="14855" max="14855" width="7.7109375" style="19" hidden="1"/>
    <col min="14856" max="14856" width="12.85546875" style="19" hidden="1"/>
    <col min="14857" max="14857" width="13.85546875" style="19" hidden="1"/>
    <col min="14858" max="14858" width="9.85546875" style="19" hidden="1"/>
    <col min="14859" max="14859" width="14.7109375" style="19" hidden="1"/>
    <col min="14860" max="14860" width="16.42578125" style="19" hidden="1"/>
    <col min="14861" max="14863" width="13.85546875" style="19" hidden="1"/>
    <col min="14864" max="14864" width="12.85546875" style="19" hidden="1"/>
    <col min="14865" max="14865" width="14.140625" style="19" hidden="1"/>
    <col min="14866" max="14866" width="12.28515625" style="19" hidden="1"/>
    <col min="14867" max="14868" width="14.42578125" style="19" hidden="1"/>
    <col min="14869" max="14869" width="12.85546875" style="19" hidden="1"/>
    <col min="14870" max="14870" width="12.28515625" style="19" hidden="1"/>
    <col min="14871" max="14871" width="16.7109375" style="19" hidden="1"/>
    <col min="14872" max="15098" width="0" style="19" hidden="1"/>
    <col min="15099" max="15099" width="1.85546875" style="19" hidden="1"/>
    <col min="15100" max="15100" width="8" style="19" hidden="1"/>
    <col min="15101" max="15101" width="9.5703125" style="19" hidden="1"/>
    <col min="15102" max="15103" width="8" style="19" hidden="1"/>
    <col min="15104" max="15106" width="1.85546875" style="19" hidden="1"/>
    <col min="15107" max="15107" width="13.42578125" style="19" hidden="1"/>
    <col min="15108" max="15108" width="16.85546875" style="19" hidden="1"/>
    <col min="15109" max="15109" width="9.7109375" style="19" hidden="1"/>
    <col min="15110" max="15110" width="9.85546875" style="19" hidden="1"/>
    <col min="15111" max="15111" width="7.7109375" style="19" hidden="1"/>
    <col min="15112" max="15112" width="12.85546875" style="19" hidden="1"/>
    <col min="15113" max="15113" width="13.85546875" style="19" hidden="1"/>
    <col min="15114" max="15114" width="9.85546875" style="19" hidden="1"/>
    <col min="15115" max="15115" width="14.7109375" style="19" hidden="1"/>
    <col min="15116" max="15116" width="16.42578125" style="19" hidden="1"/>
    <col min="15117" max="15119" width="13.85546875" style="19" hidden="1"/>
    <col min="15120" max="15120" width="12.85546875" style="19" hidden="1"/>
    <col min="15121" max="15121" width="14.140625" style="19" hidden="1"/>
    <col min="15122" max="15122" width="12.28515625" style="19" hidden="1"/>
    <col min="15123" max="15124" width="14.42578125" style="19" hidden="1"/>
    <col min="15125" max="15125" width="12.85546875" style="19" hidden="1"/>
    <col min="15126" max="15126" width="12.28515625" style="19" hidden="1"/>
    <col min="15127" max="15127" width="16.7109375" style="19" hidden="1"/>
    <col min="15128" max="15354" width="0" style="19" hidden="1"/>
    <col min="15355" max="15355" width="1.85546875" style="19" hidden="1"/>
    <col min="15356" max="15356" width="8" style="19" hidden="1"/>
    <col min="15357" max="15357" width="9.5703125" style="19" hidden="1"/>
    <col min="15358" max="15359" width="8" style="19" hidden="1"/>
    <col min="15360" max="15362" width="1.85546875" style="19" hidden="1"/>
    <col min="15363" max="15363" width="13.42578125" style="19" hidden="1"/>
    <col min="15364" max="15364" width="16.85546875" style="19" hidden="1"/>
    <col min="15365" max="15365" width="9.7109375" style="19" hidden="1"/>
    <col min="15366" max="15366" width="9.85546875" style="19" hidden="1"/>
    <col min="15367" max="15367" width="7.7109375" style="19" hidden="1"/>
    <col min="15368" max="15368" width="12.85546875" style="19" hidden="1"/>
    <col min="15369" max="15369" width="13.85546875" style="19" hidden="1"/>
    <col min="15370" max="15370" width="9.85546875" style="19" hidden="1"/>
    <col min="15371" max="15371" width="14.7109375" style="19" hidden="1"/>
    <col min="15372" max="15372" width="16.42578125" style="19" hidden="1"/>
    <col min="15373" max="15375" width="13.85546875" style="19" hidden="1"/>
    <col min="15376" max="15376" width="12.85546875" style="19" hidden="1"/>
    <col min="15377" max="15377" width="14.140625" style="19" hidden="1"/>
    <col min="15378" max="15378" width="12.28515625" style="19" hidden="1"/>
    <col min="15379" max="15380" width="14.42578125" style="19" hidden="1"/>
    <col min="15381" max="15381" width="12.85546875" style="19" hidden="1"/>
    <col min="15382" max="15382" width="12.28515625" style="19" hidden="1"/>
    <col min="15383" max="15383" width="16.7109375" style="19" hidden="1"/>
    <col min="15384" max="15610" width="0" style="19" hidden="1"/>
    <col min="15611" max="15611" width="1.85546875" style="19" hidden="1"/>
    <col min="15612" max="15612" width="8" style="19" hidden="1"/>
    <col min="15613" max="15613" width="9.5703125" style="19" hidden="1"/>
    <col min="15614" max="15615" width="8" style="19" hidden="1"/>
    <col min="15616" max="15618" width="1.85546875" style="19" hidden="1"/>
    <col min="15619" max="15619" width="13.42578125" style="19" hidden="1"/>
    <col min="15620" max="15620" width="16.85546875" style="19" hidden="1"/>
    <col min="15621" max="15621" width="9.7109375" style="19" hidden="1"/>
    <col min="15622" max="15622" width="9.85546875" style="19" hidden="1"/>
    <col min="15623" max="15623" width="7.7109375" style="19" hidden="1"/>
    <col min="15624" max="15624" width="12.85546875" style="19" hidden="1"/>
    <col min="15625" max="15625" width="13.85546875" style="19" hidden="1"/>
    <col min="15626" max="15626" width="9.85546875" style="19" hidden="1"/>
    <col min="15627" max="15627" width="14.7109375" style="19" hidden="1"/>
    <col min="15628" max="15628" width="16.42578125" style="19" hidden="1"/>
    <col min="15629" max="15631" width="13.85546875" style="19" hidden="1"/>
    <col min="15632" max="15632" width="12.85546875" style="19" hidden="1"/>
    <col min="15633" max="15633" width="14.140625" style="19" hidden="1"/>
    <col min="15634" max="15634" width="12.28515625" style="19" hidden="1"/>
    <col min="15635" max="15636" width="14.42578125" style="19" hidden="1"/>
    <col min="15637" max="15637" width="12.85546875" style="19" hidden="1"/>
    <col min="15638" max="15638" width="12.28515625" style="19" hidden="1"/>
    <col min="15639" max="15639" width="16.7109375" style="19" hidden="1"/>
    <col min="15640" max="15866" width="0" style="19" hidden="1"/>
    <col min="15867" max="15867" width="1.85546875" style="19" hidden="1"/>
    <col min="15868" max="15868" width="8" style="19" hidden="1"/>
    <col min="15869" max="15869" width="9.5703125" style="19" hidden="1"/>
    <col min="15870" max="15871" width="8" style="19" hidden="1"/>
    <col min="15872" max="15874" width="1.85546875" style="19" hidden="1"/>
    <col min="15875" max="15875" width="13.42578125" style="19" hidden="1"/>
    <col min="15876" max="15876" width="16.85546875" style="19" hidden="1"/>
    <col min="15877" max="15877" width="9.7109375" style="19" hidden="1"/>
    <col min="15878" max="15878" width="9.85546875" style="19" hidden="1"/>
    <col min="15879" max="15879" width="7.7109375" style="19" hidden="1"/>
    <col min="15880" max="15880" width="12.85546875" style="19" hidden="1"/>
    <col min="15881" max="15881" width="13.85546875" style="19" hidden="1"/>
    <col min="15882" max="15882" width="9.85546875" style="19" hidden="1"/>
    <col min="15883" max="15883" width="14.7109375" style="19" hidden="1"/>
    <col min="15884" max="15884" width="16.42578125" style="19" hidden="1"/>
    <col min="15885" max="15887" width="13.85546875" style="19" hidden="1"/>
    <col min="15888" max="15888" width="12.85546875" style="19" hidden="1"/>
    <col min="15889" max="15889" width="14.140625" style="19" hidden="1"/>
    <col min="15890" max="15890" width="12.28515625" style="19" hidden="1"/>
    <col min="15891" max="15892" width="14.42578125" style="19" hidden="1"/>
    <col min="15893" max="15893" width="12.85546875" style="19" hidden="1"/>
    <col min="15894" max="15894" width="12.28515625" style="19" hidden="1"/>
    <col min="15895" max="15895" width="16.7109375" style="19" hidden="1"/>
    <col min="15896" max="16122" width="0" style="19" hidden="1"/>
    <col min="16123" max="16123" width="1.85546875" style="19" hidden="1"/>
    <col min="16124" max="16124" width="8" style="19" hidden="1"/>
    <col min="16125" max="16125" width="9.5703125" style="19" hidden="1"/>
    <col min="16126" max="16127" width="8" style="19" hidden="1"/>
    <col min="16128" max="16130" width="1.85546875" style="19" hidden="1"/>
    <col min="16131" max="16131" width="13.42578125" style="19" hidden="1"/>
    <col min="16132" max="16132" width="16.85546875" style="19" hidden="1"/>
    <col min="16133" max="16133" width="9.7109375" style="19" hidden="1"/>
    <col min="16134" max="16134" width="9.85546875" style="19" hidden="1"/>
    <col min="16135" max="16135" width="7.7109375" style="19" hidden="1"/>
    <col min="16136" max="16136" width="12.85546875" style="19" hidden="1"/>
    <col min="16137" max="16137" width="13.85546875" style="19" hidden="1"/>
    <col min="16138" max="16138" width="9.85546875" style="19" hidden="1"/>
    <col min="16139" max="16139" width="14.7109375" style="19" hidden="1"/>
    <col min="16140" max="16140" width="16.42578125" style="19" hidden="1"/>
    <col min="16141" max="16143" width="13.85546875" style="19" hidden="1"/>
    <col min="16144" max="16144" width="12.85546875" style="19" hidden="1"/>
    <col min="16145" max="16145" width="14.140625" style="19" hidden="1"/>
    <col min="16146" max="16146" width="12.28515625" style="19" hidden="1"/>
    <col min="16147" max="16148" width="14.42578125" style="19" hidden="1"/>
    <col min="16149" max="16149" width="12.85546875" style="19" hidden="1"/>
    <col min="16150" max="16150" width="12.28515625" style="19" hidden="1"/>
    <col min="16151" max="16151" width="16.7109375" style="19" hidden="1"/>
    <col min="16152" max="16384" width="0" style="19" hidden="1"/>
  </cols>
  <sheetData>
    <row r="1" spans="1:23">
      <c r="A1" s="18"/>
      <c r="B1" s="18"/>
      <c r="C1" s="186" t="s">
        <v>0</v>
      </c>
      <c r="D1" s="187"/>
      <c r="E1" s="187"/>
      <c r="F1" s="188" t="s">
        <v>1</v>
      </c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9" t="s">
        <v>2</v>
      </c>
      <c r="V1" s="190"/>
      <c r="W1" s="190"/>
    </row>
    <row r="2" spans="1:23">
      <c r="A2" s="18"/>
      <c r="B2" s="18"/>
      <c r="C2" s="187"/>
      <c r="D2" s="187"/>
      <c r="E2" s="187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90" t="s">
        <v>3</v>
      </c>
      <c r="V2" s="190"/>
      <c r="W2" s="14" t="s">
        <v>4</v>
      </c>
    </row>
    <row r="3" spans="1:23">
      <c r="A3" s="18"/>
      <c r="B3" s="18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90" t="s">
        <v>5</v>
      </c>
      <c r="V3" s="190"/>
      <c r="W3" s="190"/>
    </row>
    <row r="4" spans="1:23">
      <c r="A4" s="18"/>
      <c r="B4" s="18"/>
      <c r="C4" s="187"/>
      <c r="D4" s="187"/>
      <c r="E4" s="187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90"/>
      <c r="V4" s="190"/>
      <c r="W4" s="190"/>
    </row>
    <row r="5" spans="1:23" ht="23.25">
      <c r="A5" s="18"/>
      <c r="B5" s="18"/>
      <c r="C5" s="191" t="s">
        <v>6</v>
      </c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</row>
    <row r="6" spans="1:23" ht="18">
      <c r="A6" s="18"/>
      <c r="B6" s="18"/>
      <c r="C6" s="185" t="s">
        <v>7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</row>
    <row r="7" spans="1:23" ht="25.5">
      <c r="A7" s="18"/>
      <c r="B7" s="18"/>
      <c r="C7" s="13" t="s">
        <v>8</v>
      </c>
      <c r="D7" s="13" t="s">
        <v>9</v>
      </c>
      <c r="E7" s="1" t="s">
        <v>10</v>
      </c>
      <c r="F7" s="192" t="s">
        <v>11</v>
      </c>
      <c r="G7" s="192"/>
      <c r="H7" s="192" t="s">
        <v>12</v>
      </c>
      <c r="I7" s="192"/>
      <c r="J7" s="192" t="s">
        <v>13</v>
      </c>
      <c r="K7" s="192"/>
      <c r="L7" s="192" t="s">
        <v>14</v>
      </c>
      <c r="M7" s="192"/>
      <c r="N7" s="13" t="s">
        <v>15</v>
      </c>
      <c r="O7" s="192" t="s">
        <v>16</v>
      </c>
      <c r="P7" s="192"/>
      <c r="Q7" s="192" t="s">
        <v>17</v>
      </c>
      <c r="R7" s="192"/>
      <c r="S7" s="192" t="s">
        <v>18</v>
      </c>
      <c r="T7" s="192"/>
      <c r="U7" s="13" t="s">
        <v>19</v>
      </c>
      <c r="V7" s="192" t="s">
        <v>20</v>
      </c>
      <c r="W7" s="192"/>
    </row>
    <row r="8" spans="1:23" s="21" customFormat="1">
      <c r="A8" s="20"/>
      <c r="B8" s="20"/>
      <c r="C8" s="12" t="s">
        <v>21</v>
      </c>
      <c r="D8" s="6" t="s">
        <v>22</v>
      </c>
      <c r="E8" s="6" t="s">
        <v>23</v>
      </c>
      <c r="F8" s="182" t="s">
        <v>24</v>
      </c>
      <c r="G8" s="182"/>
      <c r="H8" s="182" t="s">
        <v>25</v>
      </c>
      <c r="I8" s="182"/>
      <c r="J8" s="183" t="s">
        <v>26</v>
      </c>
      <c r="K8" s="183"/>
      <c r="L8" s="183" t="s">
        <v>27</v>
      </c>
      <c r="M8" s="183"/>
      <c r="N8" s="6">
        <v>1328</v>
      </c>
      <c r="O8" s="183" t="s">
        <v>27</v>
      </c>
      <c r="P8" s="183"/>
      <c r="Q8" s="181" t="s">
        <v>28</v>
      </c>
      <c r="R8" s="181"/>
      <c r="S8" s="162">
        <v>10006793637</v>
      </c>
      <c r="T8" s="162"/>
      <c r="U8" s="21">
        <v>4</v>
      </c>
      <c r="V8" s="184" t="s">
        <v>29</v>
      </c>
      <c r="W8" s="184"/>
    </row>
    <row r="9" spans="1:23" ht="18">
      <c r="A9" s="20"/>
      <c r="B9" s="20"/>
      <c r="C9" s="185" t="s">
        <v>30</v>
      </c>
      <c r="D9" s="185"/>
      <c r="E9" s="185"/>
      <c r="F9" s="185"/>
      <c r="G9" s="185"/>
      <c r="H9" s="185"/>
      <c r="I9" s="185" t="s">
        <v>31</v>
      </c>
      <c r="J9" s="185"/>
      <c r="K9" s="185"/>
      <c r="L9" s="185"/>
      <c r="M9" s="185"/>
      <c r="N9" s="185"/>
      <c r="O9" s="185"/>
      <c r="P9" s="185"/>
      <c r="Q9" s="185" t="s">
        <v>32</v>
      </c>
      <c r="R9" s="185"/>
      <c r="S9" s="185"/>
      <c r="T9" s="185"/>
      <c r="U9" s="185"/>
      <c r="V9" s="185"/>
      <c r="W9" s="185"/>
    </row>
    <row r="10" spans="1:23" ht="24">
      <c r="A10" s="22"/>
      <c r="B10" s="22"/>
      <c r="C10" s="2" t="s">
        <v>33</v>
      </c>
      <c r="D10" s="3" t="s">
        <v>34</v>
      </c>
      <c r="E10" s="3" t="s">
        <v>35</v>
      </c>
      <c r="F10" s="2" t="s">
        <v>33</v>
      </c>
      <c r="G10" s="3" t="s">
        <v>34</v>
      </c>
      <c r="H10" s="3" t="s">
        <v>35</v>
      </c>
      <c r="I10" s="180" t="s">
        <v>36</v>
      </c>
      <c r="J10" s="180"/>
      <c r="K10" s="3" t="s">
        <v>34</v>
      </c>
      <c r="L10" s="3" t="s">
        <v>35</v>
      </c>
      <c r="M10" s="180" t="s">
        <v>36</v>
      </c>
      <c r="N10" s="180"/>
      <c r="O10" s="3" t="s">
        <v>34</v>
      </c>
      <c r="P10" s="3" t="s">
        <v>35</v>
      </c>
      <c r="Q10" s="23" t="s">
        <v>37</v>
      </c>
      <c r="R10" s="180" t="s">
        <v>38</v>
      </c>
      <c r="S10" s="180"/>
      <c r="T10" s="180"/>
      <c r="U10" s="181" t="s">
        <v>39</v>
      </c>
      <c r="V10" s="181"/>
      <c r="W10" s="181"/>
    </row>
    <row r="11" spans="1:23">
      <c r="A11" s="24"/>
      <c r="B11" s="24"/>
      <c r="C11" s="25">
        <v>132135684</v>
      </c>
      <c r="D11" s="5">
        <v>41668</v>
      </c>
      <c r="E11" s="5">
        <v>42032</v>
      </c>
      <c r="F11" s="25"/>
      <c r="G11" s="5"/>
      <c r="H11" s="5"/>
      <c r="I11" s="175" t="s">
        <v>40</v>
      </c>
      <c r="J11" s="176"/>
      <c r="K11" s="38">
        <v>43858</v>
      </c>
      <c r="L11" s="38">
        <v>44224</v>
      </c>
      <c r="M11" s="177"/>
      <c r="N11" s="177"/>
      <c r="O11" s="5"/>
      <c r="P11" s="5"/>
      <c r="Q11" s="5"/>
      <c r="R11" s="162"/>
      <c r="S11" s="162"/>
      <c r="T11" s="162"/>
      <c r="U11" s="161"/>
      <c r="V11" s="161"/>
      <c r="W11" s="161"/>
    </row>
    <row r="12" spans="1:23">
      <c r="A12" s="26"/>
      <c r="B12" s="26"/>
      <c r="C12" s="25">
        <v>145830860</v>
      </c>
      <c r="D12" s="5">
        <v>42398</v>
      </c>
      <c r="E12" s="5">
        <v>42763</v>
      </c>
      <c r="F12" s="25"/>
      <c r="G12" s="5"/>
      <c r="H12" s="5"/>
      <c r="I12" s="178" t="s">
        <v>41</v>
      </c>
      <c r="J12" s="179"/>
      <c r="K12" s="38">
        <v>44255</v>
      </c>
      <c r="L12" s="38">
        <v>44620</v>
      </c>
      <c r="M12" s="161"/>
      <c r="N12" s="161"/>
      <c r="O12" s="5"/>
      <c r="P12" s="5"/>
      <c r="Q12" s="5"/>
      <c r="R12" s="162"/>
      <c r="S12" s="162"/>
      <c r="T12" s="162"/>
      <c r="U12" s="161"/>
      <c r="V12" s="161"/>
      <c r="W12" s="161"/>
    </row>
    <row r="13" spans="1:23">
      <c r="A13" s="27"/>
      <c r="B13" s="27"/>
      <c r="C13" s="25">
        <v>7008001450952000</v>
      </c>
      <c r="D13" s="5">
        <v>42764</v>
      </c>
      <c r="E13" s="5">
        <v>43128</v>
      </c>
      <c r="F13" s="25"/>
      <c r="G13" s="5"/>
      <c r="H13" s="5"/>
      <c r="I13" s="161"/>
      <c r="J13" s="161"/>
      <c r="K13" s="5"/>
      <c r="L13" s="5"/>
      <c r="M13" s="161"/>
      <c r="N13" s="161"/>
      <c r="O13" s="5"/>
      <c r="P13" s="5"/>
      <c r="Q13" s="5"/>
      <c r="R13" s="162"/>
      <c r="S13" s="162"/>
      <c r="T13" s="162"/>
      <c r="U13" s="161"/>
      <c r="V13" s="161"/>
      <c r="W13" s="161"/>
    </row>
    <row r="14" spans="1:23">
      <c r="A14" s="27"/>
      <c r="B14" s="27"/>
      <c r="C14" s="25">
        <v>111609105</v>
      </c>
      <c r="D14" s="5">
        <v>43128</v>
      </c>
      <c r="E14" s="5">
        <v>43492</v>
      </c>
      <c r="F14" s="25"/>
      <c r="G14" s="5"/>
      <c r="H14" s="5"/>
      <c r="I14" s="161"/>
      <c r="J14" s="161"/>
      <c r="K14" s="5"/>
      <c r="L14" s="5"/>
      <c r="M14" s="162"/>
      <c r="N14" s="161"/>
      <c r="O14" s="5"/>
      <c r="P14" s="5"/>
      <c r="Q14" s="5"/>
      <c r="R14" s="162"/>
      <c r="S14" s="162"/>
      <c r="T14" s="162"/>
      <c r="U14" s="161"/>
      <c r="V14" s="161"/>
      <c r="W14" s="161"/>
    </row>
    <row r="15" spans="1:23">
      <c r="A15" s="27"/>
      <c r="B15" s="27"/>
      <c r="C15" s="7">
        <v>14730800001960</v>
      </c>
      <c r="D15" s="5">
        <v>43858</v>
      </c>
      <c r="E15" s="5">
        <v>44223</v>
      </c>
      <c r="F15" s="25"/>
      <c r="G15" s="5"/>
      <c r="H15" s="5"/>
      <c r="I15" s="161"/>
      <c r="J15" s="161"/>
      <c r="K15" s="5"/>
      <c r="L15" s="5"/>
      <c r="M15" s="162"/>
      <c r="N15" s="161"/>
      <c r="O15" s="5"/>
      <c r="P15" s="5"/>
      <c r="Q15" s="5"/>
      <c r="R15" s="162"/>
      <c r="S15" s="162"/>
      <c r="T15" s="162"/>
      <c r="U15" s="161"/>
      <c r="V15" s="161"/>
      <c r="W15" s="161"/>
    </row>
    <row r="16" spans="1:23">
      <c r="A16" s="27"/>
      <c r="B16" s="27"/>
      <c r="C16" s="25"/>
      <c r="D16" s="5"/>
      <c r="E16" s="5"/>
      <c r="F16" s="25"/>
      <c r="G16" s="5"/>
      <c r="H16" s="5"/>
      <c r="I16" s="163"/>
      <c r="J16" s="163"/>
      <c r="K16" s="5"/>
      <c r="L16" s="5"/>
      <c r="M16" s="161"/>
      <c r="N16" s="161"/>
      <c r="O16" s="5"/>
      <c r="P16" s="5"/>
      <c r="Q16" s="5"/>
      <c r="R16" s="162"/>
      <c r="S16" s="162"/>
      <c r="T16" s="162"/>
      <c r="U16" s="161"/>
      <c r="V16" s="161"/>
      <c r="W16" s="161"/>
    </row>
    <row r="17" spans="1:25">
      <c r="A17" s="27"/>
      <c r="B17" s="27"/>
      <c r="C17" s="152" t="s">
        <v>42</v>
      </c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28"/>
    </row>
    <row r="18" spans="1:25" ht="48">
      <c r="A18" s="27"/>
      <c r="B18" s="27"/>
      <c r="C18" s="15" t="s">
        <v>43</v>
      </c>
      <c r="D18" s="15" t="s">
        <v>44</v>
      </c>
      <c r="E18" s="15" t="s">
        <v>45</v>
      </c>
      <c r="F18" s="15" t="s">
        <v>46</v>
      </c>
      <c r="G18" s="42" t="s">
        <v>47</v>
      </c>
      <c r="H18" s="42" t="s">
        <v>48</v>
      </c>
      <c r="I18" s="43" t="s">
        <v>49</v>
      </c>
      <c r="J18" s="42" t="s">
        <v>50</v>
      </c>
      <c r="K18" s="42" t="s">
        <v>51</v>
      </c>
      <c r="L18" s="42" t="s">
        <v>52</v>
      </c>
      <c r="M18" s="42"/>
      <c r="N18" s="42" t="s">
        <v>53</v>
      </c>
      <c r="O18" s="42" t="s">
        <v>54</v>
      </c>
      <c r="P18" s="42" t="s">
        <v>55</v>
      </c>
      <c r="Q18" s="42" t="s">
        <v>56</v>
      </c>
      <c r="R18" s="42" t="s">
        <v>57</v>
      </c>
      <c r="S18" s="42" t="s">
        <v>58</v>
      </c>
      <c r="T18" s="42" t="s">
        <v>59</v>
      </c>
      <c r="U18" s="42" t="s">
        <v>60</v>
      </c>
      <c r="V18" s="42" t="s">
        <v>61</v>
      </c>
      <c r="W18" s="44" t="s">
        <v>62</v>
      </c>
      <c r="X18" s="40" t="s">
        <v>63</v>
      </c>
      <c r="Y18" s="41" t="s">
        <v>64</v>
      </c>
    </row>
    <row r="19" spans="1:25" ht="18.75" customHeight="1">
      <c r="A19" s="18"/>
      <c r="B19" s="18"/>
      <c r="C19" s="172">
        <v>45349</v>
      </c>
      <c r="D19" s="170"/>
      <c r="E19" s="168" t="s">
        <v>65</v>
      </c>
      <c r="F19" s="166"/>
      <c r="G19" s="164" t="s">
        <v>66</v>
      </c>
      <c r="H19" s="121">
        <v>173218</v>
      </c>
      <c r="I19" s="119">
        <v>45374</v>
      </c>
      <c r="J19" s="117" t="s">
        <v>67</v>
      </c>
      <c r="K19" s="56" t="s">
        <v>68</v>
      </c>
      <c r="L19" s="57" t="s">
        <v>69</v>
      </c>
      <c r="M19" s="57"/>
      <c r="N19" s="58">
        <v>1</v>
      </c>
      <c r="O19" s="59">
        <v>77323.08</v>
      </c>
      <c r="P19" s="59">
        <f>O19*N19</f>
        <v>77323.08</v>
      </c>
      <c r="Q19" s="59">
        <f>+P19*19%</f>
        <v>14691.385200000001</v>
      </c>
      <c r="R19" s="59">
        <f>+Q19+P19</f>
        <v>92014.465200000006</v>
      </c>
      <c r="S19" s="60">
        <v>13208</v>
      </c>
      <c r="T19" s="60">
        <f>S19*N19</f>
        <v>13208</v>
      </c>
      <c r="U19" s="61">
        <f>T19*0.19</f>
        <v>2509.52</v>
      </c>
      <c r="V19" s="62">
        <f>U19+T19</f>
        <v>15717.52</v>
      </c>
      <c r="W19" s="63">
        <f>+V19+R19</f>
        <v>107731.98520000001</v>
      </c>
      <c r="X19" s="153">
        <f>SUM(W19:W23)</f>
        <v>371402.9374</v>
      </c>
      <c r="Y19" s="114" t="s">
        <v>70</v>
      </c>
    </row>
    <row r="20" spans="1:25">
      <c r="A20" s="18"/>
      <c r="B20" s="18"/>
      <c r="C20" s="173"/>
      <c r="D20" s="171"/>
      <c r="E20" s="169"/>
      <c r="F20" s="167"/>
      <c r="G20" s="165"/>
      <c r="H20" s="122"/>
      <c r="I20" s="120"/>
      <c r="J20" s="118"/>
      <c r="K20" s="56" t="s">
        <v>68</v>
      </c>
      <c r="L20" s="57" t="s">
        <v>71</v>
      </c>
      <c r="M20" s="57"/>
      <c r="N20" s="58">
        <v>1</v>
      </c>
      <c r="O20" s="59">
        <v>27615.38</v>
      </c>
      <c r="P20" s="59">
        <f>O20*N20</f>
        <v>27615.38</v>
      </c>
      <c r="Q20" s="59">
        <f>+P20*19%</f>
        <v>5246.9222</v>
      </c>
      <c r="R20" s="59">
        <f>+Q20+P20</f>
        <v>32862.302199999998</v>
      </c>
      <c r="S20" s="60">
        <v>13208</v>
      </c>
      <c r="T20" s="60">
        <f t="shared" ref="T20:T21" si="0">S20*N20</f>
        <v>13208</v>
      </c>
      <c r="U20" s="61">
        <f t="shared" ref="U20:U21" si="1">T20*0.19</f>
        <v>2509.52</v>
      </c>
      <c r="V20" s="62">
        <f t="shared" ref="V20:V21" si="2">U20+T20</f>
        <v>15717.52</v>
      </c>
      <c r="W20" s="63">
        <f>+V20+R20</f>
        <v>48579.822199999995</v>
      </c>
      <c r="X20" s="154"/>
      <c r="Y20" s="115"/>
    </row>
    <row r="21" spans="1:25">
      <c r="A21" s="18"/>
      <c r="B21" s="18"/>
      <c r="C21" s="173"/>
      <c r="D21" s="171"/>
      <c r="E21" s="169"/>
      <c r="F21" s="167"/>
      <c r="G21" s="165"/>
      <c r="H21" s="122"/>
      <c r="I21" s="120"/>
      <c r="J21" s="118"/>
      <c r="K21" s="56" t="s">
        <v>68</v>
      </c>
      <c r="L21" s="57" t="s">
        <v>72</v>
      </c>
      <c r="M21" s="57"/>
      <c r="N21" s="58">
        <v>4</v>
      </c>
      <c r="O21" s="59">
        <v>24301.54</v>
      </c>
      <c r="P21" s="59">
        <f>O21*N21</f>
        <v>97206.16</v>
      </c>
      <c r="Q21" s="59">
        <v>0</v>
      </c>
      <c r="R21" s="59">
        <f>+Q21+P21</f>
        <v>97206.16</v>
      </c>
      <c r="S21" s="60">
        <v>0</v>
      </c>
      <c r="T21" s="60">
        <f t="shared" si="0"/>
        <v>0</v>
      </c>
      <c r="U21" s="61">
        <f t="shared" si="1"/>
        <v>0</v>
      </c>
      <c r="V21" s="62">
        <f t="shared" si="2"/>
        <v>0</v>
      </c>
      <c r="W21" s="63">
        <f>+V21+R21</f>
        <v>97206.16</v>
      </c>
      <c r="X21" s="154"/>
      <c r="Y21" s="115"/>
    </row>
    <row r="22" spans="1:25" ht="33">
      <c r="A22" s="18"/>
      <c r="B22" s="18"/>
      <c r="C22" s="173"/>
      <c r="D22" s="171"/>
      <c r="E22" s="169"/>
      <c r="F22" s="167"/>
      <c r="G22" s="165"/>
      <c r="H22" s="122"/>
      <c r="I22" s="120"/>
      <c r="J22" s="118"/>
      <c r="K22" s="56" t="s">
        <v>73</v>
      </c>
      <c r="L22" s="74" t="s">
        <v>74</v>
      </c>
      <c r="M22" s="57"/>
      <c r="N22" s="58">
        <v>1</v>
      </c>
      <c r="O22" s="59">
        <v>0</v>
      </c>
      <c r="P22" s="59">
        <f>O22*N22</f>
        <v>0</v>
      </c>
      <c r="Q22" s="59">
        <f>+P22*19%</f>
        <v>0</v>
      </c>
      <c r="R22" s="59">
        <f>+Q22+P22</f>
        <v>0</v>
      </c>
      <c r="S22" s="60">
        <v>66042</v>
      </c>
      <c r="T22" s="59">
        <f>S22*N22</f>
        <v>66042</v>
      </c>
      <c r="U22" s="59">
        <f>+T22*19%</f>
        <v>12547.98</v>
      </c>
      <c r="V22" s="65">
        <f t="shared" ref="V22:V42" si="3">+U22+T22</f>
        <v>78589.98</v>
      </c>
      <c r="W22" s="66">
        <f>+V22+R22</f>
        <v>78589.98</v>
      </c>
      <c r="X22" s="154"/>
      <c r="Y22" s="115"/>
    </row>
    <row r="23" spans="1:25">
      <c r="A23" s="18"/>
      <c r="B23" s="18"/>
      <c r="C23" s="173"/>
      <c r="D23" s="171"/>
      <c r="E23" s="169"/>
      <c r="F23" s="167"/>
      <c r="G23" s="165"/>
      <c r="H23" s="122"/>
      <c r="I23" s="120"/>
      <c r="J23" s="118"/>
      <c r="K23" s="56" t="s">
        <v>68</v>
      </c>
      <c r="L23" s="57" t="s">
        <v>75</v>
      </c>
      <c r="M23" s="57"/>
      <c r="N23" s="58">
        <v>1</v>
      </c>
      <c r="O23" s="59">
        <v>0</v>
      </c>
      <c r="P23" s="59">
        <f t="shared" ref="P23:P42" si="4">O23*N23</f>
        <v>0</v>
      </c>
      <c r="Q23" s="59">
        <f t="shared" ref="Q23:Q41" si="5">+P23*19%</f>
        <v>0</v>
      </c>
      <c r="R23" s="59">
        <f t="shared" ref="R23:R41" si="6">+Q23+P23</f>
        <v>0</v>
      </c>
      <c r="S23" s="60">
        <v>33021</v>
      </c>
      <c r="T23" s="59">
        <f t="shared" ref="T23:T41" si="7">S23*N23</f>
        <v>33021</v>
      </c>
      <c r="U23" s="59">
        <f t="shared" ref="U23:U42" si="8">+T23*19%</f>
        <v>6273.99</v>
      </c>
      <c r="V23" s="59">
        <f t="shared" si="3"/>
        <v>39294.99</v>
      </c>
      <c r="W23" s="67">
        <f t="shared" ref="W23:W42" si="9">+V23+R23</f>
        <v>39294.99</v>
      </c>
      <c r="X23" s="155"/>
      <c r="Y23" s="115"/>
    </row>
    <row r="24" spans="1:25" ht="81" customHeight="1">
      <c r="A24" s="18"/>
      <c r="B24" s="18"/>
      <c r="C24" s="159">
        <v>45373</v>
      </c>
      <c r="D24" s="158"/>
      <c r="E24" s="157" t="s">
        <v>76</v>
      </c>
      <c r="F24" s="156"/>
      <c r="G24" s="174" t="s">
        <v>66</v>
      </c>
      <c r="H24" s="151">
        <v>174098</v>
      </c>
      <c r="I24" s="150">
        <v>45374</v>
      </c>
      <c r="J24" s="149" t="s">
        <v>77</v>
      </c>
      <c r="K24" s="75" t="s">
        <v>73</v>
      </c>
      <c r="L24" s="74" t="s">
        <v>78</v>
      </c>
      <c r="M24" s="57"/>
      <c r="N24" s="58">
        <v>3</v>
      </c>
      <c r="O24" s="59">
        <v>27615.38</v>
      </c>
      <c r="P24" s="59">
        <f t="shared" si="4"/>
        <v>82846.14</v>
      </c>
      <c r="Q24" s="59">
        <v>0</v>
      </c>
      <c r="R24" s="59">
        <f t="shared" si="6"/>
        <v>82846.14</v>
      </c>
      <c r="S24" s="60">
        <v>0</v>
      </c>
      <c r="T24" s="59">
        <f t="shared" si="7"/>
        <v>0</v>
      </c>
      <c r="U24" s="59">
        <f t="shared" si="8"/>
        <v>0</v>
      </c>
      <c r="V24" s="59">
        <f t="shared" si="3"/>
        <v>0</v>
      </c>
      <c r="W24" s="67">
        <f t="shared" si="9"/>
        <v>82846.14</v>
      </c>
      <c r="X24" s="135">
        <f>SUM(W24:W32)</f>
        <v>1162701.882</v>
      </c>
      <c r="Y24" s="148" t="s">
        <v>70</v>
      </c>
    </row>
    <row r="25" spans="1:25" ht="55.5">
      <c r="A25" s="18"/>
      <c r="B25" s="18"/>
      <c r="C25" s="159"/>
      <c r="D25" s="158"/>
      <c r="E25" s="157"/>
      <c r="F25" s="156"/>
      <c r="G25" s="174"/>
      <c r="H25" s="151"/>
      <c r="I25" s="150"/>
      <c r="J25" s="149"/>
      <c r="K25" s="75" t="s">
        <v>73</v>
      </c>
      <c r="L25" s="74" t="s">
        <v>79</v>
      </c>
      <c r="M25" s="57"/>
      <c r="N25" s="58">
        <v>1</v>
      </c>
      <c r="O25" s="59">
        <v>0</v>
      </c>
      <c r="P25" s="59">
        <f t="shared" si="4"/>
        <v>0</v>
      </c>
      <c r="Q25" s="59">
        <f t="shared" si="5"/>
        <v>0</v>
      </c>
      <c r="R25" s="59">
        <f t="shared" si="6"/>
        <v>0</v>
      </c>
      <c r="S25" s="60">
        <v>112608.25</v>
      </c>
      <c r="T25" s="59">
        <f t="shared" si="7"/>
        <v>112608.25</v>
      </c>
      <c r="U25" s="59">
        <f t="shared" si="8"/>
        <v>21395.567500000001</v>
      </c>
      <c r="V25" s="59">
        <f t="shared" si="3"/>
        <v>134003.8175</v>
      </c>
      <c r="W25" s="67">
        <f t="shared" si="9"/>
        <v>134003.8175</v>
      </c>
      <c r="X25" s="136"/>
      <c r="Y25" s="148"/>
    </row>
    <row r="26" spans="1:25" ht="55.5">
      <c r="A26" s="18"/>
      <c r="B26" s="18"/>
      <c r="C26" s="159"/>
      <c r="D26" s="158"/>
      <c r="E26" s="157"/>
      <c r="F26" s="156"/>
      <c r="G26" s="174"/>
      <c r="H26" s="151"/>
      <c r="I26" s="150"/>
      <c r="J26" s="149"/>
      <c r="K26" s="75" t="s">
        <v>73</v>
      </c>
      <c r="L26" s="74" t="s">
        <v>80</v>
      </c>
      <c r="M26" s="57"/>
      <c r="N26" s="58">
        <v>2</v>
      </c>
      <c r="O26" s="59">
        <v>0</v>
      </c>
      <c r="P26" s="59">
        <f t="shared" si="4"/>
        <v>0</v>
      </c>
      <c r="Q26" s="59">
        <f t="shared" si="5"/>
        <v>0</v>
      </c>
      <c r="R26" s="59">
        <f t="shared" si="6"/>
        <v>0</v>
      </c>
      <c r="S26" s="60">
        <v>58500</v>
      </c>
      <c r="T26" s="59">
        <f t="shared" si="7"/>
        <v>117000</v>
      </c>
      <c r="U26" s="59">
        <f t="shared" si="8"/>
        <v>22230</v>
      </c>
      <c r="V26" s="59">
        <f t="shared" si="3"/>
        <v>139230</v>
      </c>
      <c r="W26" s="67">
        <f t="shared" si="9"/>
        <v>139230</v>
      </c>
      <c r="X26" s="136"/>
      <c r="Y26" s="148"/>
    </row>
    <row r="27" spans="1:25" ht="33">
      <c r="A27" s="18"/>
      <c r="B27" s="18"/>
      <c r="C27" s="159"/>
      <c r="D27" s="158"/>
      <c r="E27" s="157"/>
      <c r="F27" s="156"/>
      <c r="G27" s="174"/>
      <c r="H27" s="151"/>
      <c r="I27" s="150"/>
      <c r="J27" s="149"/>
      <c r="K27" s="75" t="s">
        <v>73</v>
      </c>
      <c r="L27" s="74" t="s">
        <v>81</v>
      </c>
      <c r="M27" s="57"/>
      <c r="N27" s="58">
        <v>1</v>
      </c>
      <c r="O27" s="59">
        <v>0</v>
      </c>
      <c r="P27" s="59">
        <f t="shared" si="4"/>
        <v>0</v>
      </c>
      <c r="Q27" s="59">
        <f t="shared" si="5"/>
        <v>0</v>
      </c>
      <c r="R27" s="59">
        <f t="shared" si="6"/>
        <v>0</v>
      </c>
      <c r="S27" s="60">
        <v>130000</v>
      </c>
      <c r="T27" s="59">
        <f t="shared" si="7"/>
        <v>130000</v>
      </c>
      <c r="U27" s="59">
        <f t="shared" si="8"/>
        <v>24700</v>
      </c>
      <c r="V27" s="59">
        <f t="shared" si="3"/>
        <v>154700</v>
      </c>
      <c r="W27" s="67">
        <f t="shared" si="9"/>
        <v>154700</v>
      </c>
      <c r="X27" s="136"/>
      <c r="Y27" s="148"/>
    </row>
    <row r="28" spans="1:25" ht="33">
      <c r="A28" s="18"/>
      <c r="B28" s="18"/>
      <c r="C28" s="159"/>
      <c r="D28" s="158"/>
      <c r="E28" s="157"/>
      <c r="F28" s="156"/>
      <c r="G28" s="174"/>
      <c r="H28" s="151"/>
      <c r="I28" s="150"/>
      <c r="J28" s="149"/>
      <c r="K28" s="75" t="s">
        <v>73</v>
      </c>
      <c r="L28" s="74" t="s">
        <v>82</v>
      </c>
      <c r="M28" s="57"/>
      <c r="N28" s="58">
        <v>1</v>
      </c>
      <c r="O28" s="59">
        <v>0</v>
      </c>
      <c r="P28" s="59">
        <f t="shared" si="4"/>
        <v>0</v>
      </c>
      <c r="Q28" s="59">
        <f t="shared" si="5"/>
        <v>0</v>
      </c>
      <c r="R28" s="59">
        <f t="shared" si="6"/>
        <v>0</v>
      </c>
      <c r="S28" s="60">
        <v>110000</v>
      </c>
      <c r="T28" s="59">
        <f t="shared" si="7"/>
        <v>110000</v>
      </c>
      <c r="U28" s="59">
        <f t="shared" si="8"/>
        <v>20900</v>
      </c>
      <c r="V28" s="59">
        <f t="shared" si="3"/>
        <v>130900</v>
      </c>
      <c r="W28" s="67">
        <f t="shared" si="9"/>
        <v>130900</v>
      </c>
      <c r="X28" s="136"/>
      <c r="Y28" s="148"/>
    </row>
    <row r="29" spans="1:25">
      <c r="A29" s="18"/>
      <c r="B29" s="18"/>
      <c r="C29" s="159"/>
      <c r="D29" s="158"/>
      <c r="E29" s="157"/>
      <c r="F29" s="156"/>
      <c r="G29" s="174"/>
      <c r="H29" s="151"/>
      <c r="I29" s="150"/>
      <c r="J29" s="149"/>
      <c r="K29" s="75" t="s">
        <v>73</v>
      </c>
      <c r="L29" s="57" t="s">
        <v>83</v>
      </c>
      <c r="M29" s="57"/>
      <c r="N29" s="58">
        <v>1</v>
      </c>
      <c r="O29" s="59">
        <v>0</v>
      </c>
      <c r="P29" s="59">
        <f t="shared" si="4"/>
        <v>0</v>
      </c>
      <c r="Q29" s="59">
        <f t="shared" si="5"/>
        <v>0</v>
      </c>
      <c r="R29" s="59">
        <f t="shared" si="6"/>
        <v>0</v>
      </c>
      <c r="S29" s="60">
        <v>66042</v>
      </c>
      <c r="T29" s="59">
        <f t="shared" si="7"/>
        <v>66042</v>
      </c>
      <c r="U29" s="59">
        <f t="shared" si="8"/>
        <v>12547.98</v>
      </c>
      <c r="V29" s="59">
        <f t="shared" si="3"/>
        <v>78589.98</v>
      </c>
      <c r="W29" s="67">
        <f t="shared" si="9"/>
        <v>78589.98</v>
      </c>
      <c r="X29" s="136"/>
      <c r="Y29" s="148"/>
    </row>
    <row r="30" spans="1:25" ht="22.5">
      <c r="A30" s="18"/>
      <c r="B30" s="18"/>
      <c r="C30" s="159"/>
      <c r="D30" s="158"/>
      <c r="E30" s="157"/>
      <c r="F30" s="156"/>
      <c r="G30" s="174"/>
      <c r="H30" s="151"/>
      <c r="I30" s="150"/>
      <c r="J30" s="149"/>
      <c r="K30" s="75" t="s">
        <v>73</v>
      </c>
      <c r="L30" s="74" t="s">
        <v>84</v>
      </c>
      <c r="M30" s="57"/>
      <c r="N30" s="58">
        <v>1</v>
      </c>
      <c r="O30" s="59">
        <v>0</v>
      </c>
      <c r="P30" s="59">
        <f t="shared" si="4"/>
        <v>0</v>
      </c>
      <c r="Q30" s="59">
        <f t="shared" si="5"/>
        <v>0</v>
      </c>
      <c r="R30" s="59">
        <f t="shared" si="6"/>
        <v>0</v>
      </c>
      <c r="S30" s="60">
        <v>19813</v>
      </c>
      <c r="T30" s="59">
        <f t="shared" si="7"/>
        <v>19813</v>
      </c>
      <c r="U30" s="59">
        <f t="shared" si="8"/>
        <v>3764.4700000000003</v>
      </c>
      <c r="V30" s="59">
        <f t="shared" si="3"/>
        <v>23577.47</v>
      </c>
      <c r="W30" s="67">
        <f t="shared" si="9"/>
        <v>23577.47</v>
      </c>
      <c r="X30" s="136"/>
      <c r="Y30" s="148"/>
    </row>
    <row r="31" spans="1:25" ht="33">
      <c r="A31" s="18"/>
      <c r="B31" s="18"/>
      <c r="C31" s="159"/>
      <c r="D31" s="158"/>
      <c r="E31" s="157"/>
      <c r="F31" s="156"/>
      <c r="G31" s="174"/>
      <c r="H31" s="151"/>
      <c r="I31" s="150"/>
      <c r="J31" s="149"/>
      <c r="K31" s="75" t="s">
        <v>73</v>
      </c>
      <c r="L31" s="74" t="s">
        <v>85</v>
      </c>
      <c r="M31" s="57"/>
      <c r="N31" s="58">
        <v>1</v>
      </c>
      <c r="O31" s="59">
        <v>0</v>
      </c>
      <c r="P31" s="59">
        <f t="shared" si="4"/>
        <v>0</v>
      </c>
      <c r="Q31" s="59">
        <f t="shared" si="5"/>
        <v>0</v>
      </c>
      <c r="R31" s="59">
        <f t="shared" si="6"/>
        <v>0</v>
      </c>
      <c r="S31" s="60">
        <v>292000</v>
      </c>
      <c r="T31" s="59">
        <f t="shared" si="7"/>
        <v>292000</v>
      </c>
      <c r="U31" s="59">
        <f t="shared" si="8"/>
        <v>55480</v>
      </c>
      <c r="V31" s="59">
        <f t="shared" si="3"/>
        <v>347480</v>
      </c>
      <c r="W31" s="67">
        <f t="shared" si="9"/>
        <v>347480</v>
      </c>
      <c r="X31" s="136"/>
      <c r="Y31" s="148"/>
    </row>
    <row r="32" spans="1:25" ht="55.5">
      <c r="A32" s="18"/>
      <c r="B32" s="18"/>
      <c r="C32" s="159"/>
      <c r="D32" s="158"/>
      <c r="E32" s="157"/>
      <c r="F32" s="156"/>
      <c r="G32" s="174"/>
      <c r="H32" s="151"/>
      <c r="I32" s="150"/>
      <c r="J32" s="149"/>
      <c r="K32" s="75" t="s">
        <v>73</v>
      </c>
      <c r="L32" s="74" t="s">
        <v>86</v>
      </c>
      <c r="M32" s="57"/>
      <c r="N32" s="58">
        <v>1</v>
      </c>
      <c r="O32" s="59">
        <v>0</v>
      </c>
      <c r="P32" s="59">
        <f t="shared" si="4"/>
        <v>0</v>
      </c>
      <c r="Q32" s="59">
        <f t="shared" si="5"/>
        <v>0</v>
      </c>
      <c r="R32" s="59">
        <f t="shared" si="6"/>
        <v>0</v>
      </c>
      <c r="S32" s="60">
        <v>59978.55</v>
      </c>
      <c r="T32" s="59">
        <f t="shared" si="7"/>
        <v>59978.55</v>
      </c>
      <c r="U32" s="59">
        <f t="shared" si="8"/>
        <v>11395.924500000001</v>
      </c>
      <c r="V32" s="59">
        <f t="shared" si="3"/>
        <v>71374.474500000011</v>
      </c>
      <c r="W32" s="67">
        <f t="shared" si="9"/>
        <v>71374.474500000011</v>
      </c>
      <c r="X32" s="137"/>
      <c r="Y32" s="148"/>
    </row>
    <row r="33" spans="1:25" ht="24" customHeight="1">
      <c r="A33" s="18"/>
      <c r="B33" s="18"/>
      <c r="C33" s="133">
        <v>45429</v>
      </c>
      <c r="D33" s="130"/>
      <c r="E33" s="127" t="s">
        <v>87</v>
      </c>
      <c r="F33" s="124"/>
      <c r="G33" s="123" t="s">
        <v>88</v>
      </c>
      <c r="H33" s="145">
        <v>175621</v>
      </c>
      <c r="I33" s="142">
        <v>45455</v>
      </c>
      <c r="J33" s="139" t="s">
        <v>89</v>
      </c>
      <c r="K33" s="56" t="s">
        <v>73</v>
      </c>
      <c r="L33" s="74" t="s">
        <v>90</v>
      </c>
      <c r="M33" s="57"/>
      <c r="N33" s="58">
        <v>1</v>
      </c>
      <c r="O33" s="59">
        <v>390370</v>
      </c>
      <c r="P33" s="59">
        <f t="shared" si="4"/>
        <v>390370</v>
      </c>
      <c r="Q33" s="59">
        <f t="shared" si="5"/>
        <v>74170.3</v>
      </c>
      <c r="R33" s="59">
        <f t="shared" si="6"/>
        <v>464540.3</v>
      </c>
      <c r="S33" s="60">
        <v>0</v>
      </c>
      <c r="T33" s="59">
        <f t="shared" si="7"/>
        <v>0</v>
      </c>
      <c r="U33" s="59">
        <f t="shared" si="8"/>
        <v>0</v>
      </c>
      <c r="V33" s="59">
        <f t="shared" si="3"/>
        <v>0</v>
      </c>
      <c r="W33" s="67">
        <f t="shared" si="9"/>
        <v>464540.3</v>
      </c>
      <c r="X33" s="135">
        <f>SUM(W33:W41)</f>
        <v>2294235.5100000002</v>
      </c>
      <c r="Y33" s="138" t="s">
        <v>70</v>
      </c>
    </row>
    <row r="34" spans="1:25" ht="44.25">
      <c r="A34" s="18"/>
      <c r="B34" s="18"/>
      <c r="C34" s="134"/>
      <c r="D34" s="131"/>
      <c r="E34" s="128"/>
      <c r="F34" s="125"/>
      <c r="G34" s="101"/>
      <c r="H34" s="146"/>
      <c r="I34" s="143"/>
      <c r="J34" s="140"/>
      <c r="K34" s="56" t="s">
        <v>73</v>
      </c>
      <c r="L34" s="74" t="s">
        <v>91</v>
      </c>
      <c r="M34" s="57"/>
      <c r="N34" s="58">
        <v>1</v>
      </c>
      <c r="O34" s="59">
        <v>376112</v>
      </c>
      <c r="P34" s="59">
        <f t="shared" si="4"/>
        <v>376112</v>
      </c>
      <c r="Q34" s="59">
        <f t="shared" si="5"/>
        <v>71461.279999999999</v>
      </c>
      <c r="R34" s="59">
        <f t="shared" si="6"/>
        <v>447573.28</v>
      </c>
      <c r="S34" s="60">
        <v>0</v>
      </c>
      <c r="T34" s="59">
        <f t="shared" si="7"/>
        <v>0</v>
      </c>
      <c r="U34" s="59">
        <f t="shared" si="8"/>
        <v>0</v>
      </c>
      <c r="V34" s="59">
        <f t="shared" si="3"/>
        <v>0</v>
      </c>
      <c r="W34" s="67">
        <f t="shared" si="9"/>
        <v>447573.28</v>
      </c>
      <c r="X34" s="136"/>
      <c r="Y34" s="138"/>
    </row>
    <row r="35" spans="1:25" ht="33">
      <c r="A35" s="18"/>
      <c r="B35" s="18"/>
      <c r="C35" s="134"/>
      <c r="D35" s="131"/>
      <c r="E35" s="128"/>
      <c r="F35" s="125"/>
      <c r="G35" s="101"/>
      <c r="H35" s="146"/>
      <c r="I35" s="143"/>
      <c r="J35" s="140"/>
      <c r="K35" s="56" t="s">
        <v>73</v>
      </c>
      <c r="L35" s="74" t="s">
        <v>92</v>
      </c>
      <c r="M35" s="57"/>
      <c r="N35" s="58">
        <v>1</v>
      </c>
      <c r="O35" s="59">
        <v>319542</v>
      </c>
      <c r="P35" s="59">
        <f t="shared" si="4"/>
        <v>319542</v>
      </c>
      <c r="Q35" s="59">
        <f t="shared" si="5"/>
        <v>60712.98</v>
      </c>
      <c r="R35" s="59">
        <f t="shared" si="6"/>
        <v>380254.98</v>
      </c>
      <c r="S35" s="60">
        <v>0</v>
      </c>
      <c r="T35" s="59">
        <f t="shared" si="7"/>
        <v>0</v>
      </c>
      <c r="U35" s="59">
        <f t="shared" si="8"/>
        <v>0</v>
      </c>
      <c r="V35" s="59">
        <f t="shared" si="3"/>
        <v>0</v>
      </c>
      <c r="W35" s="67">
        <f t="shared" si="9"/>
        <v>380254.98</v>
      </c>
      <c r="X35" s="136"/>
      <c r="Y35" s="138"/>
    </row>
    <row r="36" spans="1:25" ht="44.25">
      <c r="A36" s="18"/>
      <c r="B36" s="18"/>
      <c r="C36" s="134"/>
      <c r="D36" s="131"/>
      <c r="E36" s="128"/>
      <c r="F36" s="125"/>
      <c r="G36" s="101"/>
      <c r="H36" s="146"/>
      <c r="I36" s="143"/>
      <c r="J36" s="140"/>
      <c r="K36" s="56" t="s">
        <v>73</v>
      </c>
      <c r="L36" s="74" t="s">
        <v>93</v>
      </c>
      <c r="M36" s="57"/>
      <c r="N36" s="58">
        <v>1</v>
      </c>
      <c r="O36" s="59">
        <v>89536</v>
      </c>
      <c r="P36" s="59">
        <f t="shared" si="4"/>
        <v>89536</v>
      </c>
      <c r="Q36" s="59">
        <f t="shared" si="5"/>
        <v>17011.84</v>
      </c>
      <c r="R36" s="59">
        <f t="shared" si="6"/>
        <v>106547.84</v>
      </c>
      <c r="S36" s="60">
        <v>15000</v>
      </c>
      <c r="T36" s="59">
        <f t="shared" si="7"/>
        <v>15000</v>
      </c>
      <c r="U36" s="59">
        <f t="shared" si="8"/>
        <v>2850</v>
      </c>
      <c r="V36" s="59">
        <f t="shared" si="3"/>
        <v>17850</v>
      </c>
      <c r="W36" s="67">
        <f t="shared" si="9"/>
        <v>124397.84</v>
      </c>
      <c r="X36" s="136"/>
      <c r="Y36" s="138"/>
    </row>
    <row r="37" spans="1:25" ht="22.5">
      <c r="A37" s="18"/>
      <c r="B37" s="18"/>
      <c r="C37" s="134"/>
      <c r="D37" s="131"/>
      <c r="E37" s="128"/>
      <c r="F37" s="125"/>
      <c r="G37" s="101"/>
      <c r="H37" s="146"/>
      <c r="I37" s="143"/>
      <c r="J37" s="140"/>
      <c r="K37" s="56" t="s">
        <v>73</v>
      </c>
      <c r="L37" s="77" t="s">
        <v>94</v>
      </c>
      <c r="M37" s="68"/>
      <c r="N37" s="69">
        <v>1</v>
      </c>
      <c r="O37" s="70">
        <v>58401</v>
      </c>
      <c r="P37" s="70">
        <f t="shared" si="4"/>
        <v>58401</v>
      </c>
      <c r="Q37" s="70">
        <f t="shared" si="5"/>
        <v>11096.19</v>
      </c>
      <c r="R37" s="70">
        <f t="shared" si="6"/>
        <v>69497.19</v>
      </c>
      <c r="S37" s="70">
        <v>0</v>
      </c>
      <c r="T37" s="70">
        <f t="shared" si="7"/>
        <v>0</v>
      </c>
      <c r="U37" s="70">
        <f t="shared" si="8"/>
        <v>0</v>
      </c>
      <c r="V37" s="70">
        <f t="shared" si="3"/>
        <v>0</v>
      </c>
      <c r="W37" s="71">
        <f t="shared" si="9"/>
        <v>69497.19</v>
      </c>
      <c r="X37" s="136"/>
      <c r="Y37" s="138"/>
    </row>
    <row r="38" spans="1:25" ht="33">
      <c r="A38" s="18"/>
      <c r="B38" s="18"/>
      <c r="C38" s="134"/>
      <c r="D38" s="131"/>
      <c r="E38" s="128"/>
      <c r="F38" s="125"/>
      <c r="G38" s="101"/>
      <c r="H38" s="146"/>
      <c r="I38" s="143"/>
      <c r="J38" s="140"/>
      <c r="K38" s="56" t="s">
        <v>73</v>
      </c>
      <c r="L38" s="74" t="s">
        <v>95</v>
      </c>
      <c r="M38" s="57"/>
      <c r="N38" s="58">
        <v>1</v>
      </c>
      <c r="O38" s="59">
        <v>25764</v>
      </c>
      <c r="P38" s="59">
        <f t="shared" si="4"/>
        <v>25764</v>
      </c>
      <c r="Q38" s="59">
        <f t="shared" si="5"/>
        <v>4895.16</v>
      </c>
      <c r="R38" s="59">
        <f t="shared" si="6"/>
        <v>30659.16</v>
      </c>
      <c r="S38" s="60">
        <v>0</v>
      </c>
      <c r="T38" s="59">
        <f t="shared" si="7"/>
        <v>0</v>
      </c>
      <c r="U38" s="59">
        <f t="shared" si="8"/>
        <v>0</v>
      </c>
      <c r="V38" s="59">
        <f t="shared" si="3"/>
        <v>0</v>
      </c>
      <c r="W38" s="67">
        <f t="shared" si="9"/>
        <v>30659.16</v>
      </c>
      <c r="X38" s="136"/>
      <c r="Y38" s="138"/>
    </row>
    <row r="39" spans="1:25">
      <c r="A39" s="18"/>
      <c r="B39" s="18"/>
      <c r="C39" s="134"/>
      <c r="D39" s="131"/>
      <c r="E39" s="128"/>
      <c r="F39" s="125"/>
      <c r="G39" s="101"/>
      <c r="H39" s="146"/>
      <c r="I39" s="143"/>
      <c r="J39" s="140"/>
      <c r="K39" s="56" t="s">
        <v>73</v>
      </c>
      <c r="L39" s="74" t="s">
        <v>96</v>
      </c>
      <c r="M39" s="57"/>
      <c r="N39" s="58">
        <v>2</v>
      </c>
      <c r="O39" s="59">
        <v>3803</v>
      </c>
      <c r="P39" s="59">
        <f t="shared" si="4"/>
        <v>7606</v>
      </c>
      <c r="Q39" s="59">
        <f t="shared" si="5"/>
        <v>1445.14</v>
      </c>
      <c r="R39" s="59">
        <f t="shared" si="6"/>
        <v>9051.14</v>
      </c>
      <c r="S39" s="60">
        <v>28036</v>
      </c>
      <c r="T39" s="59">
        <f t="shared" si="7"/>
        <v>56072</v>
      </c>
      <c r="U39" s="59">
        <f t="shared" si="8"/>
        <v>10653.68</v>
      </c>
      <c r="V39" s="59">
        <f t="shared" si="3"/>
        <v>66725.679999999993</v>
      </c>
      <c r="W39" s="67">
        <f t="shared" si="9"/>
        <v>75776.819999999992</v>
      </c>
      <c r="X39" s="136"/>
      <c r="Y39" s="138"/>
    </row>
    <row r="40" spans="1:25" ht="36" customHeight="1">
      <c r="A40" s="18"/>
      <c r="B40" s="18"/>
      <c r="C40" s="134"/>
      <c r="D40" s="131"/>
      <c r="E40" s="128"/>
      <c r="F40" s="125"/>
      <c r="G40" s="101"/>
      <c r="H40" s="146"/>
      <c r="I40" s="143"/>
      <c r="J40" s="140"/>
      <c r="K40" s="56" t="s">
        <v>73</v>
      </c>
      <c r="L40" s="74" t="s">
        <v>97</v>
      </c>
      <c r="M40" s="57"/>
      <c r="N40" s="58">
        <v>1</v>
      </c>
      <c r="O40" s="59">
        <v>0</v>
      </c>
      <c r="P40" s="59">
        <f t="shared" si="4"/>
        <v>0</v>
      </c>
      <c r="Q40" s="59">
        <f t="shared" si="5"/>
        <v>0</v>
      </c>
      <c r="R40" s="59">
        <f t="shared" si="6"/>
        <v>0</v>
      </c>
      <c r="S40" s="60">
        <v>205140</v>
      </c>
      <c r="T40" s="59">
        <f t="shared" si="7"/>
        <v>205140</v>
      </c>
      <c r="U40" s="59">
        <f t="shared" si="8"/>
        <v>38976.6</v>
      </c>
      <c r="V40" s="59">
        <f t="shared" si="3"/>
        <v>244116.6</v>
      </c>
      <c r="W40" s="67">
        <f t="shared" si="9"/>
        <v>244116.6</v>
      </c>
      <c r="X40" s="136"/>
      <c r="Y40" s="138"/>
    </row>
    <row r="41" spans="1:25" ht="33">
      <c r="A41" s="18"/>
      <c r="B41" s="18"/>
      <c r="C41" s="134"/>
      <c r="D41" s="132"/>
      <c r="E41" s="129"/>
      <c r="F41" s="126"/>
      <c r="G41" s="102"/>
      <c r="H41" s="147"/>
      <c r="I41" s="144"/>
      <c r="J41" s="141"/>
      <c r="K41" s="56" t="s">
        <v>68</v>
      </c>
      <c r="L41" s="74" t="s">
        <v>98</v>
      </c>
      <c r="M41" s="57"/>
      <c r="N41" s="58">
        <v>2</v>
      </c>
      <c r="O41" s="59">
        <v>0</v>
      </c>
      <c r="P41" s="59">
        <f t="shared" si="4"/>
        <v>0</v>
      </c>
      <c r="Q41" s="59">
        <f t="shared" si="5"/>
        <v>0</v>
      </c>
      <c r="R41" s="59">
        <f t="shared" si="6"/>
        <v>0</v>
      </c>
      <c r="S41" s="60">
        <v>192193</v>
      </c>
      <c r="T41" s="59">
        <f t="shared" si="7"/>
        <v>384386</v>
      </c>
      <c r="U41" s="59">
        <f t="shared" si="8"/>
        <v>73033.34</v>
      </c>
      <c r="V41" s="59">
        <f t="shared" si="3"/>
        <v>457419.33999999997</v>
      </c>
      <c r="W41" s="67">
        <f t="shared" si="9"/>
        <v>457419.33999999997</v>
      </c>
      <c r="X41" s="137"/>
      <c r="Y41" s="138"/>
    </row>
    <row r="42" spans="1:25" ht="46.5">
      <c r="A42" s="18"/>
      <c r="B42" s="18"/>
      <c r="C42" s="91">
        <v>45455</v>
      </c>
      <c r="D42" s="92">
        <v>176398</v>
      </c>
      <c r="E42" s="93" t="s">
        <v>99</v>
      </c>
      <c r="F42" s="53"/>
      <c r="G42" s="64" t="s">
        <v>88</v>
      </c>
      <c r="H42" s="82">
        <v>176398</v>
      </c>
      <c r="I42" s="83">
        <v>45483</v>
      </c>
      <c r="J42" s="84" t="s">
        <v>100</v>
      </c>
      <c r="K42" s="85" t="s">
        <v>73</v>
      </c>
      <c r="L42" s="76" t="s">
        <v>101</v>
      </c>
      <c r="M42" s="57"/>
      <c r="N42" s="58">
        <v>1</v>
      </c>
      <c r="O42" s="59">
        <v>2198549</v>
      </c>
      <c r="P42" s="59">
        <f>O42*N42</f>
        <v>2198549</v>
      </c>
      <c r="Q42" s="59">
        <f>P42*0.19</f>
        <v>417724.31</v>
      </c>
      <c r="R42" s="59">
        <f>+Q42+P42</f>
        <v>2616273.31</v>
      </c>
      <c r="S42" s="60">
        <v>289532</v>
      </c>
      <c r="T42" s="59">
        <f>S42*N42</f>
        <v>289532</v>
      </c>
      <c r="U42" s="59">
        <f>T42*0.19</f>
        <v>55011.08</v>
      </c>
      <c r="V42" s="59">
        <f>U42+T42</f>
        <v>344543.08</v>
      </c>
      <c r="W42" s="67">
        <f>V42+R42</f>
        <v>2960816.39</v>
      </c>
      <c r="X42" s="81">
        <f>W42</f>
        <v>2960816.39</v>
      </c>
      <c r="Y42" s="80" t="s">
        <v>70</v>
      </c>
    </row>
    <row r="43" spans="1:25">
      <c r="A43" s="18"/>
      <c r="B43" s="18"/>
      <c r="C43" s="109">
        <v>45478</v>
      </c>
      <c r="D43" s="107">
        <v>176942</v>
      </c>
      <c r="E43" s="105" t="s">
        <v>102</v>
      </c>
      <c r="F43" s="103"/>
      <c r="G43" s="100" t="s">
        <v>88</v>
      </c>
      <c r="H43" s="121">
        <v>176942</v>
      </c>
      <c r="I43" s="119">
        <v>45510</v>
      </c>
      <c r="J43" s="117" t="s">
        <v>103</v>
      </c>
      <c r="K43" s="85" t="s">
        <v>68</v>
      </c>
      <c r="L43" s="76" t="s">
        <v>104</v>
      </c>
      <c r="M43" s="57"/>
      <c r="N43" s="58">
        <v>4</v>
      </c>
      <c r="O43" s="59">
        <v>69555</v>
      </c>
      <c r="P43" s="59">
        <f t="shared" ref="P43:P60" si="10">O43*N43</f>
        <v>278220</v>
      </c>
      <c r="Q43" s="59">
        <f t="shared" ref="Q43:Q61" si="11">P43*0.19</f>
        <v>52861.8</v>
      </c>
      <c r="R43" s="59">
        <f t="shared" ref="R43:R62" si="12">+Q43+P43</f>
        <v>331081.8</v>
      </c>
      <c r="S43" s="60"/>
      <c r="T43" s="59">
        <f t="shared" ref="T43:T62" si="13">S43*N43</f>
        <v>0</v>
      </c>
      <c r="U43" s="59">
        <f t="shared" ref="U43:U60" si="14">T43*0.19</f>
        <v>0</v>
      </c>
      <c r="V43" s="59">
        <f t="shared" ref="V43:V62" si="15">U43+T43</f>
        <v>0</v>
      </c>
      <c r="W43" s="67">
        <f t="shared" ref="W43:W61" si="16">V43+R43</f>
        <v>331081.8</v>
      </c>
      <c r="X43" s="111">
        <f>SUM(W43:W52)</f>
        <v>3417505.07</v>
      </c>
      <c r="Y43" s="114" t="s">
        <v>70</v>
      </c>
    </row>
    <row r="44" spans="1:25">
      <c r="A44" s="18"/>
      <c r="B44" s="18"/>
      <c r="C44" s="110"/>
      <c r="D44" s="108"/>
      <c r="E44" s="106"/>
      <c r="F44" s="104"/>
      <c r="G44" s="101"/>
      <c r="H44" s="122"/>
      <c r="I44" s="120"/>
      <c r="J44" s="118"/>
      <c r="K44" s="85" t="s">
        <v>73</v>
      </c>
      <c r="L44" s="76" t="s">
        <v>105</v>
      </c>
      <c r="M44" s="57"/>
      <c r="N44" s="58">
        <v>2</v>
      </c>
      <c r="O44" s="59">
        <v>980000</v>
      </c>
      <c r="P44" s="59">
        <f t="shared" si="10"/>
        <v>1960000</v>
      </c>
      <c r="Q44" s="59">
        <f t="shared" si="11"/>
        <v>372400</v>
      </c>
      <c r="R44" s="59">
        <f t="shared" si="12"/>
        <v>2332400</v>
      </c>
      <c r="S44" s="60"/>
      <c r="T44" s="59">
        <f t="shared" si="13"/>
        <v>0</v>
      </c>
      <c r="U44" s="59">
        <f t="shared" si="14"/>
        <v>0</v>
      </c>
      <c r="V44" s="59">
        <f t="shared" si="15"/>
        <v>0</v>
      </c>
      <c r="W44" s="67">
        <f t="shared" si="16"/>
        <v>2332400</v>
      </c>
      <c r="X44" s="112"/>
      <c r="Y44" s="115"/>
    </row>
    <row r="45" spans="1:25">
      <c r="A45" s="18"/>
      <c r="B45" s="18"/>
      <c r="C45" s="110"/>
      <c r="D45" s="108"/>
      <c r="E45" s="106"/>
      <c r="F45" s="104"/>
      <c r="G45" s="101"/>
      <c r="H45" s="122"/>
      <c r="I45" s="120"/>
      <c r="J45" s="118"/>
      <c r="K45" s="85" t="s">
        <v>73</v>
      </c>
      <c r="L45" s="76" t="s">
        <v>106</v>
      </c>
      <c r="M45" s="57"/>
      <c r="N45" s="58">
        <v>1</v>
      </c>
      <c r="O45" s="59">
        <v>252905</v>
      </c>
      <c r="P45" s="59">
        <f t="shared" si="10"/>
        <v>252905</v>
      </c>
      <c r="Q45" s="59">
        <f t="shared" si="11"/>
        <v>48051.95</v>
      </c>
      <c r="R45" s="59">
        <f t="shared" si="12"/>
        <v>300956.95</v>
      </c>
      <c r="S45" s="60"/>
      <c r="T45" s="59">
        <f t="shared" si="13"/>
        <v>0</v>
      </c>
      <c r="U45" s="59">
        <f t="shared" si="14"/>
        <v>0</v>
      </c>
      <c r="V45" s="59">
        <f t="shared" si="15"/>
        <v>0</v>
      </c>
      <c r="W45" s="67">
        <f t="shared" si="16"/>
        <v>300956.95</v>
      </c>
      <c r="X45" s="112"/>
      <c r="Y45" s="115"/>
    </row>
    <row r="46" spans="1:25">
      <c r="A46" s="18"/>
      <c r="B46" s="18"/>
      <c r="C46" s="110"/>
      <c r="D46" s="108"/>
      <c r="E46" s="106"/>
      <c r="F46" s="104"/>
      <c r="G46" s="101"/>
      <c r="H46" s="122"/>
      <c r="I46" s="120"/>
      <c r="J46" s="118"/>
      <c r="K46" s="85" t="s">
        <v>68</v>
      </c>
      <c r="L46" s="76" t="s">
        <v>107</v>
      </c>
      <c r="M46" s="57"/>
      <c r="N46" s="58">
        <v>1</v>
      </c>
      <c r="O46" s="59">
        <v>24117</v>
      </c>
      <c r="P46" s="59">
        <f t="shared" si="10"/>
        <v>24117</v>
      </c>
      <c r="Q46" s="59">
        <f t="shared" si="11"/>
        <v>4582.2300000000005</v>
      </c>
      <c r="R46" s="59">
        <f t="shared" si="12"/>
        <v>28699.23</v>
      </c>
      <c r="S46" s="60"/>
      <c r="T46" s="59">
        <f t="shared" si="13"/>
        <v>0</v>
      </c>
      <c r="U46" s="59">
        <f t="shared" si="14"/>
        <v>0</v>
      </c>
      <c r="V46" s="59">
        <f t="shared" si="15"/>
        <v>0</v>
      </c>
      <c r="W46" s="67">
        <f t="shared" si="16"/>
        <v>28699.23</v>
      </c>
      <c r="X46" s="112"/>
      <c r="Y46" s="115"/>
    </row>
    <row r="47" spans="1:25">
      <c r="A47" s="18"/>
      <c r="B47" s="18"/>
      <c r="C47" s="110"/>
      <c r="D47" s="108"/>
      <c r="E47" s="106"/>
      <c r="F47" s="104"/>
      <c r="G47" s="101"/>
      <c r="H47" s="122"/>
      <c r="I47" s="120"/>
      <c r="J47" s="118"/>
      <c r="K47" s="85" t="s">
        <v>68</v>
      </c>
      <c r="L47" s="76" t="s">
        <v>108</v>
      </c>
      <c r="M47" s="57"/>
      <c r="N47" s="58">
        <v>1</v>
      </c>
      <c r="O47" s="59">
        <v>53200</v>
      </c>
      <c r="P47" s="59">
        <f t="shared" si="10"/>
        <v>53200</v>
      </c>
      <c r="Q47" s="59">
        <f t="shared" si="11"/>
        <v>10108</v>
      </c>
      <c r="R47" s="59">
        <f t="shared" si="12"/>
        <v>63308</v>
      </c>
      <c r="S47" s="60"/>
      <c r="T47" s="59">
        <f t="shared" si="13"/>
        <v>0</v>
      </c>
      <c r="U47" s="59">
        <f t="shared" si="14"/>
        <v>0</v>
      </c>
      <c r="V47" s="59">
        <f t="shared" si="15"/>
        <v>0</v>
      </c>
      <c r="W47" s="67">
        <f t="shared" si="16"/>
        <v>63308</v>
      </c>
      <c r="X47" s="112"/>
      <c r="Y47" s="115"/>
    </row>
    <row r="48" spans="1:25">
      <c r="A48" s="18"/>
      <c r="B48" s="18"/>
      <c r="C48" s="110"/>
      <c r="D48" s="108"/>
      <c r="E48" s="106"/>
      <c r="F48" s="104"/>
      <c r="G48" s="101"/>
      <c r="H48" s="122"/>
      <c r="I48" s="120"/>
      <c r="J48" s="118"/>
      <c r="K48" s="85" t="s">
        <v>68</v>
      </c>
      <c r="L48" s="76" t="s">
        <v>109</v>
      </c>
      <c r="M48" s="57"/>
      <c r="N48" s="58">
        <v>1</v>
      </c>
      <c r="O48" s="59"/>
      <c r="P48" s="59">
        <f t="shared" si="10"/>
        <v>0</v>
      </c>
      <c r="Q48" s="59">
        <f t="shared" si="11"/>
        <v>0</v>
      </c>
      <c r="R48" s="59">
        <f t="shared" si="12"/>
        <v>0</v>
      </c>
      <c r="S48" s="60">
        <v>50000</v>
      </c>
      <c r="T48" s="59">
        <f t="shared" si="13"/>
        <v>50000</v>
      </c>
      <c r="U48" s="59">
        <f t="shared" si="14"/>
        <v>9500</v>
      </c>
      <c r="V48" s="59">
        <f t="shared" si="15"/>
        <v>59500</v>
      </c>
      <c r="W48" s="67">
        <f t="shared" si="16"/>
        <v>59500</v>
      </c>
      <c r="X48" s="112"/>
      <c r="Y48" s="115"/>
    </row>
    <row r="49" spans="1:25">
      <c r="A49" s="18"/>
      <c r="B49" s="18"/>
      <c r="C49" s="110"/>
      <c r="D49" s="108"/>
      <c r="E49" s="106"/>
      <c r="F49" s="104"/>
      <c r="G49" s="101"/>
      <c r="H49" s="122"/>
      <c r="I49" s="120"/>
      <c r="J49" s="118"/>
      <c r="K49" s="85" t="s">
        <v>73</v>
      </c>
      <c r="L49" s="76" t="s">
        <v>110</v>
      </c>
      <c r="M49" s="57"/>
      <c r="N49" s="58">
        <v>1</v>
      </c>
      <c r="O49" s="59"/>
      <c r="P49" s="59">
        <f t="shared" si="10"/>
        <v>0</v>
      </c>
      <c r="Q49" s="59">
        <f t="shared" si="11"/>
        <v>0</v>
      </c>
      <c r="R49" s="59">
        <f t="shared" si="12"/>
        <v>0</v>
      </c>
      <c r="S49" s="60">
        <v>105000</v>
      </c>
      <c r="T49" s="59">
        <f t="shared" si="13"/>
        <v>105000</v>
      </c>
      <c r="U49" s="59">
        <f t="shared" si="14"/>
        <v>19950</v>
      </c>
      <c r="V49" s="59">
        <f t="shared" si="15"/>
        <v>124950</v>
      </c>
      <c r="W49" s="67">
        <f t="shared" si="16"/>
        <v>124950</v>
      </c>
      <c r="X49" s="112"/>
      <c r="Y49" s="115"/>
    </row>
    <row r="50" spans="1:25">
      <c r="A50" s="18"/>
      <c r="B50" s="18"/>
      <c r="C50" s="110"/>
      <c r="D50" s="108"/>
      <c r="E50" s="106"/>
      <c r="F50" s="104"/>
      <c r="G50" s="101"/>
      <c r="H50" s="122"/>
      <c r="I50" s="120"/>
      <c r="J50" s="118"/>
      <c r="K50" s="85" t="s">
        <v>68</v>
      </c>
      <c r="L50" s="76" t="s">
        <v>111</v>
      </c>
      <c r="M50" s="57"/>
      <c r="N50" s="58">
        <v>1</v>
      </c>
      <c r="O50" s="59"/>
      <c r="P50" s="59">
        <f t="shared" si="10"/>
        <v>0</v>
      </c>
      <c r="Q50" s="59">
        <f t="shared" si="11"/>
        <v>0</v>
      </c>
      <c r="R50" s="59">
        <f t="shared" si="12"/>
        <v>0</v>
      </c>
      <c r="S50" s="60">
        <v>95000</v>
      </c>
      <c r="T50" s="59">
        <f t="shared" si="13"/>
        <v>95000</v>
      </c>
      <c r="U50" s="59">
        <f t="shared" si="14"/>
        <v>18050</v>
      </c>
      <c r="V50" s="59">
        <f t="shared" si="15"/>
        <v>113050</v>
      </c>
      <c r="W50" s="67">
        <f t="shared" si="16"/>
        <v>113050</v>
      </c>
      <c r="X50" s="112"/>
      <c r="Y50" s="115"/>
    </row>
    <row r="51" spans="1:25">
      <c r="A51" s="18"/>
      <c r="B51" s="18"/>
      <c r="C51" s="110"/>
      <c r="D51" s="108"/>
      <c r="E51" s="106"/>
      <c r="F51" s="104"/>
      <c r="G51" s="101"/>
      <c r="H51" s="122"/>
      <c r="I51" s="120"/>
      <c r="J51" s="118"/>
      <c r="K51" s="85" t="s">
        <v>68</v>
      </c>
      <c r="L51" s="76" t="s">
        <v>112</v>
      </c>
      <c r="M51" s="57"/>
      <c r="N51" s="58">
        <v>1</v>
      </c>
      <c r="O51" s="59"/>
      <c r="P51" s="59">
        <f t="shared" si="10"/>
        <v>0</v>
      </c>
      <c r="Q51" s="59">
        <f t="shared" si="11"/>
        <v>0</v>
      </c>
      <c r="R51" s="59">
        <f t="shared" si="12"/>
        <v>0</v>
      </c>
      <c r="S51" s="60">
        <v>34941</v>
      </c>
      <c r="T51" s="59">
        <f t="shared" si="13"/>
        <v>34941</v>
      </c>
      <c r="U51" s="59">
        <f t="shared" si="14"/>
        <v>6638.79</v>
      </c>
      <c r="V51" s="59">
        <f t="shared" si="15"/>
        <v>41579.79</v>
      </c>
      <c r="W51" s="67">
        <f t="shared" si="16"/>
        <v>41579.79</v>
      </c>
      <c r="X51" s="112"/>
      <c r="Y51" s="115"/>
    </row>
    <row r="52" spans="1:25">
      <c r="A52" s="18"/>
      <c r="B52" s="18"/>
      <c r="C52" s="110"/>
      <c r="D52" s="108"/>
      <c r="E52" s="106"/>
      <c r="F52" s="104"/>
      <c r="G52" s="101"/>
      <c r="H52" s="122"/>
      <c r="I52" s="120"/>
      <c r="J52" s="118"/>
      <c r="K52" s="85" t="s">
        <v>68</v>
      </c>
      <c r="L52" s="76" t="s">
        <v>113</v>
      </c>
      <c r="M52" s="57"/>
      <c r="N52" s="58">
        <v>1</v>
      </c>
      <c r="O52" s="59"/>
      <c r="P52" s="59">
        <f t="shared" si="10"/>
        <v>0</v>
      </c>
      <c r="Q52" s="59">
        <f t="shared" si="11"/>
        <v>0</v>
      </c>
      <c r="R52" s="59">
        <f t="shared" si="12"/>
        <v>0</v>
      </c>
      <c r="S52" s="60">
        <v>18470</v>
      </c>
      <c r="T52" s="59">
        <f t="shared" si="13"/>
        <v>18470</v>
      </c>
      <c r="U52" s="59">
        <f t="shared" si="14"/>
        <v>3509.3</v>
      </c>
      <c r="V52" s="59">
        <f t="shared" si="15"/>
        <v>21979.3</v>
      </c>
      <c r="W52" s="67">
        <f t="shared" si="16"/>
        <v>21979.3</v>
      </c>
      <c r="X52" s="113"/>
      <c r="Y52" s="116"/>
    </row>
    <row r="53" spans="1:25" ht="69" customHeight="1">
      <c r="A53" s="18"/>
      <c r="B53" s="18"/>
      <c r="C53" s="196">
        <v>45525</v>
      </c>
      <c r="D53" s="158">
        <v>177540</v>
      </c>
      <c r="E53" s="157" t="s">
        <v>114</v>
      </c>
      <c r="F53" s="156"/>
      <c r="G53" s="174" t="s">
        <v>88</v>
      </c>
      <c r="H53" s="197">
        <v>177547</v>
      </c>
      <c r="I53" s="198">
        <v>45541</v>
      </c>
      <c r="J53" s="199" t="s">
        <v>115</v>
      </c>
      <c r="K53" s="200" t="s">
        <v>73</v>
      </c>
      <c r="L53" s="76" t="s">
        <v>116</v>
      </c>
      <c r="M53" s="57"/>
      <c r="N53" s="58">
        <v>1</v>
      </c>
      <c r="O53" s="59">
        <v>478240</v>
      </c>
      <c r="P53" s="59">
        <f t="shared" si="10"/>
        <v>478240</v>
      </c>
      <c r="Q53" s="59">
        <f t="shared" si="11"/>
        <v>90865.600000000006</v>
      </c>
      <c r="R53" s="59">
        <f t="shared" si="12"/>
        <v>569105.6</v>
      </c>
      <c r="S53" s="60"/>
      <c r="T53" s="59">
        <f t="shared" si="13"/>
        <v>0</v>
      </c>
      <c r="U53" s="59">
        <f t="shared" si="14"/>
        <v>0</v>
      </c>
      <c r="V53" s="59">
        <f t="shared" si="15"/>
        <v>0</v>
      </c>
      <c r="W53" s="67">
        <f t="shared" si="16"/>
        <v>569105.6</v>
      </c>
      <c r="X53" s="111">
        <f>SUM(W53:W57)</f>
        <v>1428778.26</v>
      </c>
      <c r="Y53" s="193" t="s">
        <v>117</v>
      </c>
    </row>
    <row r="54" spans="1:25">
      <c r="A54" s="18"/>
      <c r="B54" s="18"/>
      <c r="C54" s="196"/>
      <c r="D54" s="158"/>
      <c r="E54" s="157"/>
      <c r="F54" s="156"/>
      <c r="G54" s="174"/>
      <c r="H54" s="197"/>
      <c r="I54" s="198"/>
      <c r="J54" s="199"/>
      <c r="K54" s="200" t="s">
        <v>73</v>
      </c>
      <c r="L54" s="76" t="s">
        <v>118</v>
      </c>
      <c r="M54" s="57"/>
      <c r="N54" s="58">
        <v>1</v>
      </c>
      <c r="O54" s="59">
        <v>325000</v>
      </c>
      <c r="P54" s="59">
        <f t="shared" si="10"/>
        <v>325000</v>
      </c>
      <c r="Q54" s="59">
        <f t="shared" si="11"/>
        <v>61750</v>
      </c>
      <c r="R54" s="59">
        <f t="shared" si="12"/>
        <v>386750</v>
      </c>
      <c r="S54" s="60"/>
      <c r="T54" s="59">
        <f t="shared" si="13"/>
        <v>0</v>
      </c>
      <c r="U54" s="59">
        <f t="shared" si="14"/>
        <v>0</v>
      </c>
      <c r="V54" s="59">
        <f t="shared" si="15"/>
        <v>0</v>
      </c>
      <c r="W54" s="67">
        <f t="shared" si="16"/>
        <v>386750</v>
      </c>
      <c r="X54" s="112"/>
      <c r="Y54" s="194"/>
    </row>
    <row r="55" spans="1:25">
      <c r="A55" s="18"/>
      <c r="B55" s="18"/>
      <c r="C55" s="196"/>
      <c r="D55" s="158"/>
      <c r="E55" s="157"/>
      <c r="F55" s="156"/>
      <c r="G55" s="174"/>
      <c r="H55" s="197"/>
      <c r="I55" s="198"/>
      <c r="J55" s="199"/>
      <c r="K55" s="200" t="s">
        <v>68</v>
      </c>
      <c r="L55" s="76" t="s">
        <v>119</v>
      </c>
      <c r="M55" s="57"/>
      <c r="N55" s="58">
        <v>1</v>
      </c>
      <c r="O55" s="59">
        <v>23139</v>
      </c>
      <c r="P55" s="59">
        <f t="shared" si="10"/>
        <v>23139</v>
      </c>
      <c r="Q55" s="59">
        <f t="shared" si="11"/>
        <v>4396.41</v>
      </c>
      <c r="R55" s="59">
        <f t="shared" si="12"/>
        <v>27535.41</v>
      </c>
      <c r="S55" s="60"/>
      <c r="T55" s="59">
        <f t="shared" si="13"/>
        <v>0</v>
      </c>
      <c r="U55" s="59">
        <f t="shared" si="14"/>
        <v>0</v>
      </c>
      <c r="V55" s="59">
        <f t="shared" si="15"/>
        <v>0</v>
      </c>
      <c r="W55" s="67">
        <f t="shared" si="16"/>
        <v>27535.41</v>
      </c>
      <c r="X55" s="112"/>
      <c r="Y55" s="194"/>
    </row>
    <row r="56" spans="1:25">
      <c r="A56" s="18"/>
      <c r="B56" s="18"/>
      <c r="C56" s="196"/>
      <c r="D56" s="158"/>
      <c r="E56" s="157"/>
      <c r="F56" s="156"/>
      <c r="G56" s="174"/>
      <c r="H56" s="197"/>
      <c r="I56" s="198"/>
      <c r="J56" s="199"/>
      <c r="K56" s="200" t="s">
        <v>73</v>
      </c>
      <c r="L56" s="76" t="s">
        <v>120</v>
      </c>
      <c r="M56" s="57"/>
      <c r="N56" s="58">
        <v>1</v>
      </c>
      <c r="O56" s="59"/>
      <c r="P56" s="59">
        <f t="shared" si="10"/>
        <v>0</v>
      </c>
      <c r="Q56" s="59">
        <f t="shared" si="11"/>
        <v>0</v>
      </c>
      <c r="R56" s="59">
        <f t="shared" si="12"/>
        <v>0</v>
      </c>
      <c r="S56" s="60">
        <v>283275</v>
      </c>
      <c r="T56" s="59">
        <f t="shared" si="13"/>
        <v>283275</v>
      </c>
      <c r="U56" s="59">
        <f t="shared" si="14"/>
        <v>53822.25</v>
      </c>
      <c r="V56" s="59">
        <f t="shared" si="15"/>
        <v>337097.25</v>
      </c>
      <c r="W56" s="67">
        <f t="shared" si="16"/>
        <v>337097.25</v>
      </c>
      <c r="X56" s="112"/>
      <c r="Y56" s="194"/>
    </row>
    <row r="57" spans="1:25">
      <c r="A57" s="18"/>
      <c r="B57" s="18"/>
      <c r="C57" s="196"/>
      <c r="D57" s="158"/>
      <c r="E57" s="157"/>
      <c r="F57" s="156"/>
      <c r="G57" s="174"/>
      <c r="H57" s="197"/>
      <c r="I57" s="198"/>
      <c r="J57" s="199"/>
      <c r="K57" s="200" t="s">
        <v>68</v>
      </c>
      <c r="L57" s="76" t="s">
        <v>121</v>
      </c>
      <c r="M57" s="57"/>
      <c r="N57" s="58">
        <v>1</v>
      </c>
      <c r="O57" s="59"/>
      <c r="P57" s="59">
        <f t="shared" si="10"/>
        <v>0</v>
      </c>
      <c r="Q57" s="59">
        <f t="shared" si="11"/>
        <v>0</v>
      </c>
      <c r="R57" s="59">
        <f t="shared" si="12"/>
        <v>0</v>
      </c>
      <c r="S57" s="60">
        <v>91000</v>
      </c>
      <c r="T57" s="59">
        <f t="shared" si="13"/>
        <v>91000</v>
      </c>
      <c r="U57" s="59">
        <f t="shared" si="14"/>
        <v>17290</v>
      </c>
      <c r="V57" s="59">
        <f t="shared" si="15"/>
        <v>108290</v>
      </c>
      <c r="W57" s="67">
        <f t="shared" si="16"/>
        <v>108290</v>
      </c>
      <c r="X57" s="113"/>
      <c r="Y57" s="195"/>
    </row>
    <row r="58" spans="1:25">
      <c r="A58" s="18"/>
      <c r="B58" s="18"/>
      <c r="C58" s="99"/>
      <c r="D58" s="98"/>
      <c r="E58" s="97"/>
      <c r="F58" s="201"/>
      <c r="G58" s="86"/>
      <c r="H58" s="96"/>
      <c r="I58" s="95"/>
      <c r="J58" s="94"/>
      <c r="K58" s="85"/>
      <c r="L58" s="76"/>
      <c r="M58" s="57"/>
      <c r="N58" s="58"/>
      <c r="O58" s="59"/>
      <c r="P58" s="59">
        <f t="shared" si="10"/>
        <v>0</v>
      </c>
      <c r="Q58" s="59">
        <f t="shared" si="11"/>
        <v>0</v>
      </c>
      <c r="R58" s="59">
        <f t="shared" si="12"/>
        <v>0</v>
      </c>
      <c r="S58" s="60"/>
      <c r="T58" s="59">
        <f t="shared" si="13"/>
        <v>0</v>
      </c>
      <c r="U58" s="59">
        <f t="shared" si="14"/>
        <v>0</v>
      </c>
      <c r="V58" s="59">
        <f t="shared" si="15"/>
        <v>0</v>
      </c>
      <c r="W58" s="67">
        <f t="shared" si="16"/>
        <v>0</v>
      </c>
      <c r="X58" s="81"/>
      <c r="Y58" s="80"/>
    </row>
    <row r="59" spans="1:25">
      <c r="A59" s="18"/>
      <c r="B59" s="18"/>
      <c r="C59" s="87"/>
      <c r="D59" s="79"/>
      <c r="E59" s="78"/>
      <c r="F59" s="90"/>
      <c r="G59" s="64"/>
      <c r="H59" s="82"/>
      <c r="I59" s="83"/>
      <c r="J59" s="84"/>
      <c r="K59" s="85"/>
      <c r="L59" s="76"/>
      <c r="M59" s="57"/>
      <c r="N59" s="58"/>
      <c r="O59" s="59"/>
      <c r="P59" s="59">
        <f t="shared" si="10"/>
        <v>0</v>
      </c>
      <c r="Q59" s="59">
        <f t="shared" si="11"/>
        <v>0</v>
      </c>
      <c r="R59" s="59">
        <f t="shared" si="12"/>
        <v>0</v>
      </c>
      <c r="S59" s="60"/>
      <c r="T59" s="59">
        <f t="shared" si="13"/>
        <v>0</v>
      </c>
      <c r="U59" s="59">
        <f t="shared" si="14"/>
        <v>0</v>
      </c>
      <c r="V59" s="59">
        <f t="shared" si="15"/>
        <v>0</v>
      </c>
      <c r="W59" s="67">
        <f t="shared" si="16"/>
        <v>0</v>
      </c>
      <c r="X59" s="81"/>
      <c r="Y59" s="80"/>
    </row>
    <row r="60" spans="1:25">
      <c r="A60" s="18"/>
      <c r="B60" s="18"/>
      <c r="C60" s="87"/>
      <c r="D60" s="79"/>
      <c r="E60" s="78"/>
      <c r="F60" s="90"/>
      <c r="G60" s="64"/>
      <c r="H60" s="82"/>
      <c r="I60" s="83"/>
      <c r="J60" s="84"/>
      <c r="K60" s="85"/>
      <c r="L60" s="76"/>
      <c r="M60" s="57"/>
      <c r="N60" s="58"/>
      <c r="O60" s="59"/>
      <c r="P60" s="59">
        <f t="shared" si="10"/>
        <v>0</v>
      </c>
      <c r="Q60" s="59">
        <f t="shared" si="11"/>
        <v>0</v>
      </c>
      <c r="R60" s="59">
        <f t="shared" si="12"/>
        <v>0</v>
      </c>
      <c r="S60" s="60"/>
      <c r="T60" s="59">
        <f t="shared" si="13"/>
        <v>0</v>
      </c>
      <c r="U60" s="59">
        <f t="shared" si="14"/>
        <v>0</v>
      </c>
      <c r="V60" s="59">
        <f t="shared" si="15"/>
        <v>0</v>
      </c>
      <c r="W60" s="67">
        <f t="shared" si="16"/>
        <v>0</v>
      </c>
      <c r="X60" s="81"/>
      <c r="Y60" s="80"/>
    </row>
    <row r="61" spans="1:25">
      <c r="A61" s="18"/>
      <c r="B61" s="18"/>
      <c r="C61" s="88"/>
      <c r="D61" s="79"/>
      <c r="E61" s="89"/>
      <c r="F61" s="90"/>
      <c r="G61" s="64"/>
      <c r="H61" s="54"/>
      <c r="I61" s="55"/>
      <c r="J61" s="52"/>
      <c r="K61" s="56"/>
      <c r="L61" s="57"/>
      <c r="M61" s="57"/>
      <c r="N61" s="58"/>
      <c r="O61" s="59">
        <v>0</v>
      </c>
      <c r="P61" s="59">
        <f t="shared" ref="P61" si="17">O61*N61</f>
        <v>0</v>
      </c>
      <c r="Q61" s="59">
        <f t="shared" si="11"/>
        <v>0</v>
      </c>
      <c r="R61" s="59">
        <f t="shared" si="12"/>
        <v>0</v>
      </c>
      <c r="S61" s="60">
        <v>0</v>
      </c>
      <c r="T61" s="59">
        <f t="shared" si="13"/>
        <v>0</v>
      </c>
      <c r="U61" s="59">
        <f t="shared" ref="U61" si="18">+T61*19%</f>
        <v>0</v>
      </c>
      <c r="V61" s="59">
        <f t="shared" si="15"/>
        <v>0</v>
      </c>
      <c r="W61" s="67">
        <f t="shared" si="16"/>
        <v>0</v>
      </c>
      <c r="X61" s="73"/>
      <c r="Y61" s="72"/>
    </row>
    <row r="62" spans="1:25">
      <c r="A62" s="18"/>
      <c r="B62" s="18"/>
      <c r="C62" s="48"/>
      <c r="D62" s="48"/>
      <c r="E62" s="48"/>
      <c r="F62" s="17"/>
      <c r="G62" s="45"/>
      <c r="H62" s="46"/>
      <c r="I62" s="47"/>
      <c r="J62" s="47"/>
      <c r="K62" s="48"/>
      <c r="L62" s="49"/>
      <c r="M62" s="50"/>
      <c r="N62" s="45"/>
      <c r="O62" s="51">
        <v>0</v>
      </c>
      <c r="P62" s="51">
        <f t="shared" ref="P62:P66" si="19">+O62*N62</f>
        <v>0</v>
      </c>
      <c r="Q62" s="51">
        <f t="shared" ref="Q62:Q66" si="20">+P62*0.19</f>
        <v>0</v>
      </c>
      <c r="R62" s="59">
        <f t="shared" si="12"/>
        <v>0</v>
      </c>
      <c r="S62" s="51">
        <v>0</v>
      </c>
      <c r="T62" s="59">
        <f t="shared" si="13"/>
        <v>0</v>
      </c>
      <c r="U62" s="51">
        <f t="shared" ref="U62:U66" si="21">+T62*0.19</f>
        <v>0</v>
      </c>
      <c r="V62" s="59">
        <f t="shared" si="15"/>
        <v>0</v>
      </c>
      <c r="W62" s="51">
        <f t="shared" ref="W62:W66" si="22">+V62+R62</f>
        <v>0</v>
      </c>
      <c r="X62" s="28"/>
    </row>
    <row r="63" spans="1:25">
      <c r="A63" s="18"/>
      <c r="B63" s="18"/>
      <c r="C63" s="29"/>
      <c r="D63" s="29"/>
      <c r="E63" s="29"/>
      <c r="F63" s="17"/>
      <c r="G63" s="30"/>
      <c r="H63" s="16"/>
      <c r="I63" s="31"/>
      <c r="J63" s="31"/>
      <c r="K63" s="29"/>
      <c r="L63" s="39"/>
      <c r="M63" s="32"/>
      <c r="N63" s="30"/>
      <c r="O63" s="33">
        <v>0</v>
      </c>
      <c r="P63" s="33">
        <f t="shared" si="19"/>
        <v>0</v>
      </c>
      <c r="Q63" s="33">
        <f t="shared" si="20"/>
        <v>0</v>
      </c>
      <c r="R63" s="33">
        <f t="shared" ref="R62:R66" si="23">+Q63+P63</f>
        <v>0</v>
      </c>
      <c r="S63" s="33">
        <v>0</v>
      </c>
      <c r="T63" s="33">
        <f t="shared" ref="T62:T66" si="24">+S63*N63</f>
        <v>0</v>
      </c>
      <c r="U63" s="33">
        <f t="shared" si="21"/>
        <v>0</v>
      </c>
      <c r="V63" s="33">
        <f t="shared" ref="V62:V66" si="25">+U63+T63</f>
        <v>0</v>
      </c>
      <c r="W63" s="33">
        <f t="shared" si="22"/>
        <v>0</v>
      </c>
      <c r="X63" s="28"/>
    </row>
    <row r="64" spans="1:25">
      <c r="A64" s="18"/>
      <c r="B64" s="18"/>
      <c r="C64" s="29"/>
      <c r="D64" s="29"/>
      <c r="E64" s="29"/>
      <c r="F64" s="17"/>
      <c r="G64" s="30"/>
      <c r="H64" s="16"/>
      <c r="I64" s="31"/>
      <c r="J64" s="31"/>
      <c r="K64" s="29"/>
      <c r="L64" s="39"/>
      <c r="M64" s="32"/>
      <c r="N64" s="30"/>
      <c r="O64" s="33">
        <v>0</v>
      </c>
      <c r="P64" s="33">
        <f t="shared" si="19"/>
        <v>0</v>
      </c>
      <c r="Q64" s="33">
        <f t="shared" si="20"/>
        <v>0</v>
      </c>
      <c r="R64" s="33">
        <f t="shared" si="23"/>
        <v>0</v>
      </c>
      <c r="S64" s="33">
        <v>0</v>
      </c>
      <c r="T64" s="33">
        <f t="shared" si="24"/>
        <v>0</v>
      </c>
      <c r="U64" s="33">
        <f t="shared" si="21"/>
        <v>0</v>
      </c>
      <c r="V64" s="33">
        <f t="shared" si="25"/>
        <v>0</v>
      </c>
      <c r="W64" s="33">
        <f t="shared" si="22"/>
        <v>0</v>
      </c>
      <c r="X64" s="28"/>
    </row>
    <row r="65" spans="1:24">
      <c r="A65" s="18"/>
      <c r="B65" s="18"/>
      <c r="C65" s="29"/>
      <c r="D65" s="29"/>
      <c r="E65" s="29"/>
      <c r="F65" s="17"/>
      <c r="G65" s="30"/>
      <c r="H65" s="16"/>
      <c r="I65" s="31"/>
      <c r="J65" s="31"/>
      <c r="K65" s="29"/>
      <c r="L65" s="39"/>
      <c r="M65" s="32"/>
      <c r="N65" s="30"/>
      <c r="O65" s="33">
        <v>0</v>
      </c>
      <c r="P65" s="33">
        <f t="shared" si="19"/>
        <v>0</v>
      </c>
      <c r="Q65" s="33">
        <f t="shared" si="20"/>
        <v>0</v>
      </c>
      <c r="R65" s="33">
        <f t="shared" si="23"/>
        <v>0</v>
      </c>
      <c r="S65" s="33">
        <v>0</v>
      </c>
      <c r="T65" s="33">
        <f t="shared" si="24"/>
        <v>0</v>
      </c>
      <c r="U65" s="33">
        <f t="shared" si="21"/>
        <v>0</v>
      </c>
      <c r="V65" s="33">
        <f t="shared" si="25"/>
        <v>0</v>
      </c>
      <c r="W65" s="33">
        <f t="shared" si="22"/>
        <v>0</v>
      </c>
      <c r="X65" s="28"/>
    </row>
    <row r="66" spans="1:24">
      <c r="A66" s="18"/>
      <c r="B66" s="18"/>
      <c r="C66" s="29"/>
      <c r="D66" s="29"/>
      <c r="E66" s="29"/>
      <c r="F66" s="17"/>
      <c r="G66" s="30"/>
      <c r="H66" s="16"/>
      <c r="I66" s="31"/>
      <c r="J66" s="31"/>
      <c r="K66" s="29"/>
      <c r="L66" s="39"/>
      <c r="M66" s="32"/>
      <c r="N66" s="30"/>
      <c r="O66" s="33">
        <v>0</v>
      </c>
      <c r="P66" s="33">
        <f t="shared" si="19"/>
        <v>0</v>
      </c>
      <c r="Q66" s="33">
        <f t="shared" si="20"/>
        <v>0</v>
      </c>
      <c r="R66" s="33">
        <f t="shared" si="23"/>
        <v>0</v>
      </c>
      <c r="S66" s="33">
        <v>0</v>
      </c>
      <c r="T66" s="33">
        <f t="shared" si="24"/>
        <v>0</v>
      </c>
      <c r="U66" s="33">
        <f t="shared" si="21"/>
        <v>0</v>
      </c>
      <c r="V66" s="33">
        <f t="shared" si="25"/>
        <v>0</v>
      </c>
      <c r="W66" s="33">
        <f t="shared" si="22"/>
        <v>0</v>
      </c>
      <c r="X66" s="28"/>
    </row>
    <row r="67" spans="1:24">
      <c r="A67" s="18"/>
      <c r="B67" s="18"/>
      <c r="C67" s="160" t="s">
        <v>122</v>
      </c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</row>
    <row r="68" spans="1:24">
      <c r="A68" s="18"/>
      <c r="B68" s="18"/>
      <c r="C68" s="28"/>
    </row>
    <row r="69" spans="1:24">
      <c r="A69" s="18"/>
      <c r="B69" s="18"/>
      <c r="C69" s="28"/>
    </row>
    <row r="70" spans="1:24">
      <c r="A70" s="18"/>
      <c r="B70" s="18"/>
      <c r="C70" s="28"/>
    </row>
    <row r="71" spans="1:24">
      <c r="A71" s="18"/>
      <c r="B71" s="18"/>
      <c r="C71" s="28"/>
    </row>
    <row r="72" spans="1:24">
      <c r="A72" s="18"/>
      <c r="B72" s="18"/>
      <c r="C72" s="28"/>
    </row>
    <row r="73" spans="1:24">
      <c r="A73" s="18"/>
      <c r="B73" s="18"/>
      <c r="C73" s="28"/>
    </row>
    <row r="74" spans="1:24">
      <c r="A74" s="18"/>
      <c r="B74" s="18"/>
      <c r="C74" s="28"/>
    </row>
    <row r="75" spans="1:24">
      <c r="A75" s="18"/>
      <c r="B75" s="18"/>
      <c r="C75" s="28"/>
    </row>
    <row r="76" spans="1:24">
      <c r="A76" s="18"/>
      <c r="B76" s="18"/>
      <c r="C76" s="28"/>
    </row>
    <row r="77" spans="1:24">
      <c r="A77" s="18"/>
      <c r="B77" s="18"/>
      <c r="C77" s="28"/>
    </row>
    <row r="78" spans="1:24">
      <c r="A78" s="18"/>
      <c r="B78" s="18"/>
      <c r="C78" s="28"/>
    </row>
    <row r="79" spans="1:24">
      <c r="A79" s="18"/>
      <c r="B79" s="18"/>
      <c r="C79" s="28"/>
    </row>
    <row r="80" spans="1:24">
      <c r="A80" s="18"/>
      <c r="B80" s="18"/>
      <c r="C80" s="28"/>
    </row>
    <row r="81" spans="1:3">
      <c r="A81" s="18"/>
      <c r="B81" s="18"/>
      <c r="C81" s="28"/>
    </row>
    <row r="82" spans="1:3">
      <c r="A82" s="18"/>
      <c r="B82" s="18"/>
      <c r="C82" s="28"/>
    </row>
    <row r="83" spans="1:3">
      <c r="A83" s="18"/>
      <c r="B83" s="18"/>
      <c r="C83" s="28"/>
    </row>
    <row r="84" spans="1:3">
      <c r="A84" s="18"/>
      <c r="B84" s="18"/>
      <c r="C84" s="28"/>
    </row>
    <row r="85" spans="1:3">
      <c r="A85" s="18"/>
      <c r="B85" s="18"/>
      <c r="C85" s="34"/>
    </row>
    <row r="86" spans="1:3">
      <c r="A86" s="18"/>
      <c r="B86" s="18"/>
      <c r="C86" s="28"/>
    </row>
    <row r="87" spans="1:3">
      <c r="A87" s="18"/>
      <c r="B87" s="18"/>
      <c r="C87" s="28"/>
    </row>
    <row r="88" spans="1:3">
      <c r="A88" s="18"/>
      <c r="B88" s="18"/>
      <c r="C88" s="34"/>
    </row>
    <row r="89" spans="1:3">
      <c r="A89" s="18"/>
      <c r="B89" s="18"/>
      <c r="C89" s="28"/>
    </row>
    <row r="90" spans="1:3">
      <c r="A90" s="18"/>
      <c r="B90" s="18"/>
      <c r="C90" s="28"/>
    </row>
    <row r="91" spans="1:3">
      <c r="A91" s="18"/>
      <c r="B91" s="18"/>
      <c r="C91" s="28"/>
    </row>
    <row r="92" spans="1:3">
      <c r="A92" s="18"/>
      <c r="B92" s="18"/>
      <c r="C92" s="28"/>
    </row>
    <row r="93" spans="1:3">
      <c r="A93" s="18"/>
      <c r="B93" s="18"/>
      <c r="C93" s="34"/>
    </row>
    <row r="94" spans="1:3">
      <c r="A94" s="18"/>
      <c r="B94" s="18"/>
      <c r="C94" s="28"/>
    </row>
    <row r="95" spans="1:3">
      <c r="A95" s="18"/>
      <c r="B95" s="18"/>
      <c r="C95" s="28"/>
    </row>
    <row r="96" spans="1:3">
      <c r="A96" s="18"/>
      <c r="B96" s="18"/>
      <c r="C96" s="28"/>
    </row>
    <row r="97" spans="1:24">
      <c r="A97" s="18"/>
      <c r="B97" s="18"/>
      <c r="C97" s="28"/>
    </row>
    <row r="98" spans="1:24">
      <c r="A98" s="18"/>
      <c r="B98" s="18"/>
      <c r="C98" s="34"/>
    </row>
    <row r="99" spans="1:24">
      <c r="A99" s="18"/>
      <c r="B99" s="18"/>
      <c r="C99" s="28"/>
    </row>
    <row r="100" spans="1:24">
      <c r="A100" s="18"/>
      <c r="B100" s="18"/>
      <c r="C100" s="28"/>
    </row>
    <row r="101" spans="1:24">
      <c r="A101" s="18"/>
      <c r="B101" s="18"/>
      <c r="C101" s="28"/>
    </row>
    <row r="102" spans="1:24" s="37" customFormat="1">
      <c r="A102" s="35"/>
      <c r="B102" s="35"/>
      <c r="C102" s="36"/>
    </row>
    <row r="103" spans="1:24">
      <c r="A103" s="18"/>
      <c r="B103" s="18"/>
      <c r="C103" s="28"/>
    </row>
    <row r="104" spans="1:24" ht="18" customHeight="1">
      <c r="A104" s="18"/>
      <c r="B104" s="18"/>
      <c r="X104" s="28"/>
    </row>
    <row r="105" spans="1:24" ht="18" customHeight="1"/>
  </sheetData>
  <mergeCells count="106">
    <mergeCell ref="G53:G57"/>
    <mergeCell ref="F53:F57"/>
    <mergeCell ref="E53:E57"/>
    <mergeCell ref="D53:D57"/>
    <mergeCell ref="C53:C57"/>
    <mergeCell ref="X53:X57"/>
    <mergeCell ref="Y53:Y57"/>
    <mergeCell ref="J53:J57"/>
    <mergeCell ref="I53:I57"/>
    <mergeCell ref="H53:H57"/>
    <mergeCell ref="C5:W5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C1:E4"/>
    <mergeCell ref="F1:T4"/>
    <mergeCell ref="U1:W1"/>
    <mergeCell ref="U2:V2"/>
    <mergeCell ref="U3:W4"/>
    <mergeCell ref="R10:T10"/>
    <mergeCell ref="U10:W10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I9:P9"/>
    <mergeCell ref="Q9:W9"/>
    <mergeCell ref="I10:J10"/>
    <mergeCell ref="M10:N10"/>
    <mergeCell ref="I11:J11"/>
    <mergeCell ref="M11:N11"/>
    <mergeCell ref="R11:T11"/>
    <mergeCell ref="U11:W11"/>
    <mergeCell ref="I12:J12"/>
    <mergeCell ref="M12:N12"/>
    <mergeCell ref="R12:T12"/>
    <mergeCell ref="U12:W12"/>
    <mergeCell ref="I13:J13"/>
    <mergeCell ref="M13:N13"/>
    <mergeCell ref="R13:T13"/>
    <mergeCell ref="U13:W13"/>
    <mergeCell ref="I14:J14"/>
    <mergeCell ref="M14:N14"/>
    <mergeCell ref="R14:T14"/>
    <mergeCell ref="U14:W14"/>
    <mergeCell ref="C67:W67"/>
    <mergeCell ref="I15:J15"/>
    <mergeCell ref="M15:N15"/>
    <mergeCell ref="R15:T15"/>
    <mergeCell ref="U15:W15"/>
    <mergeCell ref="I16:J16"/>
    <mergeCell ref="M16:N16"/>
    <mergeCell ref="R16:T16"/>
    <mergeCell ref="U16:W16"/>
    <mergeCell ref="G19:G23"/>
    <mergeCell ref="F19:F23"/>
    <mergeCell ref="E19:E23"/>
    <mergeCell ref="D19:D23"/>
    <mergeCell ref="C19:C23"/>
    <mergeCell ref="G24:G32"/>
    <mergeCell ref="J19:J23"/>
    <mergeCell ref="Y24:Y32"/>
    <mergeCell ref="J24:J32"/>
    <mergeCell ref="I24:I32"/>
    <mergeCell ref="H24:H32"/>
    <mergeCell ref="C17:W17"/>
    <mergeCell ref="X19:X23"/>
    <mergeCell ref="Y19:Y23"/>
    <mergeCell ref="I19:I23"/>
    <mergeCell ref="H19:H23"/>
    <mergeCell ref="F24:F32"/>
    <mergeCell ref="E24:E32"/>
    <mergeCell ref="D24:D32"/>
    <mergeCell ref="C24:C32"/>
    <mergeCell ref="X24:X32"/>
    <mergeCell ref="X33:X41"/>
    <mergeCell ref="Y33:Y41"/>
    <mergeCell ref="J33:J41"/>
    <mergeCell ref="I33:I41"/>
    <mergeCell ref="H33:H41"/>
    <mergeCell ref="G33:G41"/>
    <mergeCell ref="F33:F41"/>
    <mergeCell ref="E33:E41"/>
    <mergeCell ref="D33:D41"/>
    <mergeCell ref="C33:C41"/>
    <mergeCell ref="X43:X52"/>
    <mergeCell ref="Y43:Y52"/>
    <mergeCell ref="J43:J52"/>
    <mergeCell ref="I43:I52"/>
    <mergeCell ref="H43:H52"/>
    <mergeCell ref="G43:G52"/>
    <mergeCell ref="F43:F52"/>
    <mergeCell ref="E43:E52"/>
    <mergeCell ref="D43:D52"/>
    <mergeCell ref="C43:C52"/>
  </mergeCells>
  <dataValidations count="1">
    <dataValidation allowBlank="1" showInputMessage="1" showErrorMessage="1" sqref="L19:L66" xr:uid="{DB456D06-4004-49BB-BE7B-8A2AD7619CF8}"/>
  </dataValidations>
  <hyperlinks>
    <hyperlink ref="Y19:Y23" r:id="rId1" display="SOPORTE" xr:uid="{999BB899-EB40-4A48-B07C-E39A82427C1A}"/>
    <hyperlink ref="Y24:Y32" r:id="rId2" display="SOPORTE" xr:uid="{18E4122B-F642-4975-BCA4-9751BE48ED6B}"/>
    <hyperlink ref="Y33:Y41" r:id="rId3" display="SOPORTE" xr:uid="{F491AC6C-B361-4EBB-AE35-EEF7B82F8CB4}"/>
    <hyperlink ref="Y42" r:id="rId4" xr:uid="{1ABFBC1E-3E20-4D56-B839-80BF340865F2}"/>
    <hyperlink ref="Y43:Y52" r:id="rId5" display="SOPORTE" xr:uid="{1C3D8A6E-F8F3-4C41-8CC8-67A4017F9B53}"/>
    <hyperlink ref="Y53:Y57" r:id="rId6" display=" SOPORTE " xr:uid="{60FF5652-88BC-44F4-82B2-597D147F2DCE}"/>
  </hyperlinks>
  <pageMargins left="0.7" right="0.7" top="0.75" bottom="0.75" header="0.3" footer="0.3"/>
  <pageSetup orientation="portrait" horizontalDpi="4294967294" verticalDpi="4294967294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6"/>
  <sheetViews>
    <sheetView workbookViewId="0">
      <pane xSplit="1" ySplit="1" topLeftCell="B419" activePane="bottomRight" state="frozen"/>
      <selection pane="bottomRight" activeCell="B437" sqref="B437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4" t="s">
        <v>21</v>
      </c>
      <c r="B1" s="4" t="s">
        <v>52</v>
      </c>
      <c r="C1" s="4" t="s">
        <v>51</v>
      </c>
    </row>
    <row r="2" spans="1:3">
      <c r="A2" t="s">
        <v>123</v>
      </c>
      <c r="B2" s="8" t="s">
        <v>124</v>
      </c>
      <c r="C2" s="9" t="s">
        <v>73</v>
      </c>
    </row>
    <row r="3" spans="1:3">
      <c r="A3" t="s">
        <v>125</v>
      </c>
      <c r="B3" s="8" t="s">
        <v>126</v>
      </c>
      <c r="C3" s="9" t="s">
        <v>68</v>
      </c>
    </row>
    <row r="4" spans="1:3">
      <c r="A4" t="s">
        <v>123</v>
      </c>
      <c r="B4" s="8" t="s">
        <v>127</v>
      </c>
      <c r="C4" s="9" t="s">
        <v>68</v>
      </c>
    </row>
    <row r="5" spans="1:3">
      <c r="A5" t="s">
        <v>125</v>
      </c>
      <c r="B5" s="8" t="s">
        <v>119</v>
      </c>
      <c r="C5" s="9" t="s">
        <v>68</v>
      </c>
    </row>
    <row r="6" spans="1:3">
      <c r="A6" t="s">
        <v>125</v>
      </c>
      <c r="B6" s="8" t="s">
        <v>128</v>
      </c>
      <c r="C6" s="9" t="s">
        <v>68</v>
      </c>
    </row>
    <row r="7" spans="1:3">
      <c r="A7" t="s">
        <v>123</v>
      </c>
      <c r="B7" s="8" t="s">
        <v>129</v>
      </c>
      <c r="C7" s="9" t="s">
        <v>68</v>
      </c>
    </row>
    <row r="8" spans="1:3">
      <c r="A8" t="s">
        <v>123</v>
      </c>
      <c r="B8" s="8" t="s">
        <v>130</v>
      </c>
      <c r="C8" s="9" t="s">
        <v>68</v>
      </c>
    </row>
    <row r="9" spans="1:3">
      <c r="A9" t="s">
        <v>123</v>
      </c>
      <c r="B9" s="8" t="s">
        <v>131</v>
      </c>
      <c r="C9" s="9" t="s">
        <v>68</v>
      </c>
    </row>
    <row r="10" spans="1:3">
      <c r="A10" t="s">
        <v>123</v>
      </c>
      <c r="B10" s="8" t="s">
        <v>132</v>
      </c>
      <c r="C10" s="9" t="s">
        <v>68</v>
      </c>
    </row>
    <row r="11" spans="1:3">
      <c r="A11" t="s">
        <v>123</v>
      </c>
      <c r="B11" s="8" t="s">
        <v>133</v>
      </c>
      <c r="C11" s="9" t="s">
        <v>134</v>
      </c>
    </row>
    <row r="12" spans="1:3">
      <c r="A12" t="s">
        <v>125</v>
      </c>
      <c r="B12" s="8" t="s">
        <v>135</v>
      </c>
      <c r="C12" s="9" t="s">
        <v>134</v>
      </c>
    </row>
    <row r="13" spans="1:3">
      <c r="A13" t="s">
        <v>125</v>
      </c>
      <c r="B13" s="10" t="s">
        <v>136</v>
      </c>
      <c r="C13" s="9" t="s">
        <v>134</v>
      </c>
    </row>
    <row r="14" spans="1:3">
      <c r="A14" t="s">
        <v>125</v>
      </c>
      <c r="B14" s="8" t="s">
        <v>137</v>
      </c>
      <c r="C14" s="9" t="s">
        <v>68</v>
      </c>
    </row>
    <row r="15" spans="1:3">
      <c r="A15" t="s">
        <v>123</v>
      </c>
      <c r="B15" s="8" t="s">
        <v>138</v>
      </c>
      <c r="C15" s="9" t="s">
        <v>73</v>
      </c>
    </row>
    <row r="16" spans="1:3">
      <c r="A16" t="s">
        <v>125</v>
      </c>
      <c r="B16" s="8" t="s">
        <v>139</v>
      </c>
      <c r="C16" s="9" t="s">
        <v>68</v>
      </c>
    </row>
    <row r="17" spans="1:3">
      <c r="A17" t="s">
        <v>123</v>
      </c>
      <c r="B17" s="8" t="s">
        <v>140</v>
      </c>
      <c r="C17" s="9" t="s">
        <v>73</v>
      </c>
    </row>
    <row r="18" spans="1:3">
      <c r="A18" t="s">
        <v>123</v>
      </c>
      <c r="B18" s="8" t="s">
        <v>141</v>
      </c>
      <c r="C18" s="9" t="s">
        <v>68</v>
      </c>
    </row>
    <row r="19" spans="1:3">
      <c r="A19" t="s">
        <v>123</v>
      </c>
      <c r="B19" s="8" t="s">
        <v>142</v>
      </c>
      <c r="C19" s="9" t="s">
        <v>73</v>
      </c>
    </row>
    <row r="20" spans="1:3">
      <c r="A20" t="s">
        <v>125</v>
      </c>
      <c r="B20" s="8" t="s">
        <v>143</v>
      </c>
      <c r="C20" s="9" t="s">
        <v>68</v>
      </c>
    </row>
    <row r="21" spans="1:3">
      <c r="A21" t="s">
        <v>123</v>
      </c>
      <c r="B21" s="8" t="s">
        <v>144</v>
      </c>
      <c r="C21" s="9" t="s">
        <v>68</v>
      </c>
    </row>
    <row r="22" spans="1:3">
      <c r="A22" t="s">
        <v>123</v>
      </c>
      <c r="B22" s="8" t="s">
        <v>145</v>
      </c>
      <c r="C22" s="9" t="s">
        <v>68</v>
      </c>
    </row>
    <row r="23" spans="1:3">
      <c r="A23" t="s">
        <v>123</v>
      </c>
      <c r="B23" s="8" t="s">
        <v>146</v>
      </c>
      <c r="C23" s="9" t="s">
        <v>68</v>
      </c>
    </row>
    <row r="24" spans="1:3">
      <c r="A24" t="s">
        <v>123</v>
      </c>
      <c r="B24" s="8" t="s">
        <v>147</v>
      </c>
      <c r="C24" s="9" t="s">
        <v>68</v>
      </c>
    </row>
    <row r="25" spans="1:3">
      <c r="A25" t="s">
        <v>123</v>
      </c>
      <c r="B25" s="8" t="s">
        <v>148</v>
      </c>
      <c r="C25" s="9" t="s">
        <v>68</v>
      </c>
    </row>
    <row r="26" spans="1:3">
      <c r="A26" t="s">
        <v>125</v>
      </c>
      <c r="B26" s="8" t="s">
        <v>149</v>
      </c>
      <c r="C26" s="9" t="s">
        <v>73</v>
      </c>
    </row>
    <row r="27" spans="1:3">
      <c r="A27" t="s">
        <v>123</v>
      </c>
      <c r="B27" s="8" t="s">
        <v>150</v>
      </c>
      <c r="C27" s="9" t="s">
        <v>73</v>
      </c>
    </row>
    <row r="28" spans="1:3">
      <c r="A28" t="s">
        <v>125</v>
      </c>
      <c r="B28" s="8" t="s">
        <v>151</v>
      </c>
      <c r="C28" s="9" t="s">
        <v>73</v>
      </c>
    </row>
    <row r="29" spans="1:3">
      <c r="A29" t="s">
        <v>123</v>
      </c>
      <c r="B29" s="8" t="s">
        <v>152</v>
      </c>
      <c r="C29" s="9" t="s">
        <v>73</v>
      </c>
    </row>
    <row r="30" spans="1:3">
      <c r="A30" t="s">
        <v>123</v>
      </c>
      <c r="B30" s="8" t="s">
        <v>153</v>
      </c>
      <c r="C30" s="9" t="s">
        <v>73</v>
      </c>
    </row>
    <row r="31" spans="1:3">
      <c r="A31" t="s">
        <v>125</v>
      </c>
      <c r="B31" s="8" t="s">
        <v>154</v>
      </c>
      <c r="C31" s="9" t="s">
        <v>68</v>
      </c>
    </row>
    <row r="32" spans="1:3">
      <c r="A32" t="s">
        <v>125</v>
      </c>
      <c r="B32" s="8" t="s">
        <v>155</v>
      </c>
      <c r="C32" s="9" t="s">
        <v>68</v>
      </c>
    </row>
    <row r="33" spans="1:3">
      <c r="A33" t="s">
        <v>123</v>
      </c>
      <c r="B33" s="8" t="s">
        <v>156</v>
      </c>
      <c r="C33" s="9" t="s">
        <v>73</v>
      </c>
    </row>
    <row r="34" spans="1:3">
      <c r="A34" t="s">
        <v>123</v>
      </c>
      <c r="B34" s="8" t="s">
        <v>157</v>
      </c>
      <c r="C34" s="9" t="s">
        <v>73</v>
      </c>
    </row>
    <row r="35" spans="1:3">
      <c r="A35" t="s">
        <v>123</v>
      </c>
      <c r="B35" s="8" t="s">
        <v>158</v>
      </c>
      <c r="C35" s="9" t="s">
        <v>73</v>
      </c>
    </row>
    <row r="36" spans="1:3">
      <c r="A36" t="s">
        <v>123</v>
      </c>
      <c r="B36" s="8" t="s">
        <v>159</v>
      </c>
      <c r="C36" s="9" t="s">
        <v>68</v>
      </c>
    </row>
    <row r="37" spans="1:3">
      <c r="A37" t="s">
        <v>123</v>
      </c>
      <c r="B37" s="8" t="s">
        <v>160</v>
      </c>
      <c r="C37" s="9" t="s">
        <v>68</v>
      </c>
    </row>
    <row r="38" spans="1:3">
      <c r="A38" t="s">
        <v>125</v>
      </c>
      <c r="B38" s="8" t="s">
        <v>161</v>
      </c>
      <c r="C38" s="9" t="s">
        <v>73</v>
      </c>
    </row>
    <row r="39" spans="1:3">
      <c r="A39" t="s">
        <v>125</v>
      </c>
      <c r="B39" s="8" t="s">
        <v>162</v>
      </c>
      <c r="C39" s="9" t="s">
        <v>68</v>
      </c>
    </row>
    <row r="40" spans="1:3">
      <c r="A40" t="s">
        <v>125</v>
      </c>
      <c r="B40" s="8" t="s">
        <v>163</v>
      </c>
      <c r="C40" s="9" t="s">
        <v>73</v>
      </c>
    </row>
    <row r="41" spans="1:3">
      <c r="A41" t="s">
        <v>123</v>
      </c>
      <c r="B41" s="8" t="s">
        <v>164</v>
      </c>
      <c r="C41" s="9" t="s">
        <v>73</v>
      </c>
    </row>
    <row r="42" spans="1:3">
      <c r="A42" t="s">
        <v>123</v>
      </c>
      <c r="B42" s="8" t="s">
        <v>165</v>
      </c>
      <c r="C42" s="9" t="s">
        <v>68</v>
      </c>
    </row>
    <row r="43" spans="1:3">
      <c r="A43" t="s">
        <v>123</v>
      </c>
      <c r="B43" s="8" t="s">
        <v>166</v>
      </c>
      <c r="C43" s="9" t="s">
        <v>73</v>
      </c>
    </row>
    <row r="44" spans="1:3">
      <c r="A44" t="s">
        <v>123</v>
      </c>
      <c r="B44" s="8" t="s">
        <v>167</v>
      </c>
      <c r="C44" s="9" t="s">
        <v>73</v>
      </c>
    </row>
    <row r="45" spans="1:3">
      <c r="A45" t="s">
        <v>125</v>
      </c>
      <c r="B45" s="8" t="s">
        <v>168</v>
      </c>
      <c r="C45" s="9" t="s">
        <v>73</v>
      </c>
    </row>
    <row r="46" spans="1:3">
      <c r="A46" t="s">
        <v>125</v>
      </c>
      <c r="B46" s="8" t="s">
        <v>169</v>
      </c>
      <c r="C46" s="9" t="s">
        <v>73</v>
      </c>
    </row>
    <row r="47" spans="1:3">
      <c r="A47" t="s">
        <v>125</v>
      </c>
      <c r="B47" s="8" t="s">
        <v>170</v>
      </c>
      <c r="C47" s="9" t="s">
        <v>73</v>
      </c>
    </row>
    <row r="48" spans="1:3">
      <c r="A48" t="s">
        <v>125</v>
      </c>
      <c r="B48" s="8" t="s">
        <v>171</v>
      </c>
      <c r="C48" s="9" t="s">
        <v>73</v>
      </c>
    </row>
    <row r="49" spans="1:3">
      <c r="A49" t="s">
        <v>123</v>
      </c>
      <c r="B49" s="8" t="s">
        <v>172</v>
      </c>
      <c r="C49" s="9" t="s">
        <v>73</v>
      </c>
    </row>
    <row r="50" spans="1:3">
      <c r="A50" t="s">
        <v>123</v>
      </c>
      <c r="B50" s="8" t="s">
        <v>173</v>
      </c>
      <c r="C50" s="9" t="s">
        <v>73</v>
      </c>
    </row>
    <row r="51" spans="1:3">
      <c r="A51" t="s">
        <v>125</v>
      </c>
      <c r="B51" s="8" t="s">
        <v>174</v>
      </c>
      <c r="C51" s="9" t="s">
        <v>73</v>
      </c>
    </row>
    <row r="52" spans="1:3">
      <c r="A52" t="s">
        <v>125</v>
      </c>
      <c r="B52" s="8" t="s">
        <v>175</v>
      </c>
      <c r="C52" s="9" t="s">
        <v>73</v>
      </c>
    </row>
    <row r="53" spans="1:3">
      <c r="A53" t="s">
        <v>125</v>
      </c>
      <c r="B53" s="8" t="s">
        <v>176</v>
      </c>
      <c r="C53" s="9" t="s">
        <v>73</v>
      </c>
    </row>
    <row r="54" spans="1:3">
      <c r="A54" t="s">
        <v>123</v>
      </c>
      <c r="B54" s="8" t="s">
        <v>177</v>
      </c>
      <c r="C54" s="9" t="s">
        <v>73</v>
      </c>
    </row>
    <row r="55" spans="1:3">
      <c r="A55" t="s">
        <v>123</v>
      </c>
      <c r="B55" s="8" t="s">
        <v>178</v>
      </c>
      <c r="C55" s="9" t="s">
        <v>73</v>
      </c>
    </row>
    <row r="56" spans="1:3">
      <c r="A56" t="s">
        <v>123</v>
      </c>
      <c r="B56" s="8" t="s">
        <v>179</v>
      </c>
      <c r="C56" s="9" t="s">
        <v>73</v>
      </c>
    </row>
    <row r="57" spans="1:3">
      <c r="A57" t="s">
        <v>123</v>
      </c>
      <c r="B57" s="8" t="s">
        <v>180</v>
      </c>
      <c r="C57" s="9" t="s">
        <v>73</v>
      </c>
    </row>
    <row r="58" spans="1:3">
      <c r="A58" t="s">
        <v>123</v>
      </c>
      <c r="B58" s="8" t="s">
        <v>181</v>
      </c>
      <c r="C58" s="9" t="s">
        <v>73</v>
      </c>
    </row>
    <row r="59" spans="1:3">
      <c r="A59" t="s">
        <v>125</v>
      </c>
      <c r="B59" s="8" t="s">
        <v>182</v>
      </c>
      <c r="C59" s="9" t="s">
        <v>73</v>
      </c>
    </row>
    <row r="60" spans="1:3">
      <c r="A60" t="s">
        <v>123</v>
      </c>
      <c r="B60" s="8" t="s">
        <v>183</v>
      </c>
      <c r="C60" s="9" t="s">
        <v>73</v>
      </c>
    </row>
    <row r="61" spans="1:3">
      <c r="A61" t="s">
        <v>123</v>
      </c>
      <c r="B61" s="8" t="s">
        <v>184</v>
      </c>
      <c r="C61" s="9" t="s">
        <v>73</v>
      </c>
    </row>
    <row r="62" spans="1:3">
      <c r="A62" t="s">
        <v>123</v>
      </c>
      <c r="B62" s="8" t="s">
        <v>185</v>
      </c>
      <c r="C62" s="9" t="s">
        <v>73</v>
      </c>
    </row>
    <row r="63" spans="1:3">
      <c r="A63" t="s">
        <v>123</v>
      </c>
      <c r="B63" s="8" t="s">
        <v>186</v>
      </c>
      <c r="C63" s="9" t="s">
        <v>73</v>
      </c>
    </row>
    <row r="64" spans="1:3">
      <c r="A64" t="s">
        <v>123</v>
      </c>
      <c r="B64" s="8" t="s">
        <v>96</v>
      </c>
      <c r="C64" s="9" t="s">
        <v>73</v>
      </c>
    </row>
    <row r="65" spans="1:3">
      <c r="A65" t="s">
        <v>123</v>
      </c>
      <c r="B65" s="8" t="s">
        <v>96</v>
      </c>
      <c r="C65" s="9" t="s">
        <v>68</v>
      </c>
    </row>
    <row r="66" spans="1:3">
      <c r="A66" t="s">
        <v>123</v>
      </c>
      <c r="B66" s="8" t="s">
        <v>187</v>
      </c>
      <c r="C66" s="9" t="s">
        <v>73</v>
      </c>
    </row>
    <row r="67" spans="1:3">
      <c r="A67" t="s">
        <v>125</v>
      </c>
      <c r="B67" s="8" t="s">
        <v>188</v>
      </c>
      <c r="C67" s="9" t="s">
        <v>68</v>
      </c>
    </row>
    <row r="68" spans="1:3">
      <c r="A68" t="s">
        <v>123</v>
      </c>
      <c r="B68" s="8" t="s">
        <v>189</v>
      </c>
      <c r="C68" s="9" t="s">
        <v>73</v>
      </c>
    </row>
    <row r="69" spans="1:3">
      <c r="A69" t="s">
        <v>123</v>
      </c>
      <c r="B69" s="8" t="s">
        <v>190</v>
      </c>
      <c r="C69" s="9" t="s">
        <v>73</v>
      </c>
    </row>
    <row r="70" spans="1:3">
      <c r="A70" t="s">
        <v>123</v>
      </c>
      <c r="B70" s="8" t="s">
        <v>191</v>
      </c>
      <c r="C70" s="9" t="s">
        <v>73</v>
      </c>
    </row>
    <row r="71" spans="1:3">
      <c r="A71" t="s">
        <v>125</v>
      </c>
      <c r="B71" s="8" t="s">
        <v>192</v>
      </c>
      <c r="C71" s="9" t="s">
        <v>73</v>
      </c>
    </row>
    <row r="72" spans="1:3">
      <c r="A72" t="s">
        <v>123</v>
      </c>
      <c r="B72" s="8" t="s">
        <v>193</v>
      </c>
      <c r="C72" s="9" t="s">
        <v>73</v>
      </c>
    </row>
    <row r="73" spans="1:3">
      <c r="A73" t="s">
        <v>125</v>
      </c>
      <c r="B73" s="8" t="s">
        <v>194</v>
      </c>
      <c r="C73" s="9" t="s">
        <v>68</v>
      </c>
    </row>
    <row r="74" spans="1:3">
      <c r="A74" t="s">
        <v>125</v>
      </c>
      <c r="B74" s="8" t="s">
        <v>195</v>
      </c>
      <c r="C74" s="9" t="s">
        <v>73</v>
      </c>
    </row>
    <row r="75" spans="1:3">
      <c r="A75" t="s">
        <v>123</v>
      </c>
      <c r="B75" s="8" t="s">
        <v>196</v>
      </c>
      <c r="C75" s="9" t="s">
        <v>73</v>
      </c>
    </row>
    <row r="76" spans="1:3">
      <c r="A76" t="s">
        <v>125</v>
      </c>
      <c r="B76" s="8" t="s">
        <v>197</v>
      </c>
      <c r="C76" s="9" t="s">
        <v>73</v>
      </c>
    </row>
    <row r="77" spans="1:3">
      <c r="A77" t="s">
        <v>123</v>
      </c>
      <c r="B77" s="8" t="s">
        <v>198</v>
      </c>
      <c r="C77" s="9" t="s">
        <v>73</v>
      </c>
    </row>
    <row r="78" spans="1:3">
      <c r="A78" t="s">
        <v>125</v>
      </c>
      <c r="B78" s="8" t="s">
        <v>199</v>
      </c>
      <c r="C78" s="9" t="s">
        <v>68</v>
      </c>
    </row>
    <row r="79" spans="1:3">
      <c r="A79" t="s">
        <v>123</v>
      </c>
      <c r="B79" s="8" t="s">
        <v>200</v>
      </c>
      <c r="C79" s="9" t="s">
        <v>73</v>
      </c>
    </row>
    <row r="80" spans="1:3">
      <c r="A80" t="s">
        <v>123</v>
      </c>
      <c r="B80" s="8" t="s">
        <v>201</v>
      </c>
      <c r="C80" s="9" t="s">
        <v>73</v>
      </c>
    </row>
    <row r="81" spans="1:3">
      <c r="A81" t="s">
        <v>123</v>
      </c>
      <c r="B81" s="8" t="s">
        <v>202</v>
      </c>
      <c r="C81" s="9" t="s">
        <v>73</v>
      </c>
    </row>
    <row r="82" spans="1:3">
      <c r="A82" t="s">
        <v>123</v>
      </c>
      <c r="B82" s="8" t="s">
        <v>203</v>
      </c>
      <c r="C82" s="9" t="s">
        <v>73</v>
      </c>
    </row>
    <row r="83" spans="1:3">
      <c r="A83" t="s">
        <v>123</v>
      </c>
      <c r="B83" s="8" t="s">
        <v>204</v>
      </c>
      <c r="C83" s="9" t="s">
        <v>68</v>
      </c>
    </row>
    <row r="84" spans="1:3">
      <c r="A84" t="s">
        <v>125</v>
      </c>
      <c r="B84" s="8" t="s">
        <v>205</v>
      </c>
      <c r="C84" s="9" t="s">
        <v>73</v>
      </c>
    </row>
    <row r="85" spans="1:3">
      <c r="A85" t="s">
        <v>123</v>
      </c>
      <c r="B85" s="8" t="s">
        <v>206</v>
      </c>
      <c r="C85" s="9" t="s">
        <v>73</v>
      </c>
    </row>
    <row r="86" spans="1:3">
      <c r="A86" t="s">
        <v>123</v>
      </c>
      <c r="B86" s="8" t="s">
        <v>207</v>
      </c>
      <c r="C86" s="9" t="s">
        <v>68</v>
      </c>
    </row>
    <row r="87" spans="1:3">
      <c r="A87" t="s">
        <v>125</v>
      </c>
      <c r="B87" s="8" t="s">
        <v>208</v>
      </c>
      <c r="C87" s="9" t="s">
        <v>73</v>
      </c>
    </row>
    <row r="88" spans="1:3">
      <c r="A88" t="s">
        <v>123</v>
      </c>
      <c r="B88" s="8" t="s">
        <v>209</v>
      </c>
      <c r="C88" s="9" t="s">
        <v>68</v>
      </c>
    </row>
    <row r="89" spans="1:3">
      <c r="A89" t="s">
        <v>125</v>
      </c>
      <c r="B89" s="8" t="s">
        <v>210</v>
      </c>
      <c r="C89" s="9" t="s">
        <v>73</v>
      </c>
    </row>
    <row r="90" spans="1:3">
      <c r="A90" t="s">
        <v>125</v>
      </c>
      <c r="B90" s="8" t="s">
        <v>211</v>
      </c>
      <c r="C90" s="9" t="s">
        <v>73</v>
      </c>
    </row>
    <row r="91" spans="1:3">
      <c r="A91" t="s">
        <v>123</v>
      </c>
      <c r="B91" s="8" t="s">
        <v>212</v>
      </c>
      <c r="C91" s="9" t="s">
        <v>68</v>
      </c>
    </row>
    <row r="92" spans="1:3">
      <c r="A92" t="s">
        <v>125</v>
      </c>
      <c r="B92" s="8" t="s">
        <v>213</v>
      </c>
      <c r="C92" s="9" t="s">
        <v>68</v>
      </c>
    </row>
    <row r="93" spans="1:3" ht="26.25">
      <c r="A93" t="s">
        <v>125</v>
      </c>
      <c r="B93" s="8" t="s">
        <v>214</v>
      </c>
      <c r="C93" s="9" t="s">
        <v>68</v>
      </c>
    </row>
    <row r="94" spans="1:3">
      <c r="A94" t="s">
        <v>123</v>
      </c>
      <c r="B94" s="8" t="s">
        <v>215</v>
      </c>
      <c r="C94" s="9" t="s">
        <v>73</v>
      </c>
    </row>
    <row r="95" spans="1:3">
      <c r="A95" t="s">
        <v>125</v>
      </c>
      <c r="B95" s="8" t="s">
        <v>216</v>
      </c>
      <c r="C95" s="9" t="s">
        <v>73</v>
      </c>
    </row>
    <row r="96" spans="1:3">
      <c r="A96" t="s">
        <v>125</v>
      </c>
      <c r="B96" s="8" t="s">
        <v>217</v>
      </c>
      <c r="C96" s="9" t="s">
        <v>73</v>
      </c>
    </row>
    <row r="97" spans="1:3">
      <c r="A97" t="s">
        <v>125</v>
      </c>
      <c r="B97" s="8" t="s">
        <v>218</v>
      </c>
      <c r="C97" s="9" t="s">
        <v>73</v>
      </c>
    </row>
    <row r="98" spans="1:3">
      <c r="A98" t="s">
        <v>123</v>
      </c>
      <c r="B98" s="8" t="s">
        <v>219</v>
      </c>
      <c r="C98" s="9" t="s">
        <v>68</v>
      </c>
    </row>
    <row r="99" spans="1:3">
      <c r="A99" t="s">
        <v>125</v>
      </c>
      <c r="B99" s="8" t="s">
        <v>220</v>
      </c>
      <c r="C99" s="9" t="s">
        <v>73</v>
      </c>
    </row>
    <row r="100" spans="1:3">
      <c r="A100" t="s">
        <v>125</v>
      </c>
      <c r="B100" s="8" t="s">
        <v>221</v>
      </c>
      <c r="C100" s="9" t="s">
        <v>68</v>
      </c>
    </row>
    <row r="101" spans="1:3">
      <c r="A101" t="s">
        <v>125</v>
      </c>
      <c r="B101" s="8" t="s">
        <v>222</v>
      </c>
      <c r="C101" s="9" t="s">
        <v>73</v>
      </c>
    </row>
    <row r="102" spans="1:3">
      <c r="A102" t="s">
        <v>125</v>
      </c>
      <c r="B102" s="8" t="s">
        <v>223</v>
      </c>
      <c r="C102" s="9" t="s">
        <v>68</v>
      </c>
    </row>
    <row r="103" spans="1:3">
      <c r="A103" t="s">
        <v>123</v>
      </c>
      <c r="B103" s="8" t="s">
        <v>224</v>
      </c>
      <c r="C103" s="9" t="s">
        <v>68</v>
      </c>
    </row>
    <row r="104" spans="1:3">
      <c r="A104" t="s">
        <v>125</v>
      </c>
      <c r="B104" s="8" t="s">
        <v>225</v>
      </c>
      <c r="C104" s="9" t="s">
        <v>68</v>
      </c>
    </row>
    <row r="105" spans="1:3">
      <c r="A105" t="s">
        <v>123</v>
      </c>
      <c r="B105" s="8" t="s">
        <v>226</v>
      </c>
      <c r="C105" s="9" t="s">
        <v>73</v>
      </c>
    </row>
    <row r="106" spans="1:3">
      <c r="A106" t="s">
        <v>125</v>
      </c>
      <c r="B106" s="8" t="s">
        <v>227</v>
      </c>
      <c r="C106" s="9" t="s">
        <v>73</v>
      </c>
    </row>
    <row r="107" spans="1:3">
      <c r="A107" t="s">
        <v>123</v>
      </c>
      <c r="B107" s="8" t="s">
        <v>228</v>
      </c>
      <c r="C107" s="9" t="s">
        <v>68</v>
      </c>
    </row>
    <row r="108" spans="1:3" ht="26.25">
      <c r="A108" t="s">
        <v>123</v>
      </c>
      <c r="B108" s="8" t="s">
        <v>229</v>
      </c>
      <c r="C108" s="9" t="s">
        <v>68</v>
      </c>
    </row>
    <row r="109" spans="1:3">
      <c r="A109" t="s">
        <v>123</v>
      </c>
      <c r="B109" s="8" t="s">
        <v>230</v>
      </c>
      <c r="C109" s="9" t="s">
        <v>68</v>
      </c>
    </row>
    <row r="110" spans="1:3">
      <c r="A110" t="s">
        <v>123</v>
      </c>
      <c r="B110" s="8" t="s">
        <v>231</v>
      </c>
      <c r="C110" s="9" t="s">
        <v>68</v>
      </c>
    </row>
    <row r="111" spans="1:3">
      <c r="A111" t="s">
        <v>123</v>
      </c>
      <c r="B111" s="8" t="s">
        <v>232</v>
      </c>
      <c r="C111" s="9" t="s">
        <v>68</v>
      </c>
    </row>
    <row r="112" spans="1:3">
      <c r="A112" t="s">
        <v>125</v>
      </c>
      <c r="B112" s="8" t="s">
        <v>233</v>
      </c>
      <c r="C112" s="9" t="s">
        <v>68</v>
      </c>
    </row>
    <row r="113" spans="1:3">
      <c r="A113" t="s">
        <v>123</v>
      </c>
      <c r="B113" s="8" t="s">
        <v>234</v>
      </c>
      <c r="C113" s="9" t="s">
        <v>68</v>
      </c>
    </row>
    <row r="114" spans="1:3">
      <c r="A114" t="s">
        <v>123</v>
      </c>
      <c r="B114" s="8" t="s">
        <v>235</v>
      </c>
      <c r="C114" s="9" t="s">
        <v>68</v>
      </c>
    </row>
    <row r="115" spans="1:3">
      <c r="A115" t="s">
        <v>123</v>
      </c>
      <c r="B115" s="8" t="s">
        <v>236</v>
      </c>
      <c r="C115" s="9" t="s">
        <v>68</v>
      </c>
    </row>
    <row r="116" spans="1:3">
      <c r="A116" t="s">
        <v>125</v>
      </c>
      <c r="B116" s="8" t="s">
        <v>237</v>
      </c>
      <c r="C116" s="9" t="s">
        <v>68</v>
      </c>
    </row>
    <row r="117" spans="1:3">
      <c r="A117" t="s">
        <v>123</v>
      </c>
      <c r="B117" s="8" t="s">
        <v>238</v>
      </c>
      <c r="C117" s="9" t="s">
        <v>73</v>
      </c>
    </row>
    <row r="118" spans="1:3">
      <c r="A118" t="s">
        <v>125</v>
      </c>
      <c r="B118" s="8" t="s">
        <v>239</v>
      </c>
      <c r="C118" s="9" t="s">
        <v>73</v>
      </c>
    </row>
    <row r="119" spans="1:3">
      <c r="A119" t="s">
        <v>123</v>
      </c>
      <c r="B119" s="8" t="s">
        <v>240</v>
      </c>
      <c r="C119" s="9" t="s">
        <v>68</v>
      </c>
    </row>
    <row r="120" spans="1:3" ht="26.25">
      <c r="A120" t="s">
        <v>125</v>
      </c>
      <c r="B120" s="8" t="s">
        <v>241</v>
      </c>
      <c r="C120" s="9" t="s">
        <v>73</v>
      </c>
    </row>
    <row r="121" spans="1:3">
      <c r="A121" t="s">
        <v>123</v>
      </c>
      <c r="B121" s="8" t="s">
        <v>242</v>
      </c>
      <c r="C121" s="9" t="s">
        <v>73</v>
      </c>
    </row>
    <row r="122" spans="1:3">
      <c r="A122" t="s">
        <v>123</v>
      </c>
      <c r="B122" s="8" t="s">
        <v>243</v>
      </c>
      <c r="C122" s="9" t="s">
        <v>68</v>
      </c>
    </row>
    <row r="123" spans="1:3">
      <c r="A123" t="s">
        <v>125</v>
      </c>
      <c r="B123" s="8" t="s">
        <v>244</v>
      </c>
      <c r="C123" s="9" t="s">
        <v>73</v>
      </c>
    </row>
    <row r="124" spans="1:3">
      <c r="A124" t="s">
        <v>125</v>
      </c>
      <c r="B124" s="8" t="s">
        <v>245</v>
      </c>
      <c r="C124" s="9" t="s">
        <v>68</v>
      </c>
    </row>
    <row r="125" spans="1:3">
      <c r="A125" t="s">
        <v>123</v>
      </c>
      <c r="B125" s="8" t="s">
        <v>246</v>
      </c>
      <c r="C125" s="9" t="s">
        <v>68</v>
      </c>
    </row>
    <row r="126" spans="1:3">
      <c r="A126" t="s">
        <v>123</v>
      </c>
      <c r="B126" s="8" t="s">
        <v>247</v>
      </c>
      <c r="C126" s="9" t="s">
        <v>73</v>
      </c>
    </row>
    <row r="127" spans="1:3">
      <c r="A127" t="s">
        <v>123</v>
      </c>
      <c r="B127" s="8" t="s">
        <v>248</v>
      </c>
      <c r="C127" s="9" t="s">
        <v>68</v>
      </c>
    </row>
    <row r="128" spans="1:3">
      <c r="A128" t="s">
        <v>123</v>
      </c>
      <c r="B128" s="8" t="s">
        <v>249</v>
      </c>
      <c r="C128" s="9" t="s">
        <v>73</v>
      </c>
    </row>
    <row r="129" spans="1:3">
      <c r="A129" t="s">
        <v>125</v>
      </c>
      <c r="B129" s="8" t="s">
        <v>250</v>
      </c>
      <c r="C129" s="9" t="s">
        <v>68</v>
      </c>
    </row>
    <row r="130" spans="1:3">
      <c r="A130" t="s">
        <v>123</v>
      </c>
      <c r="B130" s="8" t="s">
        <v>251</v>
      </c>
      <c r="C130" s="9" t="s">
        <v>68</v>
      </c>
    </row>
    <row r="131" spans="1:3">
      <c r="A131" t="s">
        <v>123</v>
      </c>
      <c r="B131" s="8" t="s">
        <v>252</v>
      </c>
      <c r="C131" s="9" t="s">
        <v>73</v>
      </c>
    </row>
    <row r="132" spans="1:3">
      <c r="A132" t="s">
        <v>125</v>
      </c>
      <c r="B132" s="8" t="s">
        <v>253</v>
      </c>
      <c r="C132" s="9" t="s">
        <v>73</v>
      </c>
    </row>
    <row r="133" spans="1:3">
      <c r="A133" t="s">
        <v>125</v>
      </c>
      <c r="B133" s="8" t="s">
        <v>254</v>
      </c>
      <c r="C133" s="9" t="s">
        <v>73</v>
      </c>
    </row>
    <row r="134" spans="1:3">
      <c r="A134" t="s">
        <v>125</v>
      </c>
      <c r="B134" s="8" t="s">
        <v>255</v>
      </c>
      <c r="C134" s="9" t="s">
        <v>73</v>
      </c>
    </row>
    <row r="135" spans="1:3">
      <c r="A135" t="s">
        <v>125</v>
      </c>
      <c r="B135" s="8" t="s">
        <v>256</v>
      </c>
      <c r="C135" s="9" t="s">
        <v>73</v>
      </c>
    </row>
    <row r="136" spans="1:3">
      <c r="A136" t="s">
        <v>125</v>
      </c>
      <c r="B136" s="8" t="s">
        <v>257</v>
      </c>
      <c r="C136" s="9" t="s">
        <v>73</v>
      </c>
    </row>
    <row r="137" spans="1:3">
      <c r="A137" t="s">
        <v>125</v>
      </c>
      <c r="B137" s="8" t="s">
        <v>258</v>
      </c>
      <c r="C137" s="9" t="s">
        <v>73</v>
      </c>
    </row>
    <row r="138" spans="1:3">
      <c r="A138" t="s">
        <v>123</v>
      </c>
      <c r="B138" s="8" t="s">
        <v>259</v>
      </c>
      <c r="C138" s="9" t="s">
        <v>73</v>
      </c>
    </row>
    <row r="139" spans="1:3">
      <c r="A139" t="s">
        <v>123</v>
      </c>
      <c r="B139" s="8" t="s">
        <v>260</v>
      </c>
      <c r="C139" s="9" t="s">
        <v>68</v>
      </c>
    </row>
    <row r="140" spans="1:3">
      <c r="A140" t="s">
        <v>123</v>
      </c>
      <c r="B140" s="8" t="s">
        <v>261</v>
      </c>
      <c r="C140" s="9" t="s">
        <v>68</v>
      </c>
    </row>
    <row r="141" spans="1:3">
      <c r="A141" t="s">
        <v>123</v>
      </c>
      <c r="B141" s="8" t="s">
        <v>262</v>
      </c>
      <c r="C141" s="9" t="s">
        <v>68</v>
      </c>
    </row>
    <row r="142" spans="1:3">
      <c r="A142" t="s">
        <v>123</v>
      </c>
      <c r="B142" s="8" t="s">
        <v>263</v>
      </c>
      <c r="C142" s="9" t="s">
        <v>68</v>
      </c>
    </row>
    <row r="143" spans="1:3" ht="26.25">
      <c r="A143" t="s">
        <v>123</v>
      </c>
      <c r="B143" s="8" t="s">
        <v>264</v>
      </c>
      <c r="C143" s="9" t="s">
        <v>68</v>
      </c>
    </row>
    <row r="144" spans="1:3">
      <c r="A144" t="s">
        <v>123</v>
      </c>
      <c r="B144" s="8" t="s">
        <v>265</v>
      </c>
      <c r="C144" s="9" t="s">
        <v>73</v>
      </c>
    </row>
    <row r="145" spans="1:3">
      <c r="A145" t="s">
        <v>123</v>
      </c>
      <c r="B145" s="8" t="s">
        <v>266</v>
      </c>
      <c r="C145" s="9" t="s">
        <v>68</v>
      </c>
    </row>
    <row r="146" spans="1:3">
      <c r="A146" t="s">
        <v>123</v>
      </c>
      <c r="B146" s="8" t="s">
        <v>267</v>
      </c>
      <c r="C146" s="9" t="s">
        <v>68</v>
      </c>
    </row>
    <row r="147" spans="1:3">
      <c r="A147" t="s">
        <v>123</v>
      </c>
      <c r="B147" s="8" t="s">
        <v>268</v>
      </c>
      <c r="C147" s="9" t="s">
        <v>68</v>
      </c>
    </row>
    <row r="148" spans="1:3">
      <c r="A148" t="s">
        <v>125</v>
      </c>
      <c r="B148" s="8" t="s">
        <v>269</v>
      </c>
      <c r="C148" s="9" t="s">
        <v>73</v>
      </c>
    </row>
    <row r="149" spans="1:3">
      <c r="A149" t="s">
        <v>123</v>
      </c>
      <c r="B149" s="8" t="s">
        <v>270</v>
      </c>
      <c r="C149" s="9" t="s">
        <v>73</v>
      </c>
    </row>
    <row r="150" spans="1:3">
      <c r="A150" t="s">
        <v>123</v>
      </c>
      <c r="B150" s="8" t="s">
        <v>271</v>
      </c>
      <c r="C150" s="9" t="s">
        <v>73</v>
      </c>
    </row>
    <row r="151" spans="1:3">
      <c r="A151" t="s">
        <v>125</v>
      </c>
      <c r="B151" s="8" t="s">
        <v>272</v>
      </c>
      <c r="C151" s="9" t="s">
        <v>73</v>
      </c>
    </row>
    <row r="152" spans="1:3">
      <c r="A152" t="s">
        <v>123</v>
      </c>
      <c r="B152" s="8" t="s">
        <v>273</v>
      </c>
      <c r="C152" s="9" t="s">
        <v>73</v>
      </c>
    </row>
    <row r="153" spans="1:3">
      <c r="A153" t="s">
        <v>123</v>
      </c>
      <c r="B153" s="8" t="s">
        <v>274</v>
      </c>
      <c r="C153" s="9" t="s">
        <v>73</v>
      </c>
    </row>
    <row r="154" spans="1:3">
      <c r="A154" t="s">
        <v>123</v>
      </c>
      <c r="B154" s="8" t="s">
        <v>275</v>
      </c>
      <c r="C154" s="9" t="s">
        <v>73</v>
      </c>
    </row>
    <row r="155" spans="1:3">
      <c r="A155" t="s">
        <v>123</v>
      </c>
      <c r="B155" s="8" t="s">
        <v>276</v>
      </c>
      <c r="C155" s="9" t="s">
        <v>73</v>
      </c>
    </row>
    <row r="156" spans="1:3">
      <c r="A156" t="s">
        <v>123</v>
      </c>
      <c r="B156" s="8" t="s">
        <v>277</v>
      </c>
      <c r="C156" s="9" t="s">
        <v>73</v>
      </c>
    </row>
    <row r="157" spans="1:3">
      <c r="A157" t="s">
        <v>123</v>
      </c>
      <c r="B157" s="8" t="s">
        <v>278</v>
      </c>
      <c r="C157" s="9" t="s">
        <v>73</v>
      </c>
    </row>
    <row r="158" spans="1:3">
      <c r="A158" t="s">
        <v>125</v>
      </c>
      <c r="B158" s="8" t="s">
        <v>279</v>
      </c>
      <c r="C158" s="9" t="s">
        <v>73</v>
      </c>
    </row>
    <row r="159" spans="1:3">
      <c r="A159" t="s">
        <v>125</v>
      </c>
      <c r="B159" s="8" t="s">
        <v>280</v>
      </c>
      <c r="C159" s="9" t="s">
        <v>68</v>
      </c>
    </row>
    <row r="160" spans="1:3">
      <c r="A160" t="s">
        <v>125</v>
      </c>
      <c r="B160" s="8" t="s">
        <v>281</v>
      </c>
      <c r="C160" s="9" t="s">
        <v>73</v>
      </c>
    </row>
    <row r="161" spans="1:3">
      <c r="A161" t="s">
        <v>125</v>
      </c>
      <c r="B161" s="8" t="s">
        <v>282</v>
      </c>
      <c r="C161" s="9" t="s">
        <v>73</v>
      </c>
    </row>
    <row r="162" spans="1:3">
      <c r="A162" t="s">
        <v>125</v>
      </c>
      <c r="B162" s="8" t="s">
        <v>283</v>
      </c>
      <c r="C162" s="9" t="s">
        <v>68</v>
      </c>
    </row>
    <row r="163" spans="1:3">
      <c r="A163" t="s">
        <v>123</v>
      </c>
      <c r="B163" s="8" t="s">
        <v>284</v>
      </c>
      <c r="C163" s="9" t="s">
        <v>68</v>
      </c>
    </row>
    <row r="164" spans="1:3">
      <c r="A164" t="s">
        <v>123</v>
      </c>
      <c r="B164" s="8" t="s">
        <v>285</v>
      </c>
      <c r="C164" s="9" t="s">
        <v>68</v>
      </c>
    </row>
    <row r="165" spans="1:3">
      <c r="A165" t="s">
        <v>123</v>
      </c>
      <c r="B165" s="8" t="s">
        <v>286</v>
      </c>
      <c r="C165" s="9" t="s">
        <v>68</v>
      </c>
    </row>
    <row r="166" spans="1:3">
      <c r="A166" t="s">
        <v>125</v>
      </c>
      <c r="B166" s="8" t="s">
        <v>287</v>
      </c>
      <c r="C166" s="9" t="s">
        <v>73</v>
      </c>
    </row>
    <row r="167" spans="1:3">
      <c r="A167" t="s">
        <v>125</v>
      </c>
      <c r="B167" s="8" t="s">
        <v>288</v>
      </c>
      <c r="C167" s="9" t="s">
        <v>68</v>
      </c>
    </row>
    <row r="168" spans="1:3">
      <c r="A168" t="s">
        <v>123</v>
      </c>
      <c r="B168" s="8" t="s">
        <v>289</v>
      </c>
      <c r="C168" s="9" t="s">
        <v>73</v>
      </c>
    </row>
    <row r="169" spans="1:3">
      <c r="A169" t="s">
        <v>123</v>
      </c>
      <c r="B169" s="8" t="s">
        <v>290</v>
      </c>
      <c r="C169" s="9" t="s">
        <v>73</v>
      </c>
    </row>
    <row r="170" spans="1:3">
      <c r="A170" t="s">
        <v>123</v>
      </c>
      <c r="B170" s="8" t="s">
        <v>291</v>
      </c>
      <c r="C170" s="9" t="s">
        <v>73</v>
      </c>
    </row>
    <row r="171" spans="1:3">
      <c r="A171" t="s">
        <v>123</v>
      </c>
      <c r="B171" s="8" t="s">
        <v>292</v>
      </c>
      <c r="C171" s="9" t="s">
        <v>73</v>
      </c>
    </row>
    <row r="172" spans="1:3">
      <c r="A172" t="s">
        <v>123</v>
      </c>
      <c r="B172" s="8" t="s">
        <v>293</v>
      </c>
      <c r="C172" s="9" t="s">
        <v>73</v>
      </c>
    </row>
    <row r="173" spans="1:3">
      <c r="A173" t="s">
        <v>123</v>
      </c>
      <c r="B173" s="8" t="s">
        <v>294</v>
      </c>
      <c r="C173" s="9" t="s">
        <v>73</v>
      </c>
    </row>
    <row r="174" spans="1:3" ht="26.25">
      <c r="A174" t="s">
        <v>123</v>
      </c>
      <c r="B174" s="8" t="s">
        <v>295</v>
      </c>
      <c r="C174" s="9" t="s">
        <v>73</v>
      </c>
    </row>
    <row r="175" spans="1:3">
      <c r="A175" t="s">
        <v>123</v>
      </c>
      <c r="B175" s="8" t="s">
        <v>296</v>
      </c>
      <c r="C175" s="9" t="s">
        <v>73</v>
      </c>
    </row>
    <row r="176" spans="1:3">
      <c r="A176" t="s">
        <v>123</v>
      </c>
      <c r="B176" s="8" t="s">
        <v>297</v>
      </c>
      <c r="C176" s="9" t="s">
        <v>73</v>
      </c>
    </row>
    <row r="177" spans="1:3">
      <c r="A177" t="s">
        <v>123</v>
      </c>
      <c r="B177" s="8" t="s">
        <v>298</v>
      </c>
      <c r="C177" s="9" t="s">
        <v>73</v>
      </c>
    </row>
    <row r="178" spans="1:3" ht="26.25">
      <c r="A178" t="s">
        <v>123</v>
      </c>
      <c r="B178" s="8" t="s">
        <v>299</v>
      </c>
      <c r="C178" s="9" t="s">
        <v>73</v>
      </c>
    </row>
    <row r="179" spans="1:3">
      <c r="A179" t="s">
        <v>125</v>
      </c>
      <c r="B179" s="10" t="s">
        <v>300</v>
      </c>
      <c r="C179" s="9" t="s">
        <v>73</v>
      </c>
    </row>
    <row r="180" spans="1:3">
      <c r="A180" t="s">
        <v>123</v>
      </c>
      <c r="B180" s="8" t="s">
        <v>301</v>
      </c>
      <c r="C180" s="9" t="s">
        <v>73</v>
      </c>
    </row>
    <row r="181" spans="1:3">
      <c r="A181" t="s">
        <v>125</v>
      </c>
      <c r="B181" s="10" t="s">
        <v>302</v>
      </c>
      <c r="C181" s="9" t="s">
        <v>73</v>
      </c>
    </row>
    <row r="182" spans="1:3">
      <c r="A182" t="s">
        <v>125</v>
      </c>
      <c r="B182" s="8" t="s">
        <v>303</v>
      </c>
      <c r="C182" s="9" t="s">
        <v>73</v>
      </c>
    </row>
    <row r="183" spans="1:3">
      <c r="A183" t="s">
        <v>125</v>
      </c>
      <c r="B183" s="8" t="s">
        <v>304</v>
      </c>
      <c r="C183" s="9" t="s">
        <v>73</v>
      </c>
    </row>
    <row r="184" spans="1:3">
      <c r="A184" t="s">
        <v>123</v>
      </c>
      <c r="B184" s="8" t="s">
        <v>305</v>
      </c>
      <c r="C184" s="9" t="s">
        <v>73</v>
      </c>
    </row>
    <row r="185" spans="1:3">
      <c r="A185" t="s">
        <v>123</v>
      </c>
      <c r="B185" s="8" t="s">
        <v>306</v>
      </c>
      <c r="C185" s="9" t="s">
        <v>73</v>
      </c>
    </row>
    <row r="186" spans="1:3" ht="26.25">
      <c r="A186" t="s">
        <v>125</v>
      </c>
      <c r="B186" s="8" t="s">
        <v>307</v>
      </c>
      <c r="C186" s="9" t="s">
        <v>68</v>
      </c>
    </row>
    <row r="187" spans="1:3">
      <c r="A187" t="s">
        <v>125</v>
      </c>
      <c r="B187" s="8" t="s">
        <v>308</v>
      </c>
      <c r="C187" s="9" t="s">
        <v>73</v>
      </c>
    </row>
    <row r="188" spans="1:3">
      <c r="A188" t="s">
        <v>125</v>
      </c>
      <c r="B188" s="8" t="s">
        <v>309</v>
      </c>
      <c r="C188" s="9" t="s">
        <v>73</v>
      </c>
    </row>
    <row r="189" spans="1:3">
      <c r="A189" t="s">
        <v>125</v>
      </c>
      <c r="B189" s="8" t="s">
        <v>310</v>
      </c>
      <c r="C189" s="9" t="s">
        <v>73</v>
      </c>
    </row>
    <row r="190" spans="1:3">
      <c r="A190" t="s">
        <v>123</v>
      </c>
      <c r="B190" s="8" t="s">
        <v>311</v>
      </c>
      <c r="C190" s="9" t="s">
        <v>73</v>
      </c>
    </row>
    <row r="191" spans="1:3">
      <c r="A191" t="s">
        <v>123</v>
      </c>
      <c r="B191" s="8" t="s">
        <v>312</v>
      </c>
      <c r="C191" s="9" t="s">
        <v>73</v>
      </c>
    </row>
    <row r="192" spans="1:3">
      <c r="A192" t="s">
        <v>123</v>
      </c>
      <c r="B192" s="8" t="s">
        <v>313</v>
      </c>
      <c r="C192" s="9" t="s">
        <v>73</v>
      </c>
    </row>
    <row r="193" spans="1:3">
      <c r="A193" t="s">
        <v>125</v>
      </c>
      <c r="B193" s="8" t="s">
        <v>314</v>
      </c>
      <c r="C193" s="9" t="s">
        <v>73</v>
      </c>
    </row>
    <row r="194" spans="1:3">
      <c r="A194" t="s">
        <v>123</v>
      </c>
      <c r="B194" s="8" t="s">
        <v>315</v>
      </c>
      <c r="C194" s="9" t="s">
        <v>73</v>
      </c>
    </row>
    <row r="195" spans="1:3">
      <c r="A195" t="s">
        <v>125</v>
      </c>
      <c r="B195" s="8" t="s">
        <v>316</v>
      </c>
      <c r="C195" s="9" t="s">
        <v>73</v>
      </c>
    </row>
    <row r="196" spans="1:3">
      <c r="A196" t="s">
        <v>123</v>
      </c>
      <c r="B196" s="8" t="s">
        <v>317</v>
      </c>
      <c r="C196" s="9" t="s">
        <v>73</v>
      </c>
    </row>
    <row r="197" spans="1:3">
      <c r="A197" t="s">
        <v>125</v>
      </c>
      <c r="B197" s="8" t="s">
        <v>318</v>
      </c>
      <c r="C197" s="9" t="s">
        <v>73</v>
      </c>
    </row>
    <row r="198" spans="1:3">
      <c r="A198" t="s">
        <v>123</v>
      </c>
      <c r="B198" s="8" t="s">
        <v>319</v>
      </c>
      <c r="C198" s="9" t="s">
        <v>73</v>
      </c>
    </row>
    <row r="199" spans="1:3">
      <c r="A199" t="s">
        <v>123</v>
      </c>
      <c r="B199" s="8" t="s">
        <v>320</v>
      </c>
      <c r="C199" s="9" t="s">
        <v>68</v>
      </c>
    </row>
    <row r="200" spans="1:3">
      <c r="A200" t="s">
        <v>123</v>
      </c>
      <c r="B200" s="8" t="s">
        <v>321</v>
      </c>
      <c r="C200" s="9" t="s">
        <v>73</v>
      </c>
    </row>
    <row r="201" spans="1:3">
      <c r="A201" t="s">
        <v>125</v>
      </c>
      <c r="B201" s="8" t="s">
        <v>322</v>
      </c>
      <c r="C201" s="9" t="s">
        <v>73</v>
      </c>
    </row>
    <row r="202" spans="1:3">
      <c r="A202" t="s">
        <v>123</v>
      </c>
      <c r="B202" s="8" t="s">
        <v>323</v>
      </c>
      <c r="C202" s="9" t="s">
        <v>68</v>
      </c>
    </row>
    <row r="203" spans="1:3">
      <c r="A203" t="s">
        <v>123</v>
      </c>
      <c r="B203" s="8" t="s">
        <v>324</v>
      </c>
      <c r="C203" s="9" t="s">
        <v>73</v>
      </c>
    </row>
    <row r="204" spans="1:3">
      <c r="A204" t="s">
        <v>125</v>
      </c>
      <c r="B204" s="8" t="s">
        <v>325</v>
      </c>
      <c r="C204" s="9" t="s">
        <v>73</v>
      </c>
    </row>
    <row r="205" spans="1:3">
      <c r="A205" t="s">
        <v>123</v>
      </c>
      <c r="B205" s="8" t="s">
        <v>326</v>
      </c>
      <c r="C205" s="9" t="s">
        <v>73</v>
      </c>
    </row>
    <row r="206" spans="1:3">
      <c r="A206" t="s">
        <v>123</v>
      </c>
      <c r="B206" s="8" t="s">
        <v>327</v>
      </c>
      <c r="C206" s="9" t="s">
        <v>73</v>
      </c>
    </row>
    <row r="207" spans="1:3">
      <c r="A207" t="s">
        <v>123</v>
      </c>
      <c r="B207" s="8" t="s">
        <v>328</v>
      </c>
      <c r="C207" s="9" t="s">
        <v>68</v>
      </c>
    </row>
    <row r="208" spans="1:3">
      <c r="A208" t="s">
        <v>123</v>
      </c>
      <c r="B208" s="8" t="s">
        <v>329</v>
      </c>
      <c r="C208" s="9" t="s">
        <v>73</v>
      </c>
    </row>
    <row r="209" spans="1:3">
      <c r="A209" t="s">
        <v>123</v>
      </c>
      <c r="B209" s="8" t="s">
        <v>330</v>
      </c>
      <c r="C209" s="9" t="s">
        <v>134</v>
      </c>
    </row>
    <row r="210" spans="1:3">
      <c r="A210" t="s">
        <v>123</v>
      </c>
      <c r="B210" s="8" t="s">
        <v>331</v>
      </c>
      <c r="C210" s="9" t="s">
        <v>68</v>
      </c>
    </row>
    <row r="211" spans="1:3">
      <c r="A211" t="s">
        <v>123</v>
      </c>
      <c r="B211" s="8" t="s">
        <v>332</v>
      </c>
      <c r="C211" s="9" t="s">
        <v>68</v>
      </c>
    </row>
    <row r="212" spans="1:3">
      <c r="A212" t="s">
        <v>123</v>
      </c>
      <c r="B212" s="8" t="s">
        <v>333</v>
      </c>
      <c r="C212" s="9" t="s">
        <v>68</v>
      </c>
    </row>
    <row r="213" spans="1:3">
      <c r="A213" t="s">
        <v>123</v>
      </c>
      <c r="B213" s="8" t="s">
        <v>334</v>
      </c>
      <c r="C213" s="9" t="s">
        <v>68</v>
      </c>
    </row>
    <row r="214" spans="1:3">
      <c r="A214" t="s">
        <v>125</v>
      </c>
      <c r="B214" s="8" t="s">
        <v>335</v>
      </c>
      <c r="C214" s="9" t="s">
        <v>73</v>
      </c>
    </row>
    <row r="215" spans="1:3">
      <c r="A215" t="s">
        <v>123</v>
      </c>
      <c r="B215" s="8" t="s">
        <v>336</v>
      </c>
      <c r="C215" s="9" t="s">
        <v>68</v>
      </c>
    </row>
    <row r="216" spans="1:3">
      <c r="A216" t="s">
        <v>123</v>
      </c>
      <c r="B216" s="8" t="s">
        <v>337</v>
      </c>
      <c r="C216" s="9" t="s">
        <v>68</v>
      </c>
    </row>
    <row r="217" spans="1:3">
      <c r="A217" t="s">
        <v>125</v>
      </c>
      <c r="B217" s="8" t="s">
        <v>338</v>
      </c>
      <c r="C217" s="9" t="s">
        <v>68</v>
      </c>
    </row>
    <row r="218" spans="1:3">
      <c r="A218" t="s">
        <v>125</v>
      </c>
      <c r="B218" s="8" t="s">
        <v>339</v>
      </c>
      <c r="C218" s="9" t="s">
        <v>68</v>
      </c>
    </row>
    <row r="219" spans="1:3">
      <c r="A219" t="s">
        <v>123</v>
      </c>
      <c r="B219" s="8" t="s">
        <v>340</v>
      </c>
      <c r="C219" s="9" t="s">
        <v>73</v>
      </c>
    </row>
    <row r="220" spans="1:3">
      <c r="A220" t="s">
        <v>123</v>
      </c>
      <c r="B220" s="8" t="s">
        <v>341</v>
      </c>
      <c r="C220" s="9" t="s">
        <v>73</v>
      </c>
    </row>
    <row r="221" spans="1:3">
      <c r="A221" t="s">
        <v>125</v>
      </c>
      <c r="B221" s="8" t="s">
        <v>342</v>
      </c>
      <c r="C221" s="9" t="s">
        <v>68</v>
      </c>
    </row>
    <row r="222" spans="1:3">
      <c r="A222" t="s">
        <v>123</v>
      </c>
      <c r="B222" s="8" t="s">
        <v>343</v>
      </c>
      <c r="C222" s="9" t="s">
        <v>73</v>
      </c>
    </row>
    <row r="223" spans="1:3">
      <c r="A223" t="s">
        <v>123</v>
      </c>
      <c r="B223" s="8" t="s">
        <v>344</v>
      </c>
      <c r="C223" s="9" t="s">
        <v>73</v>
      </c>
    </row>
    <row r="224" spans="1:3" ht="15" customHeight="1">
      <c r="A224" t="s">
        <v>125</v>
      </c>
      <c r="B224" s="8" t="s">
        <v>345</v>
      </c>
      <c r="C224" s="9" t="s">
        <v>73</v>
      </c>
    </row>
    <row r="225" spans="1:3" ht="15" customHeight="1">
      <c r="A225" t="s">
        <v>125</v>
      </c>
      <c r="B225" s="8" t="s">
        <v>346</v>
      </c>
      <c r="C225" s="9" t="s">
        <v>73</v>
      </c>
    </row>
    <row r="226" spans="1:3" ht="15" customHeight="1">
      <c r="A226" t="s">
        <v>123</v>
      </c>
      <c r="B226" s="8" t="s">
        <v>347</v>
      </c>
      <c r="C226" s="9" t="s">
        <v>73</v>
      </c>
    </row>
    <row r="227" spans="1:3" ht="15" customHeight="1">
      <c r="A227" t="s">
        <v>125</v>
      </c>
      <c r="B227" s="8" t="s">
        <v>348</v>
      </c>
      <c r="C227" s="9" t="s">
        <v>73</v>
      </c>
    </row>
    <row r="228" spans="1:3" ht="15" customHeight="1">
      <c r="A228" t="s">
        <v>123</v>
      </c>
      <c r="B228" s="8" t="s">
        <v>349</v>
      </c>
      <c r="C228" s="9" t="s">
        <v>73</v>
      </c>
    </row>
    <row r="229" spans="1:3" ht="15" customHeight="1">
      <c r="A229" t="s">
        <v>123</v>
      </c>
      <c r="B229" s="8" t="s">
        <v>350</v>
      </c>
      <c r="C229" s="9" t="s">
        <v>73</v>
      </c>
    </row>
    <row r="230" spans="1:3" ht="15" customHeight="1">
      <c r="A230" t="s">
        <v>123</v>
      </c>
      <c r="B230" s="8" t="s">
        <v>351</v>
      </c>
      <c r="C230" s="9" t="s">
        <v>68</v>
      </c>
    </row>
    <row r="231" spans="1:3" ht="15" customHeight="1">
      <c r="A231" t="s">
        <v>125</v>
      </c>
      <c r="B231" s="8" t="s">
        <v>352</v>
      </c>
      <c r="C231" s="9" t="s">
        <v>73</v>
      </c>
    </row>
    <row r="232" spans="1:3" ht="15" customHeight="1">
      <c r="A232" t="s">
        <v>123</v>
      </c>
      <c r="B232" s="8" t="s">
        <v>353</v>
      </c>
      <c r="C232" s="9" t="s">
        <v>68</v>
      </c>
    </row>
    <row r="233" spans="1:3" ht="15" customHeight="1">
      <c r="A233" t="s">
        <v>125</v>
      </c>
      <c r="B233" s="8" t="s">
        <v>354</v>
      </c>
      <c r="C233" s="9" t="s">
        <v>73</v>
      </c>
    </row>
    <row r="234" spans="1:3">
      <c r="A234" t="s">
        <v>123</v>
      </c>
      <c r="B234" s="8" t="s">
        <v>355</v>
      </c>
      <c r="C234" s="9" t="s">
        <v>73</v>
      </c>
    </row>
    <row r="235" spans="1:3">
      <c r="A235" t="s">
        <v>125</v>
      </c>
      <c r="B235" s="8" t="s">
        <v>356</v>
      </c>
      <c r="C235" s="9" t="s">
        <v>73</v>
      </c>
    </row>
    <row r="236" spans="1:3">
      <c r="A236" t="s">
        <v>123</v>
      </c>
      <c r="B236" s="8" t="s">
        <v>357</v>
      </c>
      <c r="C236" s="9" t="s">
        <v>73</v>
      </c>
    </row>
    <row r="237" spans="1:3">
      <c r="A237" t="s">
        <v>123</v>
      </c>
      <c r="B237" s="8" t="s">
        <v>358</v>
      </c>
      <c r="C237" s="9" t="s">
        <v>73</v>
      </c>
    </row>
    <row r="238" spans="1:3">
      <c r="A238" t="s">
        <v>123</v>
      </c>
      <c r="B238" s="8" t="s">
        <v>359</v>
      </c>
      <c r="C238" s="9" t="s">
        <v>73</v>
      </c>
    </row>
    <row r="239" spans="1:3">
      <c r="A239" t="s">
        <v>123</v>
      </c>
      <c r="B239" s="8" t="s">
        <v>360</v>
      </c>
      <c r="C239" s="9" t="s">
        <v>73</v>
      </c>
    </row>
    <row r="240" spans="1:3">
      <c r="A240" t="s">
        <v>123</v>
      </c>
      <c r="B240" s="8" t="s">
        <v>361</v>
      </c>
      <c r="C240" s="9" t="s">
        <v>68</v>
      </c>
    </row>
    <row r="241" spans="1:3">
      <c r="A241" t="s">
        <v>123</v>
      </c>
      <c r="B241" s="8" t="s">
        <v>362</v>
      </c>
      <c r="C241" s="9" t="s">
        <v>73</v>
      </c>
    </row>
    <row r="242" spans="1:3">
      <c r="A242" t="s">
        <v>123</v>
      </c>
      <c r="B242" s="8" t="s">
        <v>363</v>
      </c>
      <c r="C242" s="9" t="s">
        <v>68</v>
      </c>
    </row>
    <row r="243" spans="1:3">
      <c r="A243" t="s">
        <v>125</v>
      </c>
      <c r="B243" s="8" t="s">
        <v>364</v>
      </c>
      <c r="C243" s="9" t="s">
        <v>68</v>
      </c>
    </row>
    <row r="244" spans="1:3">
      <c r="A244" t="s">
        <v>123</v>
      </c>
      <c r="B244" s="8" t="s">
        <v>365</v>
      </c>
      <c r="C244" s="9" t="s">
        <v>68</v>
      </c>
    </row>
    <row r="245" spans="1:3">
      <c r="A245" t="s">
        <v>123</v>
      </c>
      <c r="B245" s="8" t="s">
        <v>366</v>
      </c>
      <c r="C245" s="9" t="s">
        <v>73</v>
      </c>
    </row>
    <row r="246" spans="1:3">
      <c r="A246" t="s">
        <v>125</v>
      </c>
      <c r="B246" s="8" t="s">
        <v>367</v>
      </c>
      <c r="C246" s="9" t="s">
        <v>73</v>
      </c>
    </row>
    <row r="247" spans="1:3">
      <c r="A247" t="s">
        <v>125</v>
      </c>
      <c r="B247" s="8" t="s">
        <v>368</v>
      </c>
      <c r="C247" s="9" t="s">
        <v>73</v>
      </c>
    </row>
    <row r="248" spans="1:3" ht="26.25">
      <c r="A248" t="s">
        <v>125</v>
      </c>
      <c r="B248" s="8" t="s">
        <v>369</v>
      </c>
      <c r="C248" s="9" t="s">
        <v>73</v>
      </c>
    </row>
    <row r="249" spans="1:3">
      <c r="A249" t="s">
        <v>123</v>
      </c>
      <c r="B249" s="8" t="s">
        <v>370</v>
      </c>
      <c r="C249" s="9" t="s">
        <v>73</v>
      </c>
    </row>
    <row r="250" spans="1:3">
      <c r="A250" t="s">
        <v>123</v>
      </c>
      <c r="B250" s="8" t="s">
        <v>371</v>
      </c>
      <c r="C250" s="9" t="s">
        <v>73</v>
      </c>
    </row>
    <row r="251" spans="1:3">
      <c r="A251" t="s">
        <v>125</v>
      </c>
      <c r="B251" s="8" t="s">
        <v>372</v>
      </c>
      <c r="C251" s="9" t="s">
        <v>68</v>
      </c>
    </row>
    <row r="252" spans="1:3">
      <c r="A252" t="s">
        <v>123</v>
      </c>
      <c r="B252" s="8" t="s">
        <v>373</v>
      </c>
      <c r="C252" s="9" t="s">
        <v>73</v>
      </c>
    </row>
    <row r="253" spans="1:3">
      <c r="A253" t="s">
        <v>123</v>
      </c>
      <c r="B253" s="8" t="s">
        <v>374</v>
      </c>
      <c r="C253" s="9" t="s">
        <v>68</v>
      </c>
    </row>
    <row r="254" spans="1:3">
      <c r="A254" t="s">
        <v>123</v>
      </c>
      <c r="B254" s="8" t="s">
        <v>375</v>
      </c>
      <c r="C254" s="9" t="s">
        <v>68</v>
      </c>
    </row>
    <row r="255" spans="1:3">
      <c r="A255" t="s">
        <v>123</v>
      </c>
      <c r="B255" s="8" t="s">
        <v>376</v>
      </c>
      <c r="C255" s="9" t="s">
        <v>68</v>
      </c>
    </row>
    <row r="256" spans="1:3">
      <c r="A256" t="s">
        <v>125</v>
      </c>
      <c r="B256" s="8" t="s">
        <v>377</v>
      </c>
      <c r="C256" s="9" t="s">
        <v>73</v>
      </c>
    </row>
    <row r="257" spans="1:3">
      <c r="A257" t="s">
        <v>123</v>
      </c>
      <c r="B257" s="8" t="s">
        <v>378</v>
      </c>
      <c r="C257" s="9" t="s">
        <v>68</v>
      </c>
    </row>
    <row r="258" spans="1:3">
      <c r="A258" t="s">
        <v>123</v>
      </c>
      <c r="B258" s="8" t="s">
        <v>379</v>
      </c>
      <c r="C258" s="9" t="s">
        <v>68</v>
      </c>
    </row>
    <row r="259" spans="1:3">
      <c r="A259" t="s">
        <v>123</v>
      </c>
      <c r="B259" s="8" t="s">
        <v>380</v>
      </c>
      <c r="C259" s="9" t="s">
        <v>68</v>
      </c>
    </row>
    <row r="260" spans="1:3">
      <c r="A260" t="s">
        <v>123</v>
      </c>
      <c r="B260" s="8" t="s">
        <v>381</v>
      </c>
      <c r="C260" s="9" t="s">
        <v>68</v>
      </c>
    </row>
    <row r="261" spans="1:3">
      <c r="A261" t="s">
        <v>123</v>
      </c>
      <c r="B261" s="8" t="s">
        <v>382</v>
      </c>
      <c r="C261" s="9" t="s">
        <v>68</v>
      </c>
    </row>
    <row r="262" spans="1:3">
      <c r="A262" t="s">
        <v>125</v>
      </c>
      <c r="B262" s="8" t="s">
        <v>383</v>
      </c>
      <c r="C262" s="9" t="s">
        <v>73</v>
      </c>
    </row>
    <row r="263" spans="1:3" ht="15" customHeight="1">
      <c r="A263" t="s">
        <v>123</v>
      </c>
      <c r="B263" s="8" t="s">
        <v>384</v>
      </c>
      <c r="C263" s="9" t="s">
        <v>73</v>
      </c>
    </row>
    <row r="264" spans="1:3" ht="15" customHeight="1">
      <c r="A264" t="s">
        <v>123</v>
      </c>
      <c r="B264" s="8" t="s">
        <v>385</v>
      </c>
      <c r="C264" s="9" t="s">
        <v>68</v>
      </c>
    </row>
    <row r="265" spans="1:3" ht="15" customHeight="1">
      <c r="A265" t="s">
        <v>123</v>
      </c>
      <c r="B265" s="8" t="s">
        <v>386</v>
      </c>
      <c r="C265" s="9" t="s">
        <v>68</v>
      </c>
    </row>
    <row r="266" spans="1:3">
      <c r="A266" t="s">
        <v>123</v>
      </c>
      <c r="B266" s="8" t="s">
        <v>107</v>
      </c>
      <c r="C266" s="9" t="s">
        <v>68</v>
      </c>
    </row>
    <row r="267" spans="1:3">
      <c r="A267" t="s">
        <v>123</v>
      </c>
      <c r="B267" s="8" t="s">
        <v>387</v>
      </c>
      <c r="C267" s="9" t="s">
        <v>68</v>
      </c>
    </row>
    <row r="268" spans="1:3">
      <c r="A268" t="s">
        <v>125</v>
      </c>
      <c r="B268" s="10" t="s">
        <v>388</v>
      </c>
      <c r="C268" s="9" t="s">
        <v>73</v>
      </c>
    </row>
    <row r="269" spans="1:3">
      <c r="A269" t="s">
        <v>123</v>
      </c>
      <c r="B269" s="8" t="s">
        <v>389</v>
      </c>
      <c r="C269" s="9" t="s">
        <v>68</v>
      </c>
    </row>
    <row r="270" spans="1:3">
      <c r="A270" t="s">
        <v>123</v>
      </c>
      <c r="B270" s="8" t="s">
        <v>390</v>
      </c>
      <c r="C270" s="9" t="s">
        <v>68</v>
      </c>
    </row>
    <row r="271" spans="1:3">
      <c r="A271" t="s">
        <v>125</v>
      </c>
      <c r="B271" s="8" t="s">
        <v>391</v>
      </c>
      <c r="C271" s="9" t="s">
        <v>68</v>
      </c>
    </row>
    <row r="272" spans="1:3">
      <c r="A272" t="s">
        <v>125</v>
      </c>
      <c r="B272" s="8" t="s">
        <v>392</v>
      </c>
      <c r="C272" s="9" t="s">
        <v>68</v>
      </c>
    </row>
    <row r="273" spans="1:3">
      <c r="A273" t="s">
        <v>123</v>
      </c>
      <c r="B273" s="8" t="s">
        <v>393</v>
      </c>
      <c r="C273" s="9" t="s">
        <v>73</v>
      </c>
    </row>
    <row r="274" spans="1:3">
      <c r="A274" t="s">
        <v>125</v>
      </c>
      <c r="B274" s="8" t="s">
        <v>394</v>
      </c>
      <c r="C274" s="9" t="s">
        <v>68</v>
      </c>
    </row>
    <row r="275" spans="1:3">
      <c r="A275" t="s">
        <v>125</v>
      </c>
      <c r="B275" s="8" t="s">
        <v>395</v>
      </c>
      <c r="C275" s="9" t="s">
        <v>73</v>
      </c>
    </row>
    <row r="276" spans="1:3">
      <c r="A276" t="s">
        <v>125</v>
      </c>
      <c r="B276" s="8" t="s">
        <v>396</v>
      </c>
      <c r="C276" s="9" t="s">
        <v>73</v>
      </c>
    </row>
    <row r="277" spans="1:3">
      <c r="A277" t="s">
        <v>125</v>
      </c>
      <c r="B277" s="8" t="s">
        <v>397</v>
      </c>
      <c r="C277" s="9" t="s">
        <v>73</v>
      </c>
    </row>
    <row r="278" spans="1:3">
      <c r="A278" t="s">
        <v>125</v>
      </c>
      <c r="B278" s="8" t="s">
        <v>398</v>
      </c>
      <c r="C278" s="9" t="s">
        <v>73</v>
      </c>
    </row>
    <row r="279" spans="1:3">
      <c r="A279" t="s">
        <v>123</v>
      </c>
      <c r="B279" s="8" t="s">
        <v>399</v>
      </c>
      <c r="C279" s="9" t="s">
        <v>68</v>
      </c>
    </row>
    <row r="280" spans="1:3">
      <c r="A280" t="s">
        <v>125</v>
      </c>
      <c r="B280" s="10" t="s">
        <v>400</v>
      </c>
      <c r="C280" s="9" t="s">
        <v>68</v>
      </c>
    </row>
    <row r="281" spans="1:3">
      <c r="A281" t="s">
        <v>125</v>
      </c>
      <c r="B281" s="8" t="s">
        <v>401</v>
      </c>
      <c r="C281" s="9" t="s">
        <v>68</v>
      </c>
    </row>
    <row r="282" spans="1:3">
      <c r="A282" t="s">
        <v>125</v>
      </c>
      <c r="B282" s="10" t="s">
        <v>402</v>
      </c>
      <c r="C282" s="9" t="s">
        <v>68</v>
      </c>
    </row>
    <row r="283" spans="1:3">
      <c r="A283" t="s">
        <v>123</v>
      </c>
      <c r="B283" s="8" t="s">
        <v>403</v>
      </c>
      <c r="C283" s="9" t="s">
        <v>68</v>
      </c>
    </row>
    <row r="284" spans="1:3">
      <c r="A284" t="s">
        <v>123</v>
      </c>
      <c r="B284" s="8" t="s">
        <v>404</v>
      </c>
      <c r="C284" s="9" t="s">
        <v>68</v>
      </c>
    </row>
    <row r="285" spans="1:3">
      <c r="A285" t="s">
        <v>125</v>
      </c>
      <c r="B285" s="8" t="s">
        <v>405</v>
      </c>
      <c r="C285" s="9" t="s">
        <v>73</v>
      </c>
    </row>
    <row r="286" spans="1:3">
      <c r="A286" t="s">
        <v>123</v>
      </c>
      <c r="B286" s="8" t="s">
        <v>406</v>
      </c>
      <c r="C286" s="9" t="s">
        <v>73</v>
      </c>
    </row>
    <row r="287" spans="1:3">
      <c r="A287" t="s">
        <v>123</v>
      </c>
      <c r="B287" s="8" t="s">
        <v>407</v>
      </c>
      <c r="C287" s="9" t="s">
        <v>73</v>
      </c>
    </row>
    <row r="288" spans="1:3">
      <c r="A288" t="s">
        <v>125</v>
      </c>
      <c r="B288" s="8" t="s">
        <v>408</v>
      </c>
      <c r="C288" s="9" t="s">
        <v>68</v>
      </c>
    </row>
    <row r="289" spans="1:3">
      <c r="A289" t="s">
        <v>125</v>
      </c>
      <c r="B289" s="8" t="s">
        <v>409</v>
      </c>
      <c r="C289" s="9" t="s">
        <v>73</v>
      </c>
    </row>
    <row r="290" spans="1:3">
      <c r="A290" t="s">
        <v>125</v>
      </c>
      <c r="B290" s="8" t="s">
        <v>410</v>
      </c>
      <c r="C290" s="9" t="s">
        <v>68</v>
      </c>
    </row>
    <row r="291" spans="1:3">
      <c r="A291" t="s">
        <v>125</v>
      </c>
      <c r="B291" s="8" t="s">
        <v>411</v>
      </c>
      <c r="C291" s="9" t="s">
        <v>68</v>
      </c>
    </row>
    <row r="292" spans="1:3">
      <c r="A292" t="s">
        <v>123</v>
      </c>
      <c r="B292" s="8" t="s">
        <v>412</v>
      </c>
      <c r="C292" s="9" t="s">
        <v>68</v>
      </c>
    </row>
    <row r="293" spans="1:3">
      <c r="A293" t="s">
        <v>123</v>
      </c>
      <c r="B293" s="8" t="s">
        <v>413</v>
      </c>
      <c r="C293" s="9" t="s">
        <v>73</v>
      </c>
    </row>
    <row r="294" spans="1:3">
      <c r="A294" t="s">
        <v>123</v>
      </c>
      <c r="B294" s="8" t="s">
        <v>414</v>
      </c>
      <c r="C294" s="9" t="s">
        <v>73</v>
      </c>
    </row>
    <row r="295" spans="1:3">
      <c r="A295" t="s">
        <v>123</v>
      </c>
      <c r="B295" s="8" t="s">
        <v>415</v>
      </c>
      <c r="C295" s="9" t="s">
        <v>68</v>
      </c>
    </row>
    <row r="296" spans="1:3">
      <c r="A296" t="s">
        <v>123</v>
      </c>
      <c r="B296" s="8" t="s">
        <v>416</v>
      </c>
      <c r="C296" s="9" t="s">
        <v>73</v>
      </c>
    </row>
    <row r="297" spans="1:3">
      <c r="A297" t="s">
        <v>123</v>
      </c>
      <c r="B297" s="8" t="s">
        <v>417</v>
      </c>
      <c r="C297" s="9" t="s">
        <v>73</v>
      </c>
    </row>
    <row r="298" spans="1:3">
      <c r="A298" t="s">
        <v>125</v>
      </c>
      <c r="B298" s="8" t="s">
        <v>418</v>
      </c>
      <c r="C298" s="9" t="s">
        <v>73</v>
      </c>
    </row>
    <row r="299" spans="1:3">
      <c r="A299" t="s">
        <v>125</v>
      </c>
      <c r="B299" s="8" t="s">
        <v>419</v>
      </c>
      <c r="C299" s="9" t="s">
        <v>68</v>
      </c>
    </row>
    <row r="300" spans="1:3" ht="15" customHeight="1">
      <c r="A300" t="s">
        <v>125</v>
      </c>
      <c r="B300" s="8" t="s">
        <v>420</v>
      </c>
      <c r="C300" s="9" t="s">
        <v>68</v>
      </c>
    </row>
    <row r="301" spans="1:3" ht="15" customHeight="1">
      <c r="A301" t="s">
        <v>125</v>
      </c>
      <c r="B301" s="8" t="s">
        <v>421</v>
      </c>
      <c r="C301" s="9" t="s">
        <v>73</v>
      </c>
    </row>
    <row r="302" spans="1:3">
      <c r="A302" t="s">
        <v>125</v>
      </c>
      <c r="B302" s="8" t="s">
        <v>422</v>
      </c>
      <c r="C302" s="9" t="s">
        <v>423</v>
      </c>
    </row>
    <row r="303" spans="1:3">
      <c r="A303" t="s">
        <v>123</v>
      </c>
      <c r="B303" s="8" t="s">
        <v>424</v>
      </c>
      <c r="C303" s="9" t="s">
        <v>73</v>
      </c>
    </row>
    <row r="304" spans="1:3">
      <c r="A304" t="s">
        <v>125</v>
      </c>
      <c r="B304" s="8" t="s">
        <v>425</v>
      </c>
      <c r="C304" s="9" t="s">
        <v>73</v>
      </c>
    </row>
    <row r="305" spans="1:3">
      <c r="A305" t="s">
        <v>123</v>
      </c>
      <c r="B305" s="8" t="s">
        <v>426</v>
      </c>
      <c r="C305" s="9" t="s">
        <v>73</v>
      </c>
    </row>
    <row r="306" spans="1:3">
      <c r="A306" t="s">
        <v>125</v>
      </c>
      <c r="B306" s="8" t="s">
        <v>427</v>
      </c>
      <c r="C306" s="9" t="s">
        <v>68</v>
      </c>
    </row>
    <row r="307" spans="1:3">
      <c r="A307" t="s">
        <v>123</v>
      </c>
      <c r="B307" s="8" t="s">
        <v>428</v>
      </c>
      <c r="C307" s="9" t="s">
        <v>68</v>
      </c>
    </row>
    <row r="308" spans="1:3">
      <c r="A308" t="s">
        <v>123</v>
      </c>
      <c r="B308" s="8" t="s">
        <v>429</v>
      </c>
      <c r="C308" s="9" t="s">
        <v>68</v>
      </c>
    </row>
    <row r="309" spans="1:3">
      <c r="A309" t="s">
        <v>123</v>
      </c>
      <c r="B309" s="8" t="s">
        <v>430</v>
      </c>
      <c r="C309" s="9" t="s">
        <v>68</v>
      </c>
    </row>
    <row r="310" spans="1:3">
      <c r="A310" t="s">
        <v>123</v>
      </c>
      <c r="B310" s="8" t="s">
        <v>431</v>
      </c>
      <c r="C310" s="9" t="s">
        <v>68</v>
      </c>
    </row>
    <row r="311" spans="1:3">
      <c r="A311" t="s">
        <v>125</v>
      </c>
      <c r="B311" s="8" t="s">
        <v>432</v>
      </c>
      <c r="C311" s="9" t="s">
        <v>73</v>
      </c>
    </row>
    <row r="312" spans="1:3">
      <c r="A312" t="s">
        <v>123</v>
      </c>
      <c r="B312" s="8" t="s">
        <v>433</v>
      </c>
      <c r="C312" s="9" t="s">
        <v>73</v>
      </c>
    </row>
    <row r="313" spans="1:3">
      <c r="A313" t="s">
        <v>123</v>
      </c>
      <c r="B313" s="8" t="s">
        <v>434</v>
      </c>
      <c r="C313" s="9" t="s">
        <v>73</v>
      </c>
    </row>
    <row r="314" spans="1:3">
      <c r="A314" t="s">
        <v>125</v>
      </c>
      <c r="B314" s="8" t="s">
        <v>435</v>
      </c>
      <c r="C314" s="9" t="s">
        <v>73</v>
      </c>
    </row>
    <row r="315" spans="1:3">
      <c r="A315" t="s">
        <v>125</v>
      </c>
      <c r="B315" s="8" t="s">
        <v>436</v>
      </c>
      <c r="C315" s="9" t="s">
        <v>73</v>
      </c>
    </row>
    <row r="316" spans="1:3">
      <c r="A316" t="s">
        <v>123</v>
      </c>
      <c r="B316" s="8" t="s">
        <v>437</v>
      </c>
      <c r="C316" s="9" t="s">
        <v>73</v>
      </c>
    </row>
    <row r="317" spans="1:3">
      <c r="A317" t="s">
        <v>125</v>
      </c>
      <c r="B317" s="8" t="s">
        <v>438</v>
      </c>
      <c r="C317" s="9" t="s">
        <v>73</v>
      </c>
    </row>
    <row r="318" spans="1:3" ht="15" customHeight="1">
      <c r="A318" t="s">
        <v>123</v>
      </c>
      <c r="B318" s="8" t="s">
        <v>439</v>
      </c>
      <c r="C318" s="9" t="s">
        <v>73</v>
      </c>
    </row>
    <row r="319" spans="1:3" ht="15" customHeight="1">
      <c r="A319" t="s">
        <v>125</v>
      </c>
      <c r="B319" s="8" t="s">
        <v>440</v>
      </c>
      <c r="C319" s="9" t="s">
        <v>68</v>
      </c>
    </row>
    <row r="320" spans="1:3" ht="15" customHeight="1">
      <c r="A320" t="s">
        <v>125</v>
      </c>
      <c r="B320" s="8" t="s">
        <v>441</v>
      </c>
      <c r="C320" s="9" t="s">
        <v>68</v>
      </c>
    </row>
    <row r="321" spans="1:3" ht="15" customHeight="1">
      <c r="A321" t="s">
        <v>125</v>
      </c>
      <c r="B321" s="8" t="s">
        <v>442</v>
      </c>
      <c r="C321" s="9" t="s">
        <v>73</v>
      </c>
    </row>
    <row r="322" spans="1:3" ht="15" customHeight="1">
      <c r="A322" t="s">
        <v>123</v>
      </c>
      <c r="B322" s="8" t="s">
        <v>443</v>
      </c>
      <c r="C322" s="9" t="s">
        <v>73</v>
      </c>
    </row>
    <row r="323" spans="1:3" ht="15" customHeight="1">
      <c r="A323" t="s">
        <v>123</v>
      </c>
      <c r="B323" s="8" t="s">
        <v>444</v>
      </c>
      <c r="C323" s="9" t="s">
        <v>73</v>
      </c>
    </row>
    <row r="324" spans="1:3" ht="15" customHeight="1">
      <c r="A324" t="s">
        <v>123</v>
      </c>
      <c r="B324" s="8" t="s">
        <v>445</v>
      </c>
      <c r="C324" s="9" t="s">
        <v>73</v>
      </c>
    </row>
    <row r="325" spans="1:3" ht="15" customHeight="1">
      <c r="A325" t="s">
        <v>123</v>
      </c>
      <c r="B325" s="8" t="s">
        <v>446</v>
      </c>
      <c r="C325" s="9" t="s">
        <v>73</v>
      </c>
    </row>
    <row r="326" spans="1:3" ht="15" customHeight="1">
      <c r="A326" t="s">
        <v>123</v>
      </c>
      <c r="B326" s="8" t="s">
        <v>447</v>
      </c>
      <c r="C326" s="9" t="s">
        <v>73</v>
      </c>
    </row>
    <row r="327" spans="1:3">
      <c r="A327" t="s">
        <v>123</v>
      </c>
      <c r="B327" s="8" t="s">
        <v>448</v>
      </c>
      <c r="C327" s="9" t="s">
        <v>73</v>
      </c>
    </row>
    <row r="328" spans="1:3">
      <c r="A328" t="s">
        <v>123</v>
      </c>
      <c r="B328" s="8" t="s">
        <v>449</v>
      </c>
      <c r="C328" s="9" t="s">
        <v>73</v>
      </c>
    </row>
    <row r="329" spans="1:3" ht="26.25">
      <c r="A329" t="s">
        <v>123</v>
      </c>
      <c r="B329" s="8" t="s">
        <v>450</v>
      </c>
      <c r="C329" s="9" t="s">
        <v>68</v>
      </c>
    </row>
    <row r="330" spans="1:3">
      <c r="A330" t="s">
        <v>125</v>
      </c>
      <c r="B330" s="8" t="s">
        <v>451</v>
      </c>
      <c r="C330" s="9" t="s">
        <v>73</v>
      </c>
    </row>
    <row r="331" spans="1:3">
      <c r="A331" t="s">
        <v>125</v>
      </c>
      <c r="B331" s="8" t="s">
        <v>452</v>
      </c>
      <c r="C331" s="9" t="s">
        <v>73</v>
      </c>
    </row>
    <row r="332" spans="1:3">
      <c r="A332" t="s">
        <v>123</v>
      </c>
      <c r="B332" s="8" t="s">
        <v>453</v>
      </c>
      <c r="C332" s="9" t="s">
        <v>68</v>
      </c>
    </row>
    <row r="333" spans="1:3">
      <c r="A333" t="s">
        <v>123</v>
      </c>
      <c r="B333" s="8" t="s">
        <v>454</v>
      </c>
      <c r="C333" s="9" t="s">
        <v>73</v>
      </c>
    </row>
    <row r="334" spans="1:3" ht="26.25">
      <c r="A334" t="s">
        <v>125</v>
      </c>
      <c r="B334" s="8" t="s">
        <v>455</v>
      </c>
      <c r="C334" s="9" t="s">
        <v>73</v>
      </c>
    </row>
    <row r="335" spans="1:3" ht="26.25">
      <c r="A335" t="s">
        <v>125</v>
      </c>
      <c r="B335" s="8" t="s">
        <v>456</v>
      </c>
      <c r="C335" s="9" t="s">
        <v>73</v>
      </c>
    </row>
    <row r="336" spans="1:3">
      <c r="A336" t="s">
        <v>123</v>
      </c>
      <c r="B336" s="8" t="s">
        <v>457</v>
      </c>
      <c r="C336" s="9" t="s">
        <v>73</v>
      </c>
    </row>
    <row r="337" spans="1:3">
      <c r="A337" t="s">
        <v>123</v>
      </c>
      <c r="B337" s="8" t="s">
        <v>458</v>
      </c>
      <c r="C337" s="9" t="s">
        <v>73</v>
      </c>
    </row>
    <row r="338" spans="1:3">
      <c r="A338" t="s">
        <v>123</v>
      </c>
      <c r="B338" s="8" t="s">
        <v>459</v>
      </c>
      <c r="C338" s="9" t="s">
        <v>73</v>
      </c>
    </row>
    <row r="339" spans="1:3">
      <c r="A339" t="s">
        <v>125</v>
      </c>
      <c r="B339" s="8" t="s">
        <v>460</v>
      </c>
      <c r="C339" s="9" t="s">
        <v>68</v>
      </c>
    </row>
    <row r="340" spans="1:3">
      <c r="A340" t="s">
        <v>123</v>
      </c>
      <c r="B340" s="8" t="s">
        <v>461</v>
      </c>
      <c r="C340" s="9" t="s">
        <v>73</v>
      </c>
    </row>
    <row r="341" spans="1:3">
      <c r="A341" t="s">
        <v>123</v>
      </c>
      <c r="B341" s="8" t="s">
        <v>462</v>
      </c>
      <c r="C341" s="9" t="s">
        <v>73</v>
      </c>
    </row>
    <row r="342" spans="1:3">
      <c r="A342" t="s">
        <v>123</v>
      </c>
      <c r="B342" s="8" t="s">
        <v>463</v>
      </c>
      <c r="C342" s="9" t="s">
        <v>73</v>
      </c>
    </row>
    <row r="343" spans="1:3">
      <c r="A343" t="s">
        <v>125</v>
      </c>
      <c r="B343" s="8" t="s">
        <v>464</v>
      </c>
      <c r="C343" s="9" t="s">
        <v>73</v>
      </c>
    </row>
    <row r="344" spans="1:3">
      <c r="A344" t="s">
        <v>123</v>
      </c>
      <c r="B344" s="8" t="s">
        <v>465</v>
      </c>
      <c r="C344" s="9" t="s">
        <v>73</v>
      </c>
    </row>
    <row r="345" spans="1:3">
      <c r="A345" t="s">
        <v>125</v>
      </c>
      <c r="B345" s="8" t="s">
        <v>466</v>
      </c>
      <c r="C345" s="9" t="s">
        <v>73</v>
      </c>
    </row>
    <row r="346" spans="1:3">
      <c r="A346" t="s">
        <v>123</v>
      </c>
      <c r="B346" s="8" t="s">
        <v>467</v>
      </c>
      <c r="C346" s="9" t="s">
        <v>68</v>
      </c>
    </row>
    <row r="347" spans="1:3" ht="15" customHeight="1">
      <c r="A347" t="s">
        <v>123</v>
      </c>
      <c r="B347" s="8" t="s">
        <v>468</v>
      </c>
      <c r="C347" s="9" t="s">
        <v>68</v>
      </c>
    </row>
    <row r="348" spans="1:3">
      <c r="A348" t="s">
        <v>123</v>
      </c>
      <c r="B348" s="8" t="s">
        <v>469</v>
      </c>
      <c r="C348" s="9" t="s">
        <v>73</v>
      </c>
    </row>
    <row r="349" spans="1:3">
      <c r="A349" t="s">
        <v>123</v>
      </c>
      <c r="B349" s="8" t="s">
        <v>470</v>
      </c>
      <c r="C349" s="9" t="s">
        <v>68</v>
      </c>
    </row>
    <row r="350" spans="1:3">
      <c r="A350" t="s">
        <v>125</v>
      </c>
      <c r="B350" s="8" t="s">
        <v>471</v>
      </c>
      <c r="C350" s="9" t="s">
        <v>68</v>
      </c>
    </row>
    <row r="351" spans="1:3">
      <c r="A351" t="s">
        <v>123</v>
      </c>
      <c r="B351" s="8" t="s">
        <v>472</v>
      </c>
      <c r="C351" s="9" t="s">
        <v>68</v>
      </c>
    </row>
    <row r="352" spans="1:3">
      <c r="A352" t="s">
        <v>123</v>
      </c>
      <c r="B352" s="8" t="s">
        <v>473</v>
      </c>
      <c r="C352" s="9" t="s">
        <v>68</v>
      </c>
    </row>
    <row r="353" spans="1:3">
      <c r="A353" t="s">
        <v>123</v>
      </c>
      <c r="B353" s="8" t="s">
        <v>474</v>
      </c>
      <c r="C353" s="9" t="s">
        <v>68</v>
      </c>
    </row>
    <row r="354" spans="1:3" ht="26.25">
      <c r="A354" t="s">
        <v>123</v>
      </c>
      <c r="B354" s="8" t="s">
        <v>475</v>
      </c>
      <c r="C354" s="9" t="s">
        <v>68</v>
      </c>
    </row>
    <row r="355" spans="1:3">
      <c r="A355" t="s">
        <v>123</v>
      </c>
      <c r="B355" s="11" t="s">
        <v>476</v>
      </c>
      <c r="C355" s="9" t="s">
        <v>68</v>
      </c>
    </row>
    <row r="356" spans="1:3">
      <c r="A356" t="s">
        <v>123</v>
      </c>
      <c r="B356" s="8" t="s">
        <v>477</v>
      </c>
      <c r="C356" s="9" t="s">
        <v>68</v>
      </c>
    </row>
    <row r="357" spans="1:3">
      <c r="A357" t="s">
        <v>125</v>
      </c>
      <c r="B357" s="8" t="s">
        <v>478</v>
      </c>
      <c r="C357" s="9" t="s">
        <v>68</v>
      </c>
    </row>
    <row r="358" spans="1:3">
      <c r="A358" t="s">
        <v>123</v>
      </c>
      <c r="B358" s="8" t="s">
        <v>479</v>
      </c>
      <c r="C358" s="9" t="s">
        <v>68</v>
      </c>
    </row>
    <row r="359" spans="1:3" ht="26.25">
      <c r="A359" t="s">
        <v>123</v>
      </c>
      <c r="B359" s="8" t="s">
        <v>480</v>
      </c>
      <c r="C359" s="9" t="s">
        <v>68</v>
      </c>
    </row>
    <row r="360" spans="1:3" ht="26.25">
      <c r="A360" t="s">
        <v>123</v>
      </c>
      <c r="B360" s="8" t="s">
        <v>481</v>
      </c>
      <c r="C360" s="9" t="s">
        <v>68</v>
      </c>
    </row>
    <row r="361" spans="1:3" ht="26.25">
      <c r="A361" t="s">
        <v>125</v>
      </c>
      <c r="B361" s="8" t="s">
        <v>482</v>
      </c>
      <c r="C361" s="9" t="s">
        <v>73</v>
      </c>
    </row>
    <row r="362" spans="1:3">
      <c r="A362" t="s">
        <v>123</v>
      </c>
      <c r="B362" s="8" t="s">
        <v>483</v>
      </c>
      <c r="C362" s="9" t="s">
        <v>68</v>
      </c>
    </row>
    <row r="363" spans="1:3" ht="25.5">
      <c r="A363" t="s">
        <v>125</v>
      </c>
      <c r="B363" s="10" t="s">
        <v>484</v>
      </c>
      <c r="C363" s="9" t="s">
        <v>68</v>
      </c>
    </row>
    <row r="364" spans="1:3">
      <c r="A364" t="s">
        <v>123</v>
      </c>
      <c r="B364" s="8" t="s">
        <v>485</v>
      </c>
      <c r="C364" s="9" t="s">
        <v>73</v>
      </c>
    </row>
    <row r="365" spans="1:3">
      <c r="A365" t="s">
        <v>123</v>
      </c>
      <c r="B365" s="8" t="s">
        <v>486</v>
      </c>
      <c r="C365" s="9" t="s">
        <v>73</v>
      </c>
    </row>
    <row r="366" spans="1:3">
      <c r="A366" t="s">
        <v>125</v>
      </c>
      <c r="B366" s="8" t="s">
        <v>487</v>
      </c>
      <c r="C366" s="9" t="s">
        <v>73</v>
      </c>
    </row>
    <row r="367" spans="1:3">
      <c r="A367" t="s">
        <v>125</v>
      </c>
      <c r="B367" s="8" t="s">
        <v>488</v>
      </c>
      <c r="C367" s="9" t="s">
        <v>73</v>
      </c>
    </row>
    <row r="368" spans="1:3">
      <c r="A368" t="s">
        <v>125</v>
      </c>
      <c r="B368" s="8" t="s">
        <v>489</v>
      </c>
      <c r="C368" s="9" t="s">
        <v>73</v>
      </c>
    </row>
    <row r="369" spans="1:3">
      <c r="A369" t="s">
        <v>125</v>
      </c>
      <c r="B369" s="8" t="s">
        <v>490</v>
      </c>
      <c r="C369" s="9" t="s">
        <v>73</v>
      </c>
    </row>
    <row r="370" spans="1:3">
      <c r="A370" t="s">
        <v>123</v>
      </c>
      <c r="B370" s="8" t="s">
        <v>491</v>
      </c>
      <c r="C370" s="9" t="s">
        <v>73</v>
      </c>
    </row>
    <row r="371" spans="1:3">
      <c r="A371" t="s">
        <v>125</v>
      </c>
      <c r="B371" s="8" t="s">
        <v>492</v>
      </c>
      <c r="C371" s="9" t="s">
        <v>73</v>
      </c>
    </row>
    <row r="372" spans="1:3">
      <c r="A372" t="s">
        <v>123</v>
      </c>
      <c r="B372" s="8" t="s">
        <v>493</v>
      </c>
      <c r="C372" s="9" t="s">
        <v>73</v>
      </c>
    </row>
    <row r="373" spans="1:3">
      <c r="A373" t="s">
        <v>123</v>
      </c>
      <c r="B373" s="8" t="s">
        <v>494</v>
      </c>
      <c r="C373" s="9" t="s">
        <v>73</v>
      </c>
    </row>
    <row r="374" spans="1:3">
      <c r="A374" t="s">
        <v>125</v>
      </c>
      <c r="B374" s="8" t="s">
        <v>495</v>
      </c>
      <c r="C374" s="9" t="s">
        <v>73</v>
      </c>
    </row>
    <row r="375" spans="1:3">
      <c r="A375" t="s">
        <v>123</v>
      </c>
      <c r="B375" s="8" t="s">
        <v>496</v>
      </c>
      <c r="C375" s="9" t="s">
        <v>73</v>
      </c>
    </row>
    <row r="376" spans="1:3">
      <c r="A376" t="s">
        <v>123</v>
      </c>
      <c r="B376" s="8" t="s">
        <v>497</v>
      </c>
      <c r="C376" s="9" t="s">
        <v>73</v>
      </c>
    </row>
    <row r="377" spans="1:3">
      <c r="A377" t="s">
        <v>123</v>
      </c>
      <c r="B377" s="8" t="s">
        <v>498</v>
      </c>
      <c r="C377" s="9" t="s">
        <v>73</v>
      </c>
    </row>
    <row r="378" spans="1:3">
      <c r="A378" t="s">
        <v>125</v>
      </c>
      <c r="B378" s="8" t="s">
        <v>499</v>
      </c>
      <c r="C378" s="9" t="s">
        <v>68</v>
      </c>
    </row>
    <row r="379" spans="1:3">
      <c r="A379" t="s">
        <v>125</v>
      </c>
      <c r="B379" s="8" t="s">
        <v>500</v>
      </c>
      <c r="C379" s="9" t="s">
        <v>68</v>
      </c>
    </row>
    <row r="380" spans="1:3">
      <c r="A380" t="s">
        <v>125</v>
      </c>
      <c r="B380" s="8" t="s">
        <v>501</v>
      </c>
      <c r="C380" s="9" t="s">
        <v>73</v>
      </c>
    </row>
    <row r="381" spans="1:3">
      <c r="A381" t="s">
        <v>125</v>
      </c>
      <c r="B381" s="8" t="s">
        <v>502</v>
      </c>
      <c r="C381" s="9" t="s">
        <v>73</v>
      </c>
    </row>
    <row r="382" spans="1:3">
      <c r="A382" t="s">
        <v>125</v>
      </c>
      <c r="B382" s="8" t="s">
        <v>503</v>
      </c>
      <c r="C382" s="9" t="s">
        <v>73</v>
      </c>
    </row>
    <row r="383" spans="1:3">
      <c r="A383" t="s">
        <v>125</v>
      </c>
      <c r="B383" s="8" t="s">
        <v>504</v>
      </c>
      <c r="C383" s="9" t="s">
        <v>73</v>
      </c>
    </row>
    <row r="384" spans="1:3">
      <c r="A384" t="s">
        <v>123</v>
      </c>
      <c r="B384" s="8" t="s">
        <v>505</v>
      </c>
      <c r="C384" s="9" t="s">
        <v>68</v>
      </c>
    </row>
    <row r="385" spans="1:3">
      <c r="A385" t="s">
        <v>123</v>
      </c>
      <c r="B385" s="8" t="s">
        <v>506</v>
      </c>
      <c r="C385" s="9" t="s">
        <v>68</v>
      </c>
    </row>
    <row r="386" spans="1:3">
      <c r="A386" t="s">
        <v>125</v>
      </c>
      <c r="B386" s="8" t="s">
        <v>507</v>
      </c>
      <c r="C386" s="9" t="s">
        <v>68</v>
      </c>
    </row>
    <row r="387" spans="1:3">
      <c r="A387" t="s">
        <v>125</v>
      </c>
      <c r="B387" s="8" t="s">
        <v>508</v>
      </c>
      <c r="C387" s="9" t="s">
        <v>68</v>
      </c>
    </row>
    <row r="388" spans="1:3">
      <c r="A388" t="s">
        <v>125</v>
      </c>
      <c r="B388" s="8" t="s">
        <v>509</v>
      </c>
      <c r="C388" s="9" t="s">
        <v>68</v>
      </c>
    </row>
    <row r="389" spans="1:3">
      <c r="A389" t="s">
        <v>123</v>
      </c>
      <c r="B389" s="8" t="s">
        <v>510</v>
      </c>
      <c r="C389" s="9" t="s">
        <v>73</v>
      </c>
    </row>
    <row r="390" spans="1:3">
      <c r="A390" t="s">
        <v>123</v>
      </c>
      <c r="B390" s="8" t="s">
        <v>511</v>
      </c>
      <c r="C390" s="9" t="s">
        <v>73</v>
      </c>
    </row>
    <row r="391" spans="1:3">
      <c r="A391" t="s">
        <v>125</v>
      </c>
      <c r="B391" s="8" t="s">
        <v>512</v>
      </c>
      <c r="C391" s="9" t="s">
        <v>68</v>
      </c>
    </row>
    <row r="392" spans="1:3">
      <c r="A392" t="s">
        <v>123</v>
      </c>
      <c r="B392" s="8" t="s">
        <v>513</v>
      </c>
      <c r="C392" s="9" t="s">
        <v>73</v>
      </c>
    </row>
    <row r="393" spans="1:3">
      <c r="A393" t="s">
        <v>123</v>
      </c>
      <c r="B393" s="8" t="s">
        <v>514</v>
      </c>
      <c r="C393" s="9" t="s">
        <v>73</v>
      </c>
    </row>
    <row r="394" spans="1:3">
      <c r="A394" t="s">
        <v>125</v>
      </c>
      <c r="B394" s="8" t="s">
        <v>515</v>
      </c>
      <c r="C394" s="9" t="s">
        <v>73</v>
      </c>
    </row>
    <row r="395" spans="1:3">
      <c r="A395" t="s">
        <v>123</v>
      </c>
      <c r="B395" s="8" t="s">
        <v>516</v>
      </c>
      <c r="C395" s="9" t="s">
        <v>73</v>
      </c>
    </row>
    <row r="396" spans="1:3">
      <c r="A396" t="s">
        <v>123</v>
      </c>
      <c r="B396" s="8" t="s">
        <v>517</v>
      </c>
      <c r="C396" s="9" t="s">
        <v>73</v>
      </c>
    </row>
    <row r="397" spans="1:3">
      <c r="A397" t="s">
        <v>125</v>
      </c>
      <c r="B397" s="8" t="s">
        <v>518</v>
      </c>
      <c r="C397" s="9" t="s">
        <v>73</v>
      </c>
    </row>
    <row r="398" spans="1:3">
      <c r="A398" t="s">
        <v>123</v>
      </c>
      <c r="B398" s="8" t="s">
        <v>519</v>
      </c>
      <c r="C398" s="9" t="s">
        <v>68</v>
      </c>
    </row>
    <row r="399" spans="1:3">
      <c r="A399" t="s">
        <v>123</v>
      </c>
      <c r="B399" s="8" t="s">
        <v>520</v>
      </c>
      <c r="C399" s="9" t="s">
        <v>73</v>
      </c>
    </row>
    <row r="400" spans="1:3">
      <c r="A400" t="s">
        <v>123</v>
      </c>
      <c r="B400" s="8" t="s">
        <v>521</v>
      </c>
      <c r="C400" s="9" t="s">
        <v>73</v>
      </c>
    </row>
    <row r="401" spans="1:3">
      <c r="A401" t="s">
        <v>123</v>
      </c>
      <c r="B401" s="8" t="s">
        <v>522</v>
      </c>
      <c r="C401" s="9" t="s">
        <v>73</v>
      </c>
    </row>
    <row r="402" spans="1:3">
      <c r="A402" t="s">
        <v>123</v>
      </c>
      <c r="B402" s="8" t="s">
        <v>523</v>
      </c>
      <c r="C402" s="9" t="s">
        <v>73</v>
      </c>
    </row>
    <row r="403" spans="1:3">
      <c r="A403" t="s">
        <v>125</v>
      </c>
      <c r="B403" s="8" t="s">
        <v>524</v>
      </c>
      <c r="C403" s="9" t="s">
        <v>73</v>
      </c>
    </row>
    <row r="404" spans="1:3">
      <c r="A404" t="s">
        <v>123</v>
      </c>
      <c r="B404" s="8" t="s">
        <v>525</v>
      </c>
      <c r="C404" s="9" t="s">
        <v>73</v>
      </c>
    </row>
    <row r="405" spans="1:3">
      <c r="A405" t="s">
        <v>123</v>
      </c>
      <c r="B405" s="8" t="s">
        <v>526</v>
      </c>
      <c r="C405" s="9" t="s">
        <v>73</v>
      </c>
    </row>
    <row r="406" spans="1:3">
      <c r="A406" t="s">
        <v>125</v>
      </c>
      <c r="B406" s="8" t="s">
        <v>527</v>
      </c>
      <c r="C406" s="9" t="s">
        <v>68</v>
      </c>
    </row>
    <row r="407" spans="1:3">
      <c r="A407" t="s">
        <v>125</v>
      </c>
      <c r="B407" s="8" t="s">
        <v>528</v>
      </c>
      <c r="C407" s="9" t="s">
        <v>73</v>
      </c>
    </row>
    <row r="408" spans="1:3">
      <c r="A408" t="s">
        <v>125</v>
      </c>
      <c r="B408" s="8" t="s">
        <v>529</v>
      </c>
      <c r="C408" s="9" t="s">
        <v>73</v>
      </c>
    </row>
    <row r="409" spans="1:3">
      <c r="A409" t="s">
        <v>125</v>
      </c>
      <c r="B409" s="8" t="s">
        <v>530</v>
      </c>
      <c r="C409" s="9" t="s">
        <v>73</v>
      </c>
    </row>
    <row r="410" spans="1:3">
      <c r="A410" t="s">
        <v>123</v>
      </c>
      <c r="B410" s="8" t="s">
        <v>531</v>
      </c>
      <c r="C410" s="9" t="s">
        <v>73</v>
      </c>
    </row>
    <row r="411" spans="1:3">
      <c r="A411" t="s">
        <v>123</v>
      </c>
      <c r="B411" s="8" t="s">
        <v>532</v>
      </c>
      <c r="C411" s="9" t="s">
        <v>73</v>
      </c>
    </row>
    <row r="412" spans="1:3">
      <c r="A412" t="s">
        <v>123</v>
      </c>
      <c r="B412" s="8" t="s">
        <v>533</v>
      </c>
      <c r="C412" s="9" t="s">
        <v>73</v>
      </c>
    </row>
    <row r="413" spans="1:3">
      <c r="A413" t="s">
        <v>123</v>
      </c>
      <c r="B413" s="8" t="s">
        <v>534</v>
      </c>
      <c r="C413" s="9" t="s">
        <v>73</v>
      </c>
    </row>
    <row r="414" spans="1:3">
      <c r="A414" t="s">
        <v>123</v>
      </c>
      <c r="B414" s="8" t="s">
        <v>535</v>
      </c>
      <c r="C414" s="9" t="s">
        <v>73</v>
      </c>
    </row>
    <row r="415" spans="1:3">
      <c r="A415" t="s">
        <v>125</v>
      </c>
      <c r="B415" s="8" t="s">
        <v>536</v>
      </c>
      <c r="C415" s="9" t="s">
        <v>73</v>
      </c>
    </row>
    <row r="416" spans="1:3">
      <c r="A416" t="s">
        <v>123</v>
      </c>
      <c r="B416" s="8" t="s">
        <v>537</v>
      </c>
      <c r="C416" s="9" t="s">
        <v>73</v>
      </c>
    </row>
    <row r="417" spans="1:3">
      <c r="A417" t="s">
        <v>123</v>
      </c>
      <c r="B417" s="8" t="s">
        <v>538</v>
      </c>
      <c r="C417" s="9" t="s">
        <v>73</v>
      </c>
    </row>
    <row r="418" spans="1:3">
      <c r="A418" t="s">
        <v>123</v>
      </c>
      <c r="B418" s="8" t="s">
        <v>539</v>
      </c>
      <c r="C418" s="9" t="s">
        <v>73</v>
      </c>
    </row>
    <row r="419" spans="1:3">
      <c r="A419" t="s">
        <v>123</v>
      </c>
      <c r="B419" s="8" t="s">
        <v>540</v>
      </c>
      <c r="C419" s="9" t="s">
        <v>73</v>
      </c>
    </row>
    <row r="420" spans="1:3">
      <c r="A420" t="s">
        <v>123</v>
      </c>
      <c r="B420" s="8" t="s">
        <v>541</v>
      </c>
      <c r="C420" s="9" t="s">
        <v>73</v>
      </c>
    </row>
    <row r="421" spans="1:3">
      <c r="A421" t="s">
        <v>125</v>
      </c>
      <c r="B421" s="8" t="s">
        <v>542</v>
      </c>
      <c r="C421" s="9" t="s">
        <v>73</v>
      </c>
    </row>
    <row r="422" spans="1:3">
      <c r="A422" t="s">
        <v>123</v>
      </c>
      <c r="B422" s="8" t="s">
        <v>543</v>
      </c>
      <c r="C422" s="9" t="s">
        <v>73</v>
      </c>
    </row>
    <row r="423" spans="1:3">
      <c r="A423" t="s">
        <v>123</v>
      </c>
      <c r="B423" s="8" t="s">
        <v>544</v>
      </c>
      <c r="C423" s="9" t="s">
        <v>73</v>
      </c>
    </row>
    <row r="424" spans="1:3">
      <c r="A424" t="s">
        <v>123</v>
      </c>
      <c r="B424" s="8" t="s">
        <v>545</v>
      </c>
      <c r="C424" s="9" t="s">
        <v>73</v>
      </c>
    </row>
    <row r="425" spans="1:3">
      <c r="A425" t="s">
        <v>123</v>
      </c>
      <c r="B425" s="8" t="s">
        <v>546</v>
      </c>
      <c r="C425" s="9" t="s">
        <v>73</v>
      </c>
    </row>
    <row r="426" spans="1:3">
      <c r="A426" t="s">
        <v>125</v>
      </c>
      <c r="B426" s="8" t="s">
        <v>547</v>
      </c>
      <c r="C426" s="9" t="s">
        <v>73</v>
      </c>
    </row>
    <row r="427" spans="1:3">
      <c r="A427" t="s">
        <v>123</v>
      </c>
      <c r="B427" s="8" t="s">
        <v>548</v>
      </c>
      <c r="C427" s="9" t="s">
        <v>68</v>
      </c>
    </row>
    <row r="428" spans="1:3">
      <c r="A428" t="s">
        <v>125</v>
      </c>
      <c r="B428" s="8" t="s">
        <v>549</v>
      </c>
      <c r="C428" s="9" t="s">
        <v>73</v>
      </c>
    </row>
    <row r="429" spans="1:3">
      <c r="A429" t="s">
        <v>125</v>
      </c>
      <c r="B429" s="8" t="s">
        <v>550</v>
      </c>
      <c r="C429" s="9" t="s">
        <v>73</v>
      </c>
    </row>
    <row r="430" spans="1:3">
      <c r="A430" t="s">
        <v>123</v>
      </c>
      <c r="B430" s="8" t="s">
        <v>551</v>
      </c>
      <c r="C430" s="9" t="s">
        <v>73</v>
      </c>
    </row>
    <row r="431" spans="1:3">
      <c r="A431" t="s">
        <v>123</v>
      </c>
      <c r="B431" s="8" t="s">
        <v>552</v>
      </c>
      <c r="C431" s="9" t="s">
        <v>73</v>
      </c>
    </row>
    <row r="432" spans="1:3">
      <c r="A432" t="s">
        <v>123</v>
      </c>
      <c r="B432" s="8" t="s">
        <v>553</v>
      </c>
      <c r="C432" s="9" t="s">
        <v>73</v>
      </c>
    </row>
    <row r="433" spans="1:3">
      <c r="A433" t="s">
        <v>123</v>
      </c>
      <c r="B433" s="8" t="s">
        <v>554</v>
      </c>
      <c r="C433" s="9" t="s">
        <v>68</v>
      </c>
    </row>
    <row r="434" spans="1:3">
      <c r="A434" t="s">
        <v>123</v>
      </c>
      <c r="B434" s="8" t="s">
        <v>555</v>
      </c>
      <c r="C434" s="9" t="s">
        <v>73</v>
      </c>
    </row>
    <row r="435" spans="1:3">
      <c r="A435" t="s">
        <v>123</v>
      </c>
      <c r="B435" s="8" t="s">
        <v>556</v>
      </c>
      <c r="C435" s="9" t="s">
        <v>73</v>
      </c>
    </row>
    <row r="436" spans="1:3">
      <c r="A436" t="s">
        <v>123</v>
      </c>
      <c r="B436" s="8" t="s">
        <v>557</v>
      </c>
      <c r="C436" s="9" t="s">
        <v>68</v>
      </c>
    </row>
  </sheetData>
  <sortState xmlns:xlrd2="http://schemas.microsoft.com/office/spreadsheetml/2017/richdata2" ref="B2:C322">
    <sortCondition ref="B2:B3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2024-09-12T14:08:36Z</dcterms:modified>
  <cp:category/>
  <cp:contentStatus/>
</cp:coreProperties>
</file>