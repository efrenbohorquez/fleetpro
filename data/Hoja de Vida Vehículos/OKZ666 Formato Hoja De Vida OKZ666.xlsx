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1099" documentId="11_AA1CADE5F9A7E46C164B7451FA22C78EF737903A" xr6:coauthVersionLast="47" xr6:coauthVersionMax="47" xr10:uidLastSave="{58D883FD-6AD8-49FA-AA03-EAAEECE4905F}"/>
  <bookViews>
    <workbookView xWindow="0" yWindow="0" windowWidth="20490" windowHeight="6930" xr2:uid="{00000000-000D-0000-FFFF-FFFF00000000}"/>
  </bookViews>
  <sheets>
    <sheet name="OKZ666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W248" i="2" l="1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S239" i="2"/>
  <c r="T239" i="2" s="1"/>
  <c r="U239" i="2" s="1"/>
  <c r="S240" i="2"/>
  <c r="T240" i="2" s="1"/>
  <c r="U240" i="2" s="1"/>
  <c r="S241" i="2"/>
  <c r="T241" i="2" s="1"/>
  <c r="U241" i="2" s="1"/>
  <c r="S242" i="2"/>
  <c r="T242" i="2" s="1"/>
  <c r="U242" i="2" s="1"/>
  <c r="S243" i="2"/>
  <c r="T243" i="2" s="1"/>
  <c r="U243" i="2" s="1"/>
  <c r="S244" i="2"/>
  <c r="T244" i="2" s="1"/>
  <c r="U244" i="2" s="1"/>
  <c r="S245" i="2"/>
  <c r="T245" i="2" s="1"/>
  <c r="U245" i="2" s="1"/>
  <c r="S246" i="2"/>
  <c r="T246" i="2" s="1"/>
  <c r="U246" i="2" s="1"/>
  <c r="S247" i="2"/>
  <c r="T247" i="2" s="1"/>
  <c r="U247" i="2" s="1"/>
  <c r="S248" i="2"/>
  <c r="T248" i="2" s="1"/>
  <c r="U248" i="2" s="1"/>
  <c r="S249" i="2"/>
  <c r="T249" i="2" s="1"/>
  <c r="U249" i="2" s="1"/>
  <c r="S250" i="2"/>
  <c r="T250" i="2" s="1"/>
  <c r="U250" i="2" s="1"/>
  <c r="S251" i="2"/>
  <c r="T251" i="2" s="1"/>
  <c r="U251" i="2" s="1"/>
  <c r="O239" i="2"/>
  <c r="P239" i="2" s="1"/>
  <c r="Q239" i="2" s="1"/>
  <c r="O240" i="2"/>
  <c r="P240" i="2" s="1"/>
  <c r="Q240" i="2" s="1"/>
  <c r="O241" i="2"/>
  <c r="P241" i="2" s="1"/>
  <c r="Q241" i="2" s="1"/>
  <c r="O242" i="2"/>
  <c r="P242" i="2" s="1"/>
  <c r="Q242" i="2" s="1"/>
  <c r="O243" i="2"/>
  <c r="P243" i="2" s="1"/>
  <c r="Q243" i="2" s="1"/>
  <c r="O244" i="2"/>
  <c r="P244" i="2" s="1"/>
  <c r="Q244" i="2" s="1"/>
  <c r="O245" i="2"/>
  <c r="P245" i="2" s="1"/>
  <c r="Q245" i="2" s="1"/>
  <c r="O246" i="2"/>
  <c r="P246" i="2" s="1"/>
  <c r="Q246" i="2" s="1"/>
  <c r="O247" i="2"/>
  <c r="P247" i="2" s="1"/>
  <c r="Q247" i="2" s="1"/>
  <c r="O248" i="2"/>
  <c r="P248" i="2" s="1"/>
  <c r="Q248" i="2" s="1"/>
  <c r="O249" i="2"/>
  <c r="P249" i="2" s="1"/>
  <c r="Q249" i="2" s="1"/>
  <c r="O250" i="2"/>
  <c r="P250" i="2" s="1"/>
  <c r="Q250" i="2" s="1"/>
  <c r="O251" i="2"/>
  <c r="P251" i="2" s="1"/>
  <c r="Q251" i="2" s="1"/>
  <c r="S236" i="2"/>
  <c r="T236" i="2" s="1"/>
  <c r="U236" i="2" s="1"/>
  <c r="S237" i="2"/>
  <c r="T237" i="2" s="1"/>
  <c r="U237" i="2" s="1"/>
  <c r="S238" i="2"/>
  <c r="T238" i="2" s="1"/>
  <c r="U238" i="2" s="1"/>
  <c r="O236" i="2"/>
  <c r="P236" i="2" s="1"/>
  <c r="Q236" i="2" s="1"/>
  <c r="O237" i="2"/>
  <c r="P237" i="2" s="1"/>
  <c r="Q237" i="2" s="1"/>
  <c r="V237" i="2" s="1"/>
  <c r="O238" i="2"/>
  <c r="P238" i="2" s="1"/>
  <c r="Q238" i="2" s="1"/>
  <c r="V238" i="2" s="1"/>
  <c r="S226" i="2"/>
  <c r="T226" i="2" s="1"/>
  <c r="U226" i="2" s="1"/>
  <c r="S227" i="2"/>
  <c r="T227" i="2" s="1"/>
  <c r="U227" i="2" s="1"/>
  <c r="S228" i="2"/>
  <c r="T228" i="2" s="1"/>
  <c r="U228" i="2" s="1"/>
  <c r="S229" i="2"/>
  <c r="T229" i="2" s="1"/>
  <c r="U229" i="2" s="1"/>
  <c r="S230" i="2"/>
  <c r="T230" i="2" s="1"/>
  <c r="U230" i="2" s="1"/>
  <c r="S231" i="2"/>
  <c r="T231" i="2" s="1"/>
  <c r="U231" i="2" s="1"/>
  <c r="S232" i="2"/>
  <c r="T232" i="2" s="1"/>
  <c r="U232" i="2" s="1"/>
  <c r="S233" i="2"/>
  <c r="T233" i="2" s="1"/>
  <c r="U233" i="2" s="1"/>
  <c r="O226" i="2"/>
  <c r="P226" i="2" s="1"/>
  <c r="Q226" i="2" s="1"/>
  <c r="O227" i="2"/>
  <c r="P227" i="2" s="1"/>
  <c r="Q227" i="2" s="1"/>
  <c r="O228" i="2"/>
  <c r="P228" i="2" s="1"/>
  <c r="Q228" i="2" s="1"/>
  <c r="O229" i="2"/>
  <c r="P229" i="2" s="1"/>
  <c r="Q229" i="2" s="1"/>
  <c r="O230" i="2"/>
  <c r="P230" i="2" s="1"/>
  <c r="Q230" i="2" s="1"/>
  <c r="O231" i="2"/>
  <c r="P231" i="2" s="1"/>
  <c r="Q231" i="2" s="1"/>
  <c r="O232" i="2"/>
  <c r="P232" i="2" s="1"/>
  <c r="Q232" i="2" s="1"/>
  <c r="O233" i="2"/>
  <c r="P233" i="2" s="1"/>
  <c r="Q233" i="2" s="1"/>
  <c r="O234" i="2"/>
  <c r="P234" i="2" s="1"/>
  <c r="Q234" i="2" s="1"/>
  <c r="O235" i="2"/>
  <c r="S212" i="2"/>
  <c r="T212" i="2" s="1"/>
  <c r="U212" i="2" s="1"/>
  <c r="S213" i="2"/>
  <c r="T213" i="2" s="1"/>
  <c r="U213" i="2" s="1"/>
  <c r="S214" i="2"/>
  <c r="T214" i="2" s="1"/>
  <c r="U214" i="2" s="1"/>
  <c r="S215" i="2"/>
  <c r="T215" i="2" s="1"/>
  <c r="U215" i="2" s="1"/>
  <c r="S216" i="2"/>
  <c r="U216" i="2" s="1"/>
  <c r="S217" i="2"/>
  <c r="T217" i="2" s="1"/>
  <c r="U217" i="2" s="1"/>
  <c r="S218" i="2"/>
  <c r="T218" i="2" s="1"/>
  <c r="U218" i="2" s="1"/>
  <c r="S219" i="2"/>
  <c r="T219" i="2" s="1"/>
  <c r="U219" i="2" s="1"/>
  <c r="S220" i="2"/>
  <c r="T220" i="2" s="1"/>
  <c r="U220" i="2" s="1"/>
  <c r="S221" i="2"/>
  <c r="T221" i="2" s="1"/>
  <c r="U221" i="2" s="1"/>
  <c r="S222" i="2"/>
  <c r="T222" i="2" s="1"/>
  <c r="U222" i="2" s="1"/>
  <c r="S223" i="2"/>
  <c r="T223" i="2" s="1"/>
  <c r="U223" i="2" s="1"/>
  <c r="S224" i="2"/>
  <c r="T224" i="2" s="1"/>
  <c r="U224" i="2" s="1"/>
  <c r="S225" i="2"/>
  <c r="T225" i="2" s="1"/>
  <c r="U225" i="2" s="1"/>
  <c r="S234" i="2"/>
  <c r="T234" i="2" s="1"/>
  <c r="U234" i="2" s="1"/>
  <c r="V234" i="2" s="1"/>
  <c r="S235" i="2"/>
  <c r="T235" i="2" s="1"/>
  <c r="U235" i="2" s="1"/>
  <c r="O221" i="2"/>
  <c r="P221" i="2" s="1"/>
  <c r="Q221" i="2" s="1"/>
  <c r="O222" i="2"/>
  <c r="P222" i="2" s="1"/>
  <c r="Q222" i="2" s="1"/>
  <c r="O223" i="2"/>
  <c r="P223" i="2" s="1"/>
  <c r="Q223" i="2" s="1"/>
  <c r="O224" i="2"/>
  <c r="P224" i="2" s="1"/>
  <c r="Q224" i="2" s="1"/>
  <c r="O225" i="2"/>
  <c r="P225" i="2" s="1"/>
  <c r="Q225" i="2" s="1"/>
  <c r="P235" i="2"/>
  <c r="Q235" i="2" s="1"/>
  <c r="O211" i="2"/>
  <c r="P211" i="2" s="1"/>
  <c r="Q211" i="2" s="1"/>
  <c r="O212" i="2"/>
  <c r="P212" i="2" s="1"/>
  <c r="Q212" i="2" s="1"/>
  <c r="O213" i="2"/>
  <c r="P213" i="2" s="1"/>
  <c r="Q213" i="2" s="1"/>
  <c r="O214" i="2"/>
  <c r="P214" i="2" s="1"/>
  <c r="Q214" i="2" s="1"/>
  <c r="O215" i="2"/>
  <c r="P215" i="2" s="1"/>
  <c r="Q215" i="2" s="1"/>
  <c r="O216" i="2"/>
  <c r="P216" i="2" s="1"/>
  <c r="Q216" i="2" s="1"/>
  <c r="V216" i="2" s="1"/>
  <c r="O217" i="2"/>
  <c r="P217" i="2" s="1"/>
  <c r="Q217" i="2" s="1"/>
  <c r="O218" i="2"/>
  <c r="P218" i="2" s="1"/>
  <c r="Q218" i="2" s="1"/>
  <c r="O219" i="2"/>
  <c r="P219" i="2" s="1"/>
  <c r="Q219" i="2" s="1"/>
  <c r="O220" i="2"/>
  <c r="P220" i="2" s="1"/>
  <c r="Q220" i="2" s="1"/>
  <c r="S211" i="2"/>
  <c r="T211" i="2" s="1"/>
  <c r="U211" i="2" s="1"/>
  <c r="V211" i="2" s="1"/>
  <c r="S210" i="2"/>
  <c r="T210" i="2" s="1"/>
  <c r="U210" i="2" s="1"/>
  <c r="O210" i="2"/>
  <c r="P210" i="2" s="1"/>
  <c r="Q210" i="2" s="1"/>
  <c r="S209" i="2"/>
  <c r="T209" i="2" s="1"/>
  <c r="U209" i="2" s="1"/>
  <c r="O209" i="2"/>
  <c r="P209" i="2" s="1"/>
  <c r="Q209" i="2" s="1"/>
  <c r="S208" i="2"/>
  <c r="T208" i="2" s="1"/>
  <c r="U208" i="2" s="1"/>
  <c r="O208" i="2"/>
  <c r="Q208" i="2" s="1"/>
  <c r="S207" i="2"/>
  <c r="T207" i="2" s="1"/>
  <c r="U207" i="2" s="1"/>
  <c r="O207" i="2"/>
  <c r="P207" i="2" s="1"/>
  <c r="Q207" i="2" s="1"/>
  <c r="S206" i="2"/>
  <c r="T206" i="2" s="1"/>
  <c r="U206" i="2" s="1"/>
  <c r="O206" i="2"/>
  <c r="P206" i="2" s="1"/>
  <c r="Q206" i="2" s="1"/>
  <c r="S205" i="2"/>
  <c r="T205" i="2" s="1"/>
  <c r="U205" i="2" s="1"/>
  <c r="O205" i="2"/>
  <c r="P205" i="2" s="1"/>
  <c r="Q205" i="2" s="1"/>
  <c r="S204" i="2"/>
  <c r="T204" i="2" s="1"/>
  <c r="U204" i="2" s="1"/>
  <c r="O204" i="2"/>
  <c r="P204" i="2" s="1"/>
  <c r="Q204" i="2" s="1"/>
  <c r="S203" i="2"/>
  <c r="T203" i="2" s="1"/>
  <c r="U203" i="2" s="1"/>
  <c r="O203" i="2"/>
  <c r="P203" i="2" s="1"/>
  <c r="Q203" i="2" s="1"/>
  <c r="S202" i="2"/>
  <c r="T202" i="2" s="1"/>
  <c r="U202" i="2" s="1"/>
  <c r="O202" i="2"/>
  <c r="P202" i="2" s="1"/>
  <c r="Q202" i="2" s="1"/>
  <c r="S201" i="2"/>
  <c r="T201" i="2" s="1"/>
  <c r="U201" i="2" s="1"/>
  <c r="O201" i="2"/>
  <c r="P201" i="2" s="1"/>
  <c r="Q201" i="2" s="1"/>
  <c r="S200" i="2"/>
  <c r="T200" i="2" s="1"/>
  <c r="U200" i="2" s="1"/>
  <c r="O200" i="2"/>
  <c r="P200" i="2" s="1"/>
  <c r="Q200" i="2" s="1"/>
  <c r="S199" i="2"/>
  <c r="T199" i="2" s="1"/>
  <c r="U199" i="2" s="1"/>
  <c r="O199" i="2"/>
  <c r="P199" i="2" s="1"/>
  <c r="Q199" i="2" s="1"/>
  <c r="S198" i="2"/>
  <c r="T198" i="2" s="1"/>
  <c r="U198" i="2" s="1"/>
  <c r="O198" i="2"/>
  <c r="P198" i="2" s="1"/>
  <c r="Q198" i="2" s="1"/>
  <c r="S197" i="2"/>
  <c r="T197" i="2" s="1"/>
  <c r="U197" i="2" s="1"/>
  <c r="O197" i="2"/>
  <c r="P197" i="2" s="1"/>
  <c r="Q197" i="2" s="1"/>
  <c r="S196" i="2"/>
  <c r="T196" i="2" s="1"/>
  <c r="U196" i="2" s="1"/>
  <c r="O196" i="2"/>
  <c r="P196" i="2" s="1"/>
  <c r="Q196" i="2" s="1"/>
  <c r="S195" i="2"/>
  <c r="T195" i="2" s="1"/>
  <c r="U195" i="2" s="1"/>
  <c r="O195" i="2"/>
  <c r="P195" i="2" s="1"/>
  <c r="Q195" i="2" s="1"/>
  <c r="S194" i="2"/>
  <c r="T194" i="2" s="1"/>
  <c r="U194" i="2" s="1"/>
  <c r="O194" i="2"/>
  <c r="P194" i="2" s="1"/>
  <c r="Q194" i="2" s="1"/>
  <c r="S193" i="2"/>
  <c r="T193" i="2" s="1"/>
  <c r="U193" i="2" s="1"/>
  <c r="O193" i="2"/>
  <c r="P193" i="2" s="1"/>
  <c r="Q193" i="2" s="1"/>
  <c r="S192" i="2"/>
  <c r="T192" i="2" s="1"/>
  <c r="U192" i="2" s="1"/>
  <c r="O192" i="2"/>
  <c r="P192" i="2" s="1"/>
  <c r="Q192" i="2" s="1"/>
  <c r="V251" i="2" l="1"/>
  <c r="V250" i="2"/>
  <c r="V249" i="2"/>
  <c r="V248" i="2"/>
  <c r="V247" i="2"/>
  <c r="V246" i="2"/>
  <c r="V245" i="2"/>
  <c r="W245" i="2" s="1"/>
  <c r="V244" i="2"/>
  <c r="V243" i="2"/>
  <c r="V242" i="2"/>
  <c r="V241" i="2"/>
  <c r="V240" i="2"/>
  <c r="V239" i="2"/>
  <c r="W238" i="2" s="1"/>
  <c r="V236" i="2"/>
  <c r="W236" i="2" s="1"/>
  <c r="V233" i="2"/>
  <c r="V232" i="2"/>
  <c r="V231" i="2"/>
  <c r="V230" i="2"/>
  <c r="V229" i="2"/>
  <c r="V228" i="2"/>
  <c r="V227" i="2"/>
  <c r="V226" i="2"/>
  <c r="V235" i="2"/>
  <c r="V225" i="2"/>
  <c r="W225" i="2" s="1"/>
  <c r="V224" i="2"/>
  <c r="V223" i="2"/>
  <c r="V222" i="2"/>
  <c r="V221" i="2"/>
  <c r="V220" i="2"/>
  <c r="V219" i="2"/>
  <c r="V218" i="2"/>
  <c r="V217" i="2"/>
  <c r="V215" i="2"/>
  <c r="V214" i="2"/>
  <c r="V213" i="2"/>
  <c r="V212" i="2"/>
  <c r="W212" i="2" s="1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W208" i="2" l="1"/>
  <c r="W202" i="2"/>
  <c r="W192" i="2"/>
  <c r="K186" i="2"/>
  <c r="K178" i="2" l="1"/>
  <c r="K191" i="2" l="1"/>
  <c r="K190" i="2"/>
  <c r="K189" i="2"/>
  <c r="K188" i="2"/>
  <c r="K187" i="2"/>
  <c r="K185" i="2"/>
  <c r="K184" i="2"/>
  <c r="K183" i="2"/>
  <c r="K182" i="2"/>
  <c r="K181" i="2"/>
  <c r="K180" i="2"/>
  <c r="K179" i="2"/>
  <c r="O99" i="2" l="1"/>
  <c r="P99" i="2" s="1"/>
  <c r="Q99" i="2" s="1"/>
  <c r="S99" i="2"/>
  <c r="T99" i="2" s="1"/>
  <c r="U99" i="2" s="1"/>
  <c r="O100" i="2"/>
  <c r="P100" i="2" s="1"/>
  <c r="Q100" i="2" s="1"/>
  <c r="S100" i="2"/>
  <c r="T100" i="2" s="1"/>
  <c r="U100" i="2" s="1"/>
  <c r="O101" i="2"/>
  <c r="P101" i="2" s="1"/>
  <c r="Q101" i="2" s="1"/>
  <c r="S101" i="2"/>
  <c r="T101" i="2" s="1"/>
  <c r="U101" i="2" s="1"/>
  <c r="O102" i="2"/>
  <c r="P102" i="2" s="1"/>
  <c r="Q102" i="2" s="1"/>
  <c r="S102" i="2"/>
  <c r="T102" i="2" s="1"/>
  <c r="U102" i="2" s="1"/>
  <c r="O103" i="2"/>
  <c r="P103" i="2" s="1"/>
  <c r="Q103" i="2" s="1"/>
  <c r="S103" i="2"/>
  <c r="T103" i="2" s="1"/>
  <c r="U103" i="2" s="1"/>
  <c r="O104" i="2"/>
  <c r="P104" i="2" s="1"/>
  <c r="Q104" i="2" s="1"/>
  <c r="S104" i="2"/>
  <c r="T104" i="2" s="1"/>
  <c r="U104" i="2" s="1"/>
  <c r="O105" i="2"/>
  <c r="P105" i="2" s="1"/>
  <c r="Q105" i="2" s="1"/>
  <c r="S105" i="2"/>
  <c r="T105" i="2" s="1"/>
  <c r="U105" i="2" s="1"/>
  <c r="O106" i="2"/>
  <c r="P106" i="2" s="1"/>
  <c r="Q106" i="2" s="1"/>
  <c r="S106" i="2"/>
  <c r="T106" i="2" s="1"/>
  <c r="U106" i="2" s="1"/>
  <c r="O107" i="2"/>
  <c r="P107" i="2" s="1"/>
  <c r="Q107" i="2" s="1"/>
  <c r="S107" i="2"/>
  <c r="T107" i="2" s="1"/>
  <c r="U107" i="2" s="1"/>
  <c r="O108" i="2"/>
  <c r="P108" i="2" s="1"/>
  <c r="Q108" i="2" s="1"/>
  <c r="S108" i="2"/>
  <c r="T108" i="2" s="1"/>
  <c r="U108" i="2" s="1"/>
  <c r="O109" i="2"/>
  <c r="P109" i="2" s="1"/>
  <c r="Q109" i="2" s="1"/>
  <c r="S109" i="2"/>
  <c r="T109" i="2" s="1"/>
  <c r="U109" i="2" s="1"/>
  <c r="O110" i="2"/>
  <c r="P110" i="2" s="1"/>
  <c r="Q110" i="2" s="1"/>
  <c r="S110" i="2"/>
  <c r="T110" i="2" s="1"/>
  <c r="U110" i="2" s="1"/>
  <c r="O111" i="2"/>
  <c r="P111" i="2" s="1"/>
  <c r="Q111" i="2" s="1"/>
  <c r="S111" i="2"/>
  <c r="T111" i="2" s="1"/>
  <c r="U111" i="2" s="1"/>
  <c r="O112" i="2"/>
  <c r="P112" i="2" s="1"/>
  <c r="Q112" i="2" s="1"/>
  <c r="S112" i="2"/>
  <c r="T112" i="2" s="1"/>
  <c r="U112" i="2" s="1"/>
  <c r="O113" i="2"/>
  <c r="P113" i="2" s="1"/>
  <c r="Q113" i="2" s="1"/>
  <c r="S113" i="2"/>
  <c r="T113" i="2" s="1"/>
  <c r="U113" i="2" s="1"/>
  <c r="O114" i="2"/>
  <c r="P114" i="2" s="1"/>
  <c r="Q114" i="2" s="1"/>
  <c r="S114" i="2"/>
  <c r="T114" i="2" s="1"/>
  <c r="U114" i="2" s="1"/>
  <c r="O115" i="2"/>
  <c r="P115" i="2" s="1"/>
  <c r="Q115" i="2" s="1"/>
  <c r="S115" i="2"/>
  <c r="T115" i="2" s="1"/>
  <c r="U115" i="2" s="1"/>
  <c r="O116" i="2"/>
  <c r="P116" i="2" s="1"/>
  <c r="Q116" i="2" s="1"/>
  <c r="S116" i="2"/>
  <c r="T116" i="2" s="1"/>
  <c r="U116" i="2" s="1"/>
  <c r="O117" i="2"/>
  <c r="P117" i="2" s="1"/>
  <c r="Q117" i="2" s="1"/>
  <c r="S117" i="2"/>
  <c r="T117" i="2" s="1"/>
  <c r="U117" i="2" s="1"/>
  <c r="O118" i="2"/>
  <c r="P118" i="2" s="1"/>
  <c r="Q118" i="2" s="1"/>
  <c r="S118" i="2"/>
  <c r="T118" i="2" s="1"/>
  <c r="U118" i="2" s="1"/>
  <c r="O119" i="2"/>
  <c r="P119" i="2" s="1"/>
  <c r="Q119" i="2" s="1"/>
  <c r="S119" i="2"/>
  <c r="T119" i="2" s="1"/>
  <c r="U119" i="2" s="1"/>
  <c r="O120" i="2"/>
  <c r="P120" i="2" s="1"/>
  <c r="Q120" i="2" s="1"/>
  <c r="S120" i="2"/>
  <c r="T120" i="2" s="1"/>
  <c r="U120" i="2" s="1"/>
  <c r="O121" i="2"/>
  <c r="P121" i="2" s="1"/>
  <c r="Q121" i="2" s="1"/>
  <c r="S121" i="2"/>
  <c r="T121" i="2" s="1"/>
  <c r="U121" i="2" s="1"/>
  <c r="O122" i="2"/>
  <c r="P122" i="2" s="1"/>
  <c r="Q122" i="2" s="1"/>
  <c r="S122" i="2"/>
  <c r="T122" i="2" s="1"/>
  <c r="U122" i="2" s="1"/>
  <c r="O123" i="2"/>
  <c r="P123" i="2" s="1"/>
  <c r="Q123" i="2" s="1"/>
  <c r="S123" i="2"/>
  <c r="T123" i="2" s="1"/>
  <c r="U123" i="2" s="1"/>
  <c r="O124" i="2"/>
  <c r="P124" i="2" s="1"/>
  <c r="Q124" i="2" s="1"/>
  <c r="S124" i="2"/>
  <c r="T124" i="2" s="1"/>
  <c r="U124" i="2" s="1"/>
  <c r="O125" i="2"/>
  <c r="P125" i="2" s="1"/>
  <c r="Q125" i="2" s="1"/>
  <c r="S125" i="2"/>
  <c r="T125" i="2" s="1"/>
  <c r="U125" i="2" s="1"/>
  <c r="O126" i="2"/>
  <c r="P126" i="2" s="1"/>
  <c r="Q126" i="2" s="1"/>
  <c r="S126" i="2"/>
  <c r="T126" i="2" s="1"/>
  <c r="U126" i="2" s="1"/>
  <c r="O127" i="2"/>
  <c r="P127" i="2" s="1"/>
  <c r="Q127" i="2" s="1"/>
  <c r="S127" i="2"/>
  <c r="T127" i="2" s="1"/>
  <c r="U127" i="2" s="1"/>
  <c r="O128" i="2"/>
  <c r="P128" i="2" s="1"/>
  <c r="Q128" i="2" s="1"/>
  <c r="S128" i="2"/>
  <c r="T128" i="2" s="1"/>
  <c r="U128" i="2" s="1"/>
  <c r="O129" i="2"/>
  <c r="P129" i="2" s="1"/>
  <c r="Q129" i="2" s="1"/>
  <c r="S129" i="2"/>
  <c r="T129" i="2" s="1"/>
  <c r="U129" i="2" s="1"/>
  <c r="O130" i="2"/>
  <c r="P130" i="2" s="1"/>
  <c r="Q130" i="2" s="1"/>
  <c r="S130" i="2"/>
  <c r="T130" i="2" s="1"/>
  <c r="U130" i="2" s="1"/>
  <c r="O131" i="2"/>
  <c r="P131" i="2" s="1"/>
  <c r="Q131" i="2" s="1"/>
  <c r="S131" i="2"/>
  <c r="T131" i="2" s="1"/>
  <c r="U131" i="2" s="1"/>
  <c r="O132" i="2"/>
  <c r="P132" i="2" s="1"/>
  <c r="Q132" i="2" s="1"/>
  <c r="S132" i="2"/>
  <c r="T132" i="2" s="1"/>
  <c r="U132" i="2" s="1"/>
  <c r="O133" i="2"/>
  <c r="P133" i="2" s="1"/>
  <c r="Q133" i="2" s="1"/>
  <c r="S133" i="2"/>
  <c r="T133" i="2" s="1"/>
  <c r="U133" i="2" s="1"/>
  <c r="O134" i="2"/>
  <c r="P134" i="2" s="1"/>
  <c r="Q134" i="2" s="1"/>
  <c r="S134" i="2"/>
  <c r="T134" i="2" s="1"/>
  <c r="U134" i="2" s="1"/>
  <c r="O135" i="2"/>
  <c r="P135" i="2" s="1"/>
  <c r="Q135" i="2" s="1"/>
  <c r="S135" i="2"/>
  <c r="T135" i="2" s="1"/>
  <c r="U135" i="2" s="1"/>
  <c r="O136" i="2"/>
  <c r="P136" i="2" s="1"/>
  <c r="Q136" i="2" s="1"/>
  <c r="S136" i="2"/>
  <c r="T136" i="2" s="1"/>
  <c r="U136" i="2" s="1"/>
  <c r="O137" i="2"/>
  <c r="P137" i="2" s="1"/>
  <c r="Q137" i="2" s="1"/>
  <c r="S137" i="2"/>
  <c r="T137" i="2" s="1"/>
  <c r="U137" i="2" s="1"/>
  <c r="O138" i="2"/>
  <c r="P138" i="2" s="1"/>
  <c r="Q138" i="2" s="1"/>
  <c r="S138" i="2"/>
  <c r="T138" i="2" s="1"/>
  <c r="U138" i="2" s="1"/>
  <c r="O139" i="2"/>
  <c r="P139" i="2" s="1"/>
  <c r="Q139" i="2" s="1"/>
  <c r="S139" i="2"/>
  <c r="T139" i="2" s="1"/>
  <c r="U139" i="2" s="1"/>
  <c r="O140" i="2"/>
  <c r="P140" i="2" s="1"/>
  <c r="Q140" i="2" s="1"/>
  <c r="S140" i="2"/>
  <c r="T140" i="2" s="1"/>
  <c r="U140" i="2" s="1"/>
  <c r="O141" i="2"/>
  <c r="P141" i="2" s="1"/>
  <c r="Q141" i="2" s="1"/>
  <c r="S141" i="2"/>
  <c r="T141" i="2" s="1"/>
  <c r="U141" i="2" s="1"/>
  <c r="O142" i="2"/>
  <c r="P142" i="2" s="1"/>
  <c r="Q142" i="2" s="1"/>
  <c r="S142" i="2"/>
  <c r="T142" i="2" s="1"/>
  <c r="U142" i="2" s="1"/>
  <c r="O143" i="2"/>
  <c r="P143" i="2" s="1"/>
  <c r="Q143" i="2" s="1"/>
  <c r="S143" i="2"/>
  <c r="T143" i="2" s="1"/>
  <c r="U143" i="2" s="1"/>
  <c r="O144" i="2"/>
  <c r="P144" i="2" s="1"/>
  <c r="Q144" i="2" s="1"/>
  <c r="S144" i="2"/>
  <c r="T144" i="2" s="1"/>
  <c r="U144" i="2" s="1"/>
  <c r="O145" i="2"/>
  <c r="P145" i="2" s="1"/>
  <c r="Q145" i="2" s="1"/>
  <c r="S145" i="2"/>
  <c r="T145" i="2" s="1"/>
  <c r="U145" i="2" s="1"/>
  <c r="O146" i="2"/>
  <c r="P146" i="2" s="1"/>
  <c r="Q146" i="2" s="1"/>
  <c r="S146" i="2"/>
  <c r="T146" i="2" s="1"/>
  <c r="U146" i="2" s="1"/>
  <c r="O147" i="2"/>
  <c r="P147" i="2" s="1"/>
  <c r="Q147" i="2" s="1"/>
  <c r="S147" i="2"/>
  <c r="T147" i="2" s="1"/>
  <c r="U147" i="2" s="1"/>
  <c r="O148" i="2"/>
  <c r="P148" i="2" s="1"/>
  <c r="Q148" i="2" s="1"/>
  <c r="S148" i="2"/>
  <c r="T148" i="2" s="1"/>
  <c r="U148" i="2" s="1"/>
  <c r="O149" i="2"/>
  <c r="P149" i="2" s="1"/>
  <c r="Q149" i="2" s="1"/>
  <c r="S149" i="2"/>
  <c r="T149" i="2" s="1"/>
  <c r="U149" i="2" s="1"/>
  <c r="O150" i="2"/>
  <c r="P150" i="2" s="1"/>
  <c r="Q150" i="2" s="1"/>
  <c r="S150" i="2"/>
  <c r="T150" i="2" s="1"/>
  <c r="U150" i="2" s="1"/>
  <c r="O151" i="2"/>
  <c r="P151" i="2" s="1"/>
  <c r="Q151" i="2" s="1"/>
  <c r="S151" i="2"/>
  <c r="T151" i="2" s="1"/>
  <c r="U151" i="2" s="1"/>
  <c r="O152" i="2"/>
  <c r="P152" i="2" s="1"/>
  <c r="Q152" i="2" s="1"/>
  <c r="S152" i="2"/>
  <c r="T152" i="2" s="1"/>
  <c r="U152" i="2" s="1"/>
  <c r="O153" i="2"/>
  <c r="P153" i="2" s="1"/>
  <c r="Q153" i="2" s="1"/>
  <c r="S153" i="2"/>
  <c r="T153" i="2" s="1"/>
  <c r="U153" i="2" s="1"/>
  <c r="O154" i="2"/>
  <c r="P154" i="2" s="1"/>
  <c r="Q154" i="2" s="1"/>
  <c r="S154" i="2"/>
  <c r="T154" i="2" s="1"/>
  <c r="U154" i="2" s="1"/>
  <c r="O155" i="2"/>
  <c r="P155" i="2" s="1"/>
  <c r="Q155" i="2" s="1"/>
  <c r="S155" i="2"/>
  <c r="T155" i="2" s="1"/>
  <c r="U155" i="2" s="1"/>
  <c r="O156" i="2"/>
  <c r="P156" i="2" s="1"/>
  <c r="Q156" i="2" s="1"/>
  <c r="S156" i="2"/>
  <c r="T156" i="2" s="1"/>
  <c r="U156" i="2" s="1"/>
  <c r="O157" i="2"/>
  <c r="P157" i="2" s="1"/>
  <c r="Q157" i="2" s="1"/>
  <c r="S157" i="2"/>
  <c r="T157" i="2" s="1"/>
  <c r="U157" i="2" s="1"/>
  <c r="O158" i="2"/>
  <c r="P158" i="2" s="1"/>
  <c r="Q158" i="2" s="1"/>
  <c r="S158" i="2"/>
  <c r="T158" i="2" s="1"/>
  <c r="U158" i="2" s="1"/>
  <c r="O159" i="2"/>
  <c r="P159" i="2" s="1"/>
  <c r="Q159" i="2" s="1"/>
  <c r="S159" i="2"/>
  <c r="T159" i="2" s="1"/>
  <c r="U159" i="2" s="1"/>
  <c r="O160" i="2"/>
  <c r="P160" i="2" s="1"/>
  <c r="Q160" i="2" s="1"/>
  <c r="S160" i="2"/>
  <c r="T160" i="2" s="1"/>
  <c r="U160" i="2" s="1"/>
  <c r="O161" i="2"/>
  <c r="P161" i="2" s="1"/>
  <c r="Q161" i="2" s="1"/>
  <c r="S161" i="2"/>
  <c r="T161" i="2" s="1"/>
  <c r="U161" i="2" s="1"/>
  <c r="O162" i="2"/>
  <c r="P162" i="2" s="1"/>
  <c r="Q162" i="2" s="1"/>
  <c r="S162" i="2"/>
  <c r="T162" i="2" s="1"/>
  <c r="U162" i="2" s="1"/>
  <c r="O163" i="2"/>
  <c r="P163" i="2" s="1"/>
  <c r="Q163" i="2" s="1"/>
  <c r="S163" i="2"/>
  <c r="T163" i="2" s="1"/>
  <c r="U163" i="2" s="1"/>
  <c r="O164" i="2"/>
  <c r="P164" i="2" s="1"/>
  <c r="Q164" i="2" s="1"/>
  <c r="S164" i="2"/>
  <c r="T164" i="2" s="1"/>
  <c r="U164" i="2" s="1"/>
  <c r="O165" i="2"/>
  <c r="P165" i="2" s="1"/>
  <c r="Q165" i="2" s="1"/>
  <c r="S165" i="2"/>
  <c r="T165" i="2" s="1"/>
  <c r="U165" i="2" s="1"/>
  <c r="O166" i="2"/>
  <c r="P166" i="2" s="1"/>
  <c r="Q166" i="2" s="1"/>
  <c r="S166" i="2"/>
  <c r="T166" i="2" s="1"/>
  <c r="U166" i="2" s="1"/>
  <c r="O167" i="2"/>
  <c r="P167" i="2" s="1"/>
  <c r="Q167" i="2" s="1"/>
  <c r="S167" i="2"/>
  <c r="T167" i="2" s="1"/>
  <c r="U167" i="2" s="1"/>
  <c r="O168" i="2"/>
  <c r="P168" i="2" s="1"/>
  <c r="Q168" i="2" s="1"/>
  <c r="S168" i="2"/>
  <c r="T168" i="2" s="1"/>
  <c r="U168" i="2" s="1"/>
  <c r="O169" i="2"/>
  <c r="P169" i="2" s="1"/>
  <c r="Q169" i="2" s="1"/>
  <c r="S169" i="2"/>
  <c r="T169" i="2" s="1"/>
  <c r="U169" i="2" s="1"/>
  <c r="O170" i="2"/>
  <c r="P170" i="2" s="1"/>
  <c r="Q170" i="2" s="1"/>
  <c r="S170" i="2"/>
  <c r="T170" i="2" s="1"/>
  <c r="U170" i="2" s="1"/>
  <c r="O171" i="2"/>
  <c r="P171" i="2" s="1"/>
  <c r="Q171" i="2" s="1"/>
  <c r="S171" i="2"/>
  <c r="T171" i="2" s="1"/>
  <c r="U171" i="2" s="1"/>
  <c r="O172" i="2"/>
  <c r="P172" i="2" s="1"/>
  <c r="Q172" i="2" s="1"/>
  <c r="S172" i="2"/>
  <c r="T172" i="2" s="1"/>
  <c r="U172" i="2" s="1"/>
  <c r="O173" i="2"/>
  <c r="P173" i="2" s="1"/>
  <c r="Q173" i="2" s="1"/>
  <c r="S173" i="2"/>
  <c r="T173" i="2" s="1"/>
  <c r="U173" i="2" s="1"/>
  <c r="O174" i="2"/>
  <c r="P174" i="2" s="1"/>
  <c r="Q174" i="2" s="1"/>
  <c r="S174" i="2"/>
  <c r="T174" i="2" s="1"/>
  <c r="U174" i="2" s="1"/>
  <c r="O175" i="2"/>
  <c r="P175" i="2" s="1"/>
  <c r="Q175" i="2" s="1"/>
  <c r="S175" i="2"/>
  <c r="T175" i="2" s="1"/>
  <c r="U175" i="2" s="1"/>
  <c r="O176" i="2"/>
  <c r="P176" i="2" s="1"/>
  <c r="Q176" i="2" s="1"/>
  <c r="S176" i="2"/>
  <c r="T176" i="2" s="1"/>
  <c r="U176" i="2" s="1"/>
  <c r="O177" i="2"/>
  <c r="P177" i="2" s="1"/>
  <c r="Q177" i="2" s="1"/>
  <c r="S177" i="2"/>
  <c r="T177" i="2" s="1"/>
  <c r="U177" i="2" s="1"/>
  <c r="O178" i="2"/>
  <c r="P178" i="2" s="1"/>
  <c r="Q178" i="2" s="1"/>
  <c r="S178" i="2"/>
  <c r="T178" i="2" s="1"/>
  <c r="U178" i="2" s="1"/>
  <c r="O179" i="2"/>
  <c r="P179" i="2" s="1"/>
  <c r="Q179" i="2" s="1"/>
  <c r="S179" i="2"/>
  <c r="T179" i="2" s="1"/>
  <c r="U179" i="2" s="1"/>
  <c r="O180" i="2"/>
  <c r="P180" i="2" s="1"/>
  <c r="Q180" i="2" s="1"/>
  <c r="S180" i="2"/>
  <c r="T180" i="2" s="1"/>
  <c r="U180" i="2" s="1"/>
  <c r="O181" i="2"/>
  <c r="P181" i="2" s="1"/>
  <c r="Q181" i="2" s="1"/>
  <c r="S181" i="2"/>
  <c r="T181" i="2" s="1"/>
  <c r="U181" i="2" s="1"/>
  <c r="O182" i="2"/>
  <c r="P182" i="2" s="1"/>
  <c r="Q182" i="2" s="1"/>
  <c r="S182" i="2"/>
  <c r="T182" i="2" s="1"/>
  <c r="U182" i="2" s="1"/>
  <c r="O183" i="2"/>
  <c r="P183" i="2" s="1"/>
  <c r="Q183" i="2" s="1"/>
  <c r="S183" i="2"/>
  <c r="T183" i="2" s="1"/>
  <c r="U183" i="2" s="1"/>
  <c r="O184" i="2"/>
  <c r="P184" i="2" s="1"/>
  <c r="Q184" i="2" s="1"/>
  <c r="S184" i="2"/>
  <c r="T184" i="2" s="1"/>
  <c r="U184" i="2" s="1"/>
  <c r="O185" i="2"/>
  <c r="P185" i="2" s="1"/>
  <c r="Q185" i="2" s="1"/>
  <c r="S185" i="2"/>
  <c r="T185" i="2" s="1"/>
  <c r="U185" i="2" s="1"/>
  <c r="O186" i="2"/>
  <c r="P186" i="2" s="1"/>
  <c r="Q186" i="2" s="1"/>
  <c r="S186" i="2"/>
  <c r="T186" i="2" s="1"/>
  <c r="U186" i="2" s="1"/>
  <c r="O187" i="2"/>
  <c r="P187" i="2" s="1"/>
  <c r="Q187" i="2" s="1"/>
  <c r="S187" i="2"/>
  <c r="T187" i="2" s="1"/>
  <c r="U187" i="2" s="1"/>
  <c r="O188" i="2"/>
  <c r="P188" i="2" s="1"/>
  <c r="Q188" i="2" s="1"/>
  <c r="S188" i="2"/>
  <c r="T188" i="2" s="1"/>
  <c r="U188" i="2" s="1"/>
  <c r="O189" i="2"/>
  <c r="P189" i="2" s="1"/>
  <c r="Q189" i="2" s="1"/>
  <c r="S189" i="2"/>
  <c r="T189" i="2" s="1"/>
  <c r="U189" i="2" s="1"/>
  <c r="O190" i="2"/>
  <c r="P190" i="2" s="1"/>
  <c r="Q190" i="2" s="1"/>
  <c r="S190" i="2"/>
  <c r="T190" i="2" s="1"/>
  <c r="U190" i="2" s="1"/>
  <c r="O191" i="2"/>
  <c r="P191" i="2" s="1"/>
  <c r="Q191" i="2" s="1"/>
  <c r="S191" i="2"/>
  <c r="T191" i="2" s="1"/>
  <c r="U191" i="2" s="1"/>
  <c r="V129" i="2" l="1"/>
  <c r="V160" i="2"/>
  <c r="V188" i="2"/>
  <c r="V125" i="2"/>
  <c r="V115" i="2"/>
  <c r="V184" i="2"/>
  <c r="V112" i="2"/>
  <c r="V176" i="2"/>
  <c r="V189" i="2"/>
  <c r="V179" i="2"/>
  <c r="V150" i="2"/>
  <c r="V161" i="2"/>
  <c r="V158" i="2"/>
  <c r="V146" i="2"/>
  <c r="V135" i="2"/>
  <c r="V134" i="2"/>
  <c r="V122" i="2"/>
  <c r="V111" i="2"/>
  <c r="V107" i="2"/>
  <c r="V99" i="2"/>
  <c r="V168" i="2"/>
  <c r="V191" i="2"/>
  <c r="V190" i="2"/>
  <c r="V187" i="2"/>
  <c r="V185" i="2"/>
  <c r="V183" i="2"/>
  <c r="V182" i="2"/>
  <c r="V181" i="2"/>
  <c r="V180" i="2"/>
  <c r="V178" i="2"/>
  <c r="V177" i="2"/>
  <c r="V175" i="2"/>
  <c r="V174" i="2"/>
  <c r="V172" i="2"/>
  <c r="V171" i="2"/>
  <c r="V170" i="2"/>
  <c r="V169" i="2"/>
  <c r="V167" i="2"/>
  <c r="V166" i="2"/>
  <c r="V165" i="2"/>
  <c r="V164" i="2"/>
  <c r="V163" i="2"/>
  <c r="V159" i="2"/>
  <c r="V156" i="2"/>
  <c r="V155" i="2"/>
  <c r="V152" i="2"/>
  <c r="V151" i="2"/>
  <c r="V148" i="2"/>
  <c r="V145" i="2"/>
  <c r="V143" i="2"/>
  <c r="V141" i="2"/>
  <c r="V139" i="2"/>
  <c r="V138" i="2"/>
  <c r="V137" i="2"/>
  <c r="V136" i="2"/>
  <c r="V133" i="2"/>
  <c r="V132" i="2"/>
  <c r="V131" i="2"/>
  <c r="V130" i="2"/>
  <c r="V128" i="2"/>
  <c r="V127" i="2"/>
  <c r="V126" i="2"/>
  <c r="V123" i="2"/>
  <c r="V120" i="2"/>
  <c r="V119" i="2"/>
  <c r="V118" i="2"/>
  <c r="V116" i="2"/>
  <c r="V114" i="2"/>
  <c r="V110" i="2"/>
  <c r="V109" i="2"/>
  <c r="V108" i="2"/>
  <c r="V105" i="2"/>
  <c r="V104" i="2"/>
  <c r="V103" i="2"/>
  <c r="V102" i="2"/>
  <c r="V101" i="2"/>
  <c r="V100" i="2"/>
  <c r="V154" i="2"/>
  <c r="V149" i="2"/>
  <c r="V157" i="2"/>
  <c r="V153" i="2"/>
  <c r="V142" i="2"/>
  <c r="V173" i="2"/>
  <c r="V113" i="2"/>
  <c r="V162" i="2"/>
  <c r="V147" i="2"/>
  <c r="V144" i="2"/>
  <c r="V140" i="2"/>
  <c r="V186" i="2"/>
  <c r="V124" i="2"/>
  <c r="V121" i="2"/>
  <c r="V117" i="2"/>
  <c r="V106" i="2"/>
  <c r="S20" i="2"/>
  <c r="T20" i="2" s="1"/>
  <c r="U20" i="2" s="1"/>
  <c r="S21" i="2"/>
  <c r="T21" i="2" s="1"/>
  <c r="U21" i="2" s="1"/>
  <c r="S22" i="2"/>
  <c r="T22" i="2" s="1"/>
  <c r="U22" i="2" s="1"/>
  <c r="S23" i="2"/>
  <c r="T23" i="2" s="1"/>
  <c r="U23" i="2" s="1"/>
  <c r="S24" i="2"/>
  <c r="T24" i="2" s="1"/>
  <c r="U24" i="2" s="1"/>
  <c r="S25" i="2"/>
  <c r="T25" i="2" s="1"/>
  <c r="U25" i="2" s="1"/>
  <c r="S26" i="2"/>
  <c r="T26" i="2" s="1"/>
  <c r="U26" i="2" s="1"/>
  <c r="S27" i="2"/>
  <c r="T27" i="2" s="1"/>
  <c r="U27" i="2" s="1"/>
  <c r="S28" i="2"/>
  <c r="T28" i="2" s="1"/>
  <c r="U28" i="2" s="1"/>
  <c r="S29" i="2"/>
  <c r="T29" i="2" s="1"/>
  <c r="U29" i="2" s="1"/>
  <c r="S30" i="2"/>
  <c r="T30" i="2" s="1"/>
  <c r="U30" i="2" s="1"/>
  <c r="S31" i="2"/>
  <c r="T31" i="2" s="1"/>
  <c r="U31" i="2" s="1"/>
  <c r="S32" i="2"/>
  <c r="T32" i="2" s="1"/>
  <c r="U32" i="2" s="1"/>
  <c r="S33" i="2"/>
  <c r="T33" i="2" s="1"/>
  <c r="U33" i="2" s="1"/>
  <c r="S34" i="2"/>
  <c r="T34" i="2" s="1"/>
  <c r="U34" i="2" s="1"/>
  <c r="S35" i="2"/>
  <c r="T35" i="2" s="1"/>
  <c r="U35" i="2" s="1"/>
  <c r="S36" i="2"/>
  <c r="T36" i="2" s="1"/>
  <c r="U36" i="2" s="1"/>
  <c r="S37" i="2"/>
  <c r="T37" i="2" s="1"/>
  <c r="U37" i="2" s="1"/>
  <c r="S38" i="2"/>
  <c r="T38" i="2" s="1"/>
  <c r="U38" i="2" s="1"/>
  <c r="S39" i="2"/>
  <c r="T39" i="2" s="1"/>
  <c r="U39" i="2" s="1"/>
  <c r="S40" i="2"/>
  <c r="T40" i="2" s="1"/>
  <c r="U40" i="2" s="1"/>
  <c r="S41" i="2"/>
  <c r="T41" i="2" s="1"/>
  <c r="U41" i="2" s="1"/>
  <c r="S42" i="2"/>
  <c r="T42" i="2" s="1"/>
  <c r="U42" i="2" s="1"/>
  <c r="S43" i="2"/>
  <c r="T43" i="2" s="1"/>
  <c r="U43" i="2" s="1"/>
  <c r="S44" i="2"/>
  <c r="T44" i="2" s="1"/>
  <c r="U44" i="2" s="1"/>
  <c r="S45" i="2"/>
  <c r="T45" i="2" s="1"/>
  <c r="U45" i="2" s="1"/>
  <c r="S46" i="2"/>
  <c r="T46" i="2" s="1"/>
  <c r="U46" i="2" s="1"/>
  <c r="S47" i="2"/>
  <c r="T47" i="2" s="1"/>
  <c r="U47" i="2" s="1"/>
  <c r="S48" i="2"/>
  <c r="T48" i="2" s="1"/>
  <c r="U48" i="2" s="1"/>
  <c r="S49" i="2"/>
  <c r="T49" i="2" s="1"/>
  <c r="U49" i="2" s="1"/>
  <c r="S50" i="2"/>
  <c r="T50" i="2" s="1"/>
  <c r="U50" i="2" s="1"/>
  <c r="S51" i="2"/>
  <c r="T51" i="2" s="1"/>
  <c r="U51" i="2" s="1"/>
  <c r="S52" i="2"/>
  <c r="T52" i="2" s="1"/>
  <c r="U52" i="2" s="1"/>
  <c r="S53" i="2"/>
  <c r="T53" i="2" s="1"/>
  <c r="U53" i="2" s="1"/>
  <c r="S54" i="2"/>
  <c r="T54" i="2" s="1"/>
  <c r="U54" i="2" s="1"/>
  <c r="S55" i="2"/>
  <c r="T55" i="2" s="1"/>
  <c r="U55" i="2" s="1"/>
  <c r="S56" i="2"/>
  <c r="T56" i="2" s="1"/>
  <c r="U56" i="2" s="1"/>
  <c r="S57" i="2"/>
  <c r="T57" i="2" s="1"/>
  <c r="U57" i="2" s="1"/>
  <c r="S58" i="2"/>
  <c r="T58" i="2" s="1"/>
  <c r="U58" i="2" s="1"/>
  <c r="S59" i="2"/>
  <c r="T59" i="2" s="1"/>
  <c r="U59" i="2" s="1"/>
  <c r="S60" i="2"/>
  <c r="T60" i="2" s="1"/>
  <c r="U60" i="2" s="1"/>
  <c r="S61" i="2"/>
  <c r="T61" i="2" s="1"/>
  <c r="U61" i="2" s="1"/>
  <c r="S62" i="2"/>
  <c r="T62" i="2" s="1"/>
  <c r="U62" i="2" s="1"/>
  <c r="S63" i="2"/>
  <c r="T63" i="2" s="1"/>
  <c r="U63" i="2" s="1"/>
  <c r="S64" i="2"/>
  <c r="T64" i="2" s="1"/>
  <c r="U64" i="2" s="1"/>
  <c r="S65" i="2"/>
  <c r="T65" i="2" s="1"/>
  <c r="U65" i="2" s="1"/>
  <c r="S66" i="2"/>
  <c r="T66" i="2" s="1"/>
  <c r="U66" i="2" s="1"/>
  <c r="S67" i="2"/>
  <c r="T67" i="2" s="1"/>
  <c r="U67" i="2" s="1"/>
  <c r="S68" i="2"/>
  <c r="T68" i="2" s="1"/>
  <c r="U68" i="2" s="1"/>
  <c r="S69" i="2"/>
  <c r="T69" i="2" s="1"/>
  <c r="U69" i="2" s="1"/>
  <c r="S70" i="2"/>
  <c r="T70" i="2" s="1"/>
  <c r="U70" i="2" s="1"/>
  <c r="S71" i="2"/>
  <c r="T71" i="2" s="1"/>
  <c r="U71" i="2" s="1"/>
  <c r="S72" i="2"/>
  <c r="T72" i="2" s="1"/>
  <c r="U72" i="2" s="1"/>
  <c r="S73" i="2"/>
  <c r="T73" i="2" s="1"/>
  <c r="U73" i="2" s="1"/>
  <c r="S74" i="2"/>
  <c r="T74" i="2" s="1"/>
  <c r="U74" i="2" s="1"/>
  <c r="S75" i="2"/>
  <c r="T75" i="2" s="1"/>
  <c r="U75" i="2" s="1"/>
  <c r="S76" i="2"/>
  <c r="T76" i="2" s="1"/>
  <c r="U76" i="2" s="1"/>
  <c r="S77" i="2"/>
  <c r="T77" i="2" s="1"/>
  <c r="U77" i="2" s="1"/>
  <c r="S78" i="2"/>
  <c r="T78" i="2" s="1"/>
  <c r="U78" i="2" s="1"/>
  <c r="S79" i="2"/>
  <c r="T79" i="2" s="1"/>
  <c r="U79" i="2" s="1"/>
  <c r="S80" i="2"/>
  <c r="T80" i="2" s="1"/>
  <c r="U80" i="2" s="1"/>
  <c r="S81" i="2"/>
  <c r="T81" i="2" s="1"/>
  <c r="U81" i="2" s="1"/>
  <c r="S82" i="2"/>
  <c r="T82" i="2" s="1"/>
  <c r="U82" i="2" s="1"/>
  <c r="S83" i="2"/>
  <c r="T83" i="2" s="1"/>
  <c r="U83" i="2" s="1"/>
  <c r="S84" i="2"/>
  <c r="T84" i="2" s="1"/>
  <c r="U84" i="2" s="1"/>
  <c r="S85" i="2"/>
  <c r="T85" i="2" s="1"/>
  <c r="U85" i="2" s="1"/>
  <c r="S86" i="2"/>
  <c r="T86" i="2" s="1"/>
  <c r="U86" i="2" s="1"/>
  <c r="S87" i="2"/>
  <c r="T87" i="2" s="1"/>
  <c r="U87" i="2" s="1"/>
  <c r="S88" i="2"/>
  <c r="T88" i="2" s="1"/>
  <c r="U88" i="2" s="1"/>
  <c r="S89" i="2"/>
  <c r="T89" i="2" s="1"/>
  <c r="U89" i="2" s="1"/>
  <c r="S90" i="2"/>
  <c r="T90" i="2" s="1"/>
  <c r="U90" i="2" s="1"/>
  <c r="S91" i="2"/>
  <c r="T91" i="2" s="1"/>
  <c r="U91" i="2" s="1"/>
  <c r="S92" i="2"/>
  <c r="T92" i="2" s="1"/>
  <c r="U92" i="2" s="1"/>
  <c r="S93" i="2"/>
  <c r="T93" i="2" s="1"/>
  <c r="U93" i="2" s="1"/>
  <c r="S94" i="2"/>
  <c r="T94" i="2" s="1"/>
  <c r="U94" i="2" s="1"/>
  <c r="S95" i="2"/>
  <c r="T95" i="2" s="1"/>
  <c r="U95" i="2" s="1"/>
  <c r="S96" i="2"/>
  <c r="T96" i="2" s="1"/>
  <c r="U96" i="2" s="1"/>
  <c r="S97" i="2"/>
  <c r="T97" i="2" s="1"/>
  <c r="U97" i="2" s="1"/>
  <c r="S98" i="2"/>
  <c r="T98" i="2" s="1"/>
  <c r="U98" i="2" s="1"/>
  <c r="S19" i="2"/>
  <c r="T19" i="2" s="1"/>
  <c r="U19" i="2" s="1"/>
  <c r="O20" i="2"/>
  <c r="P20" i="2" s="1"/>
  <c r="Q20" i="2" s="1"/>
  <c r="O21" i="2"/>
  <c r="P21" i="2" s="1"/>
  <c r="Q21" i="2" s="1"/>
  <c r="O22" i="2"/>
  <c r="P22" i="2" s="1"/>
  <c r="Q22" i="2" s="1"/>
  <c r="O23" i="2"/>
  <c r="P23" i="2" s="1"/>
  <c r="Q23" i="2" s="1"/>
  <c r="O24" i="2"/>
  <c r="P24" i="2" s="1"/>
  <c r="Q24" i="2" s="1"/>
  <c r="O25" i="2"/>
  <c r="P25" i="2" s="1"/>
  <c r="Q25" i="2" s="1"/>
  <c r="O26" i="2"/>
  <c r="P26" i="2" s="1"/>
  <c r="Q26" i="2" s="1"/>
  <c r="O27" i="2"/>
  <c r="P27" i="2" s="1"/>
  <c r="Q27" i="2" s="1"/>
  <c r="O28" i="2"/>
  <c r="P28" i="2" s="1"/>
  <c r="Q28" i="2" s="1"/>
  <c r="O29" i="2"/>
  <c r="P29" i="2" s="1"/>
  <c r="Q29" i="2" s="1"/>
  <c r="O30" i="2"/>
  <c r="P30" i="2" s="1"/>
  <c r="Q30" i="2" s="1"/>
  <c r="O31" i="2"/>
  <c r="P31" i="2" s="1"/>
  <c r="Q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P36" i="2" s="1"/>
  <c r="Q36" i="2" s="1"/>
  <c r="O37" i="2"/>
  <c r="P37" i="2" s="1"/>
  <c r="Q37" i="2" s="1"/>
  <c r="O38" i="2"/>
  <c r="P38" i="2" s="1"/>
  <c r="Q38" i="2" s="1"/>
  <c r="O39" i="2"/>
  <c r="P39" i="2" s="1"/>
  <c r="Q39" i="2" s="1"/>
  <c r="O40" i="2"/>
  <c r="P40" i="2" s="1"/>
  <c r="Q40" i="2" s="1"/>
  <c r="O41" i="2"/>
  <c r="P41" i="2" s="1"/>
  <c r="Q41" i="2" s="1"/>
  <c r="O42" i="2"/>
  <c r="P42" i="2" s="1"/>
  <c r="Q42" i="2" s="1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P47" i="2" s="1"/>
  <c r="Q47" i="2" s="1"/>
  <c r="O48" i="2"/>
  <c r="P48" i="2" s="1"/>
  <c r="Q48" i="2" s="1"/>
  <c r="O49" i="2"/>
  <c r="P49" i="2" s="1"/>
  <c r="Q49" i="2" s="1"/>
  <c r="O50" i="2"/>
  <c r="P50" i="2" s="1"/>
  <c r="Q50" i="2" s="1"/>
  <c r="O51" i="2"/>
  <c r="P51" i="2" s="1"/>
  <c r="Q51" i="2" s="1"/>
  <c r="O52" i="2"/>
  <c r="P52" i="2" s="1"/>
  <c r="Q52" i="2" s="1"/>
  <c r="O53" i="2"/>
  <c r="P53" i="2" s="1"/>
  <c r="Q53" i="2" s="1"/>
  <c r="O54" i="2"/>
  <c r="P54" i="2" s="1"/>
  <c r="Q54" i="2" s="1"/>
  <c r="O55" i="2"/>
  <c r="P55" i="2" s="1"/>
  <c r="Q55" i="2" s="1"/>
  <c r="O56" i="2"/>
  <c r="P56" i="2" s="1"/>
  <c r="Q56" i="2" s="1"/>
  <c r="O57" i="2"/>
  <c r="P57" i="2" s="1"/>
  <c r="Q57" i="2" s="1"/>
  <c r="O58" i="2"/>
  <c r="P58" i="2" s="1"/>
  <c r="Q58" i="2" s="1"/>
  <c r="O59" i="2"/>
  <c r="P59" i="2" s="1"/>
  <c r="Q59" i="2" s="1"/>
  <c r="O60" i="2"/>
  <c r="P60" i="2" s="1"/>
  <c r="Q60" i="2" s="1"/>
  <c r="O61" i="2"/>
  <c r="P61" i="2" s="1"/>
  <c r="Q61" i="2" s="1"/>
  <c r="O62" i="2"/>
  <c r="P62" i="2" s="1"/>
  <c r="Q62" i="2" s="1"/>
  <c r="O63" i="2"/>
  <c r="P63" i="2" s="1"/>
  <c r="Q63" i="2" s="1"/>
  <c r="O64" i="2"/>
  <c r="P64" i="2" s="1"/>
  <c r="Q64" i="2" s="1"/>
  <c r="O65" i="2"/>
  <c r="P65" i="2" s="1"/>
  <c r="Q65" i="2" s="1"/>
  <c r="O66" i="2"/>
  <c r="P66" i="2" s="1"/>
  <c r="Q66" i="2" s="1"/>
  <c r="O67" i="2"/>
  <c r="P67" i="2" s="1"/>
  <c r="Q67" i="2" s="1"/>
  <c r="O68" i="2"/>
  <c r="P68" i="2" s="1"/>
  <c r="Q68" i="2" s="1"/>
  <c r="O69" i="2"/>
  <c r="P69" i="2" s="1"/>
  <c r="Q69" i="2" s="1"/>
  <c r="O70" i="2"/>
  <c r="P70" i="2" s="1"/>
  <c r="Q70" i="2" s="1"/>
  <c r="O71" i="2"/>
  <c r="P71" i="2" s="1"/>
  <c r="Q71" i="2" s="1"/>
  <c r="O72" i="2"/>
  <c r="P72" i="2" s="1"/>
  <c r="Q72" i="2" s="1"/>
  <c r="O73" i="2"/>
  <c r="P73" i="2" s="1"/>
  <c r="Q73" i="2" s="1"/>
  <c r="O74" i="2"/>
  <c r="P74" i="2" s="1"/>
  <c r="Q74" i="2" s="1"/>
  <c r="O75" i="2"/>
  <c r="P75" i="2" s="1"/>
  <c r="Q75" i="2" s="1"/>
  <c r="O76" i="2"/>
  <c r="P76" i="2" s="1"/>
  <c r="Q76" i="2" s="1"/>
  <c r="O77" i="2"/>
  <c r="P77" i="2" s="1"/>
  <c r="Q77" i="2" s="1"/>
  <c r="O78" i="2"/>
  <c r="P78" i="2" s="1"/>
  <c r="Q78" i="2" s="1"/>
  <c r="O79" i="2"/>
  <c r="P79" i="2" s="1"/>
  <c r="Q79" i="2" s="1"/>
  <c r="O80" i="2"/>
  <c r="P80" i="2" s="1"/>
  <c r="Q80" i="2" s="1"/>
  <c r="O81" i="2"/>
  <c r="P81" i="2" s="1"/>
  <c r="Q81" i="2" s="1"/>
  <c r="O82" i="2"/>
  <c r="P82" i="2" s="1"/>
  <c r="Q82" i="2" s="1"/>
  <c r="O83" i="2"/>
  <c r="P83" i="2" s="1"/>
  <c r="Q83" i="2" s="1"/>
  <c r="O84" i="2"/>
  <c r="P84" i="2" s="1"/>
  <c r="Q84" i="2" s="1"/>
  <c r="O85" i="2"/>
  <c r="P85" i="2" s="1"/>
  <c r="Q85" i="2" s="1"/>
  <c r="O86" i="2"/>
  <c r="P86" i="2" s="1"/>
  <c r="Q86" i="2" s="1"/>
  <c r="O87" i="2"/>
  <c r="P87" i="2" s="1"/>
  <c r="Q87" i="2" s="1"/>
  <c r="O88" i="2"/>
  <c r="P88" i="2" s="1"/>
  <c r="Q88" i="2" s="1"/>
  <c r="O89" i="2"/>
  <c r="P89" i="2" s="1"/>
  <c r="Q89" i="2" s="1"/>
  <c r="O90" i="2"/>
  <c r="P90" i="2" s="1"/>
  <c r="Q90" i="2" s="1"/>
  <c r="O91" i="2"/>
  <c r="P91" i="2" s="1"/>
  <c r="Q91" i="2" s="1"/>
  <c r="O92" i="2"/>
  <c r="P92" i="2" s="1"/>
  <c r="Q92" i="2" s="1"/>
  <c r="O93" i="2"/>
  <c r="P93" i="2" s="1"/>
  <c r="Q93" i="2" s="1"/>
  <c r="O94" i="2"/>
  <c r="P94" i="2" s="1"/>
  <c r="Q94" i="2" s="1"/>
  <c r="O95" i="2"/>
  <c r="P95" i="2" s="1"/>
  <c r="Q95" i="2" s="1"/>
  <c r="O96" i="2"/>
  <c r="P96" i="2" s="1"/>
  <c r="Q96" i="2" s="1"/>
  <c r="O97" i="2"/>
  <c r="P97" i="2" s="1"/>
  <c r="Q97" i="2" s="1"/>
  <c r="O98" i="2"/>
  <c r="P98" i="2" s="1"/>
  <c r="Q98" i="2" s="1"/>
  <c r="O19" i="2"/>
  <c r="P19" i="2" s="1"/>
  <c r="Q19" i="2" s="1"/>
  <c r="V32" i="2" l="1"/>
  <c r="V20" i="2"/>
  <c r="V91" i="2"/>
  <c r="V79" i="2"/>
  <c r="V67" i="2"/>
  <c r="V55" i="2"/>
  <c r="V43" i="2"/>
  <c r="V31" i="2"/>
  <c r="V28" i="2"/>
  <c r="V19" i="2"/>
  <c r="V87" i="2"/>
  <c r="V75" i="2"/>
  <c r="V63" i="2"/>
  <c r="V51" i="2"/>
  <c r="V39" i="2"/>
  <c r="V36" i="2"/>
  <c r="V24" i="2"/>
  <c r="V95" i="2"/>
  <c r="V83" i="2"/>
  <c r="V71" i="2"/>
  <c r="V59" i="2"/>
  <c r="V47" i="2"/>
  <c r="V35" i="2"/>
  <c r="V23" i="2"/>
  <c r="V97" i="2"/>
  <c r="V81" i="2"/>
  <c r="V65" i="2"/>
  <c r="V49" i="2"/>
  <c r="V33" i="2"/>
  <c r="V93" i="2"/>
  <c r="V77" i="2"/>
  <c r="V61" i="2"/>
  <c r="V45" i="2"/>
  <c r="V27" i="2"/>
  <c r="V89" i="2"/>
  <c r="V73" i="2"/>
  <c r="V57" i="2"/>
  <c r="V41" i="2"/>
  <c r="V96" i="2"/>
  <c r="V92" i="2"/>
  <c r="V88" i="2"/>
  <c r="V84" i="2"/>
  <c r="V85" i="2"/>
  <c r="V69" i="2"/>
  <c r="V53" i="2"/>
  <c r="V37" i="2"/>
  <c r="V80" i="2"/>
  <c r="V68" i="2"/>
  <c r="V56" i="2"/>
  <c r="V44" i="2"/>
  <c r="V29" i="2"/>
  <c r="V98" i="2"/>
  <c r="V94" i="2"/>
  <c r="V90" i="2"/>
  <c r="V86" i="2"/>
  <c r="V82" i="2"/>
  <c r="V78" i="2"/>
  <c r="V74" i="2"/>
  <c r="V70" i="2"/>
  <c r="V66" i="2"/>
  <c r="V62" i="2"/>
  <c r="V58" i="2"/>
  <c r="V54" i="2"/>
  <c r="V50" i="2"/>
  <c r="V46" i="2"/>
  <c r="V42" i="2"/>
  <c r="V38" i="2"/>
  <c r="V34" i="2"/>
  <c r="V30" i="2"/>
  <c r="V26" i="2"/>
  <c r="V22" i="2"/>
  <c r="V25" i="2"/>
  <c r="V76" i="2"/>
  <c r="V64" i="2"/>
  <c r="V52" i="2"/>
  <c r="V40" i="2"/>
  <c r="V21" i="2"/>
  <c r="V72" i="2"/>
  <c r="V60" i="2"/>
  <c r="V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Alejandro Gamboa Moreno</author>
  </authors>
  <commentList>
    <comment ref="T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David Alejandro Gamboa Moreno:</t>
        </r>
        <r>
          <rPr>
            <sz val="9"/>
            <color indexed="81"/>
            <rFont val="Tahoma"/>
            <family val="2"/>
          </rPr>
          <t xml:space="preserve">
que vesion es este documento.</t>
        </r>
      </text>
    </comment>
  </commentList>
</comments>
</file>

<file path=xl/sharedStrings.xml><?xml version="1.0" encoding="utf-8"?>
<sst xmlns="http://schemas.openxmlformats.org/spreadsheetml/2006/main" count="1890" uniqueCount="593">
  <si>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</si>
  <si>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</si>
  <si>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t>PERSONERÍA DE 
BOGOTÁ, D. C.</t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</si>
  <si>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</si>
  <si>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</si>
  <si>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</si>
  <si>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</si>
  <si>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</si>
  <si>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</si>
  <si>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</si>
  <si>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</si>
  <si>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</si>
  <si>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</si>
  <si>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</si>
  <si>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</si>
  <si>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</si>
  <si>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</si>
  <si>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</si>
  <si>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</si>
  <si>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</si>
  <si>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OKZ666</t>
  </si>
  <si>
    <t>DUSTER DYNAMIQUE</t>
  </si>
  <si>
    <t>WAGON</t>
  </si>
  <si>
    <t>RENAULT</t>
  </si>
  <si>
    <t>BLANCO</t>
  </si>
  <si>
    <t>E412C011375</t>
  </si>
  <si>
    <t>9FBHSR5B6HM294196</t>
  </si>
  <si>
    <t>GASOLINA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</si>
  <si>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</si>
  <si>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</si>
  <si>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</si>
  <si>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</si>
  <si>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</si>
  <si>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</si>
  <si>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</si>
  <si>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</si>
  <si>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</si>
  <si>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</si>
  <si>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</si>
  <si>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</si>
  <si>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</si>
  <si>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</si>
  <si>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</si>
  <si>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</si>
  <si>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</si>
  <si>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</si>
  <si>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</si>
  <si>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</si>
  <si>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</si>
  <si>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</si>
  <si>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</si>
  <si>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</si>
  <si>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</si>
  <si>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</si>
  <si>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</si>
  <si>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</si>
  <si>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</si>
  <si>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</si>
  <si>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 FACTURA</t>
  </si>
  <si>
    <t>DOCUMENTOS SOPORTE</t>
  </si>
  <si>
    <t>FS7048</t>
  </si>
  <si>
    <t>PREVENTIVO</t>
  </si>
  <si>
    <t>LAVADO GENERAL</t>
  </si>
  <si>
    <t>LAVADO EXTERIOR</t>
  </si>
  <si>
    <t>FS 7262</t>
  </si>
  <si>
    <t>PLUMILLA LIMPIABRISAS DELANTERA</t>
  </si>
  <si>
    <t>PLUMILLA LIMPIABRISAS TRASERA</t>
  </si>
  <si>
    <t>DESPINCHE DE LLANTA</t>
  </si>
  <si>
    <t>DESMANCHADO</t>
  </si>
  <si>
    <t>LAVADO MOTOR</t>
  </si>
  <si>
    <t>FT 120635</t>
  </si>
  <si>
    <t>CORRECTIVO</t>
  </si>
  <si>
    <t>JUEGO DE PASTILLAS DELANTERAS</t>
  </si>
  <si>
    <t>JUEGO DE DISCOS DELANTEROS</t>
  </si>
  <si>
    <t>LIMPIADOR NO CLORATADO DE FRENOS</t>
  </si>
  <si>
    <t>FILTRO ACEITE</t>
  </si>
  <si>
    <t>FILTRO AIRE</t>
  </si>
  <si>
    <t>ACEITE</t>
  </si>
  <si>
    <t>FILTRO AIRE ACONDICIONADO</t>
  </si>
  <si>
    <t>REMACHE CON ARANDELA</t>
  </si>
  <si>
    <t>SALPICADERAS</t>
  </si>
  <si>
    <t>LIQUIDO DE FRENOS</t>
  </si>
  <si>
    <t>CAMBIO ACEITE MOTOR</t>
  </si>
  <si>
    <t>CAMBIO FILTRO ACEITE Y AIRE</t>
  </si>
  <si>
    <t>CAMBIO FILTRO AIRE ACONDICIONADO</t>
  </si>
  <si>
    <t>CAMBIO DE PASTILLAS O BANDAS</t>
  </si>
  <si>
    <t xml:space="preserve">CAMBIO DISCOS </t>
  </si>
  <si>
    <t>PURGAR SISTEMA DE FRENOS Y CAMBIO DE LIQUIDO</t>
  </si>
  <si>
    <t>INSTALAR SALPICADERAS x4</t>
  </si>
  <si>
    <t>FT 119642</t>
  </si>
  <si>
    <t>LAVADO GENERAL Y LAVADO MOTOR</t>
  </si>
  <si>
    <t>FT 120775</t>
  </si>
  <si>
    <t>TAPETES UNIVERSAL</t>
  </si>
  <si>
    <t>FT 120853</t>
  </si>
  <si>
    <t>CORREA REPARTICION</t>
  </si>
  <si>
    <t>TENSOR REPARTICION</t>
  </si>
  <si>
    <t>PATIN</t>
  </si>
  <si>
    <t xml:space="preserve">CAMBIO KIT DE REPARTICION </t>
  </si>
  <si>
    <t>BANCO DE PRUEBA CORRECCIÓN DE MEDIDAS</t>
  </si>
  <si>
    <t>FT 120856</t>
  </si>
  <si>
    <t>JUEGO DE SALPICADERAS</t>
  </si>
  <si>
    <t>REMACHE POP</t>
  </si>
  <si>
    <t>ACEITE MOTOR</t>
  </si>
  <si>
    <t>CAMBIO DE ACEITE MOTOR</t>
  </si>
  <si>
    <t>CAMBIO FILTROS AIRE Y ACEITE</t>
  </si>
  <si>
    <t>INSTALAR SALPICADERAS</t>
  </si>
  <si>
    <t>FT 120862</t>
  </si>
  <si>
    <t>FT 120768</t>
  </si>
  <si>
    <t>LAVADO GENERAL, LAVADO MOTOR, GRAFITADA, POLICHADO</t>
  </si>
  <si>
    <t>FT 120917</t>
  </si>
  <si>
    <t>FT 120950</t>
  </si>
  <si>
    <t>FT 121168</t>
  </si>
  <si>
    <t>22/0120</t>
  </si>
  <si>
    <t>FT121167</t>
  </si>
  <si>
    <t>LAVADO GRAL Y MOTOR</t>
  </si>
  <si>
    <t>FT 121232</t>
  </si>
  <si>
    <t>BATERIA</t>
  </si>
  <si>
    <t>CAMBIO DE BATERIA</t>
  </si>
  <si>
    <t>SERVICIO DE SCANER</t>
  </si>
  <si>
    <t>FT 121230</t>
  </si>
  <si>
    <t>LAV GRAL Y MOTOR</t>
  </si>
  <si>
    <t>INVERSIONES EL NORTE SAS</t>
  </si>
  <si>
    <t>FT 7323</t>
  </si>
  <si>
    <t>BASES AMORTIGUADOR</t>
  </si>
  <si>
    <t xml:space="preserve">JUEGO DE BUJIAS </t>
  </si>
  <si>
    <t>FILTRO DE ACEITE</t>
  </si>
  <si>
    <t>FILTRO DE AIRE</t>
  </si>
  <si>
    <t>LIMPIADOR PARA CUERPO DE ACELERACION</t>
  </si>
  <si>
    <t>RODAMIENTO BASE DE AMORTIGUADOR</t>
  </si>
  <si>
    <t>JUEGO PLUMILLAS 20 PULGADAS</t>
  </si>
  <si>
    <t>JUEGO DE AMORTIGUADORES DEL.</t>
  </si>
  <si>
    <t>TUERCA</t>
  </si>
  <si>
    <t>RODAMIENTO SALIDA EJE</t>
  </si>
  <si>
    <t>RETENEDOR EJE SALIDA</t>
  </si>
  <si>
    <t xml:space="preserve">CORREA AIRE ACONDICIONADO </t>
  </si>
  <si>
    <t>EMPAQUE PUERTA DELANTERA</t>
  </si>
  <si>
    <t>MANGUERA SALIDA A/A</t>
  </si>
  <si>
    <t>FILTRO  A/A</t>
  </si>
  <si>
    <t>SOPORTE CAJA</t>
  </si>
  <si>
    <t>TEMPLETE TRASERO DERECHO</t>
  </si>
  <si>
    <t>CHAPA TRINQUETE PUERTA</t>
  </si>
  <si>
    <t>SENSOR AIR BAG DEL</t>
  </si>
  <si>
    <t>TENSOR CORREA MULTISERVICIO</t>
  </si>
  <si>
    <t>GAS R 134</t>
  </si>
  <si>
    <t>LAVADO GENERAL Y DESMANCHADO</t>
  </si>
  <si>
    <t>ALINEACION</t>
  </si>
  <si>
    <t>BALANCEO</t>
  </si>
  <si>
    <t>GRASA</t>
  </si>
  <si>
    <t>ACEITE SINTETICO MOTOR</t>
  </si>
  <si>
    <t>PURGA SISTEME DE FRENOS</t>
  </si>
  <si>
    <t>CAMBIO AMORTIGUADOR DELANTERO</t>
  </si>
  <si>
    <t>SERVICIO PRENSA</t>
  </si>
  <si>
    <t>SERVICIO DE ESCANER</t>
  </si>
  <si>
    <t>FT 121288</t>
  </si>
  <si>
    <t>JUEGO PASTILLAS DELATERAS</t>
  </si>
  <si>
    <t>BOMBILLO EXPLORADORA</t>
  </si>
  <si>
    <t>FT 121292</t>
  </si>
  <si>
    <t>LAVADO</t>
  </si>
  <si>
    <t>FT01 233</t>
  </si>
  <si>
    <t>LLANTA NUEVA</t>
  </si>
  <si>
    <t xml:space="preserve">ALINEACION </t>
  </si>
  <si>
    <t xml:space="preserve">LIQUIDO DE FRENOS </t>
  </si>
  <si>
    <t>LIMPIADOR CUERPO ACELERACION</t>
  </si>
  <si>
    <t>RODAMIENTO BASE AMORTIGUADOR</t>
  </si>
  <si>
    <t>JUEGO AMORTIGUADORES DELANTEROS</t>
  </si>
  <si>
    <t>RETENEDOR SALIDA EJE</t>
  </si>
  <si>
    <t>CORREA A/A</t>
  </si>
  <si>
    <t xml:space="preserve">EMPAQUE PUERTA DELANTERA </t>
  </si>
  <si>
    <t>MANGERA SALIDA A/A</t>
  </si>
  <si>
    <t xml:space="preserve">SERVICIO PRENSA </t>
  </si>
  <si>
    <t>SERVICIO ESCANER</t>
  </si>
  <si>
    <t>LABADO GENERAL Y DESMANCHADO</t>
  </si>
  <si>
    <t>RFT 7408</t>
  </si>
  <si>
    <t>REPARACION ESPEJO RETROVISOR</t>
  </si>
  <si>
    <t>TALLERES EL NORTE</t>
  </si>
  <si>
    <t>BALANCEO RIN LUJO</t>
  </si>
  <si>
    <t>FC01 19</t>
  </si>
  <si>
    <t>REVICION GENERAL DE FRENOS</t>
  </si>
  <si>
    <t>PURGA SISTEMA DE FRENO</t>
  </si>
  <si>
    <t>REVISAR CUERPO ACELERACION</t>
  </si>
  <si>
    <t>ACEITE HIDRAULICO</t>
  </si>
  <si>
    <t>NO</t>
  </si>
  <si>
    <t>FC01 15</t>
  </si>
  <si>
    <t>BOMBILLO H4 P43 55/60 W 12 V</t>
  </si>
  <si>
    <t xml:space="preserve">BOMBILLO HALOGENO H7 12 VOLTIOS </t>
  </si>
  <si>
    <t>FC01 174</t>
  </si>
  <si>
    <t>SWITCH CONTROL LUCES</t>
  </si>
  <si>
    <t>CAMBIO DE ACEITE MOTOR, ENTRE OTROS</t>
  </si>
  <si>
    <t xml:space="preserve">CAMBIO FILTRO ACEITE, COMBUST, AIRE  </t>
  </si>
  <si>
    <t>REVISION ELECTRICA Y CAMBIO SWITCH</t>
  </si>
  <si>
    <t>ACEITE SINTETICO</t>
  </si>
  <si>
    <t>FC06 360</t>
  </si>
  <si>
    <t>FILTRO A/A</t>
  </si>
  <si>
    <t>KIT FELPA PARA BATERIA</t>
  </si>
  <si>
    <t>AJUSTE DE MASAS</t>
  </si>
  <si>
    <t>AUTOINVERCOL</t>
  </si>
  <si>
    <t>APV 31376</t>
  </si>
  <si>
    <t>AMORTIGUADOR DELANTERO</t>
  </si>
  <si>
    <t>SOPORTE</t>
  </si>
  <si>
    <t>KIT EMBRAGUE</t>
  </si>
  <si>
    <t>BASE AMORTIGUADOR DELANTERO</t>
  </si>
  <si>
    <t>MUÑECO O TEMPLETE ESTABILIZADORA</t>
  </si>
  <si>
    <t>RODAMIENTO CANASTILLA BASE AMORTIGUADOR</t>
  </si>
  <si>
    <t>SENSOR CPK</t>
  </si>
  <si>
    <t>D/M CAJA DE CAMBIOS</t>
  </si>
  <si>
    <t>RECTIFICACION VOLANTE MOTOR</t>
  </si>
  <si>
    <t>ALINEACION LLANTAS</t>
  </si>
  <si>
    <t>BALANCEO LLANTAS</t>
  </si>
  <si>
    <t>APV 31377</t>
  </si>
  <si>
    <t>LIQUIDO REFRIGERANTE</t>
  </si>
  <si>
    <t>TERMOSTATO</t>
  </si>
  <si>
    <t>DEPOSITO LIQUIDO RERIGERANTE</t>
  </si>
  <si>
    <t>REPARACION RADIADOR</t>
  </si>
  <si>
    <t>PURGA SISTEMA REFRIGERACION</t>
  </si>
  <si>
    <t>SERVICIO SCANNER</t>
  </si>
  <si>
    <t>APV31374</t>
  </si>
  <si>
    <t>CAMBIO TAPIZADO Y ESPUMA SILLA CONDUCTOR, PERSISTE PERDIDA LIQUIDO REFRIGERANTE</t>
  </si>
  <si>
    <t>APV 31647</t>
  </si>
  <si>
    <t>BANDAS FRENOS</t>
  </si>
  <si>
    <t xml:space="preserve">PURGA DE SISTEMA DE REFRIGERACIÓN </t>
  </si>
  <si>
    <t>LLANTA</t>
  </si>
  <si>
    <t>PASTILLAS DE FRENO</t>
  </si>
  <si>
    <t>LIQUIDO DE FRENOS X PINTA</t>
  </si>
  <si>
    <t>CILINDRO FRENO</t>
  </si>
  <si>
    <t xml:space="preserve">BRAZO AXIAL </t>
  </si>
  <si>
    <t>ALINEACION DE LLANTAS</t>
  </si>
  <si>
    <t>CAMBIO TAPIZADO Y ESPUMA SILLA CONDUCTOR</t>
  </si>
  <si>
    <t>MANTENIMIENTO Y LIMPIEZA VALVULA PCV</t>
  </si>
  <si>
    <t>REVISIÓN ALTERNADOR Y SISTEMA ELECTRICO CARGA, CAMBIO DE ACEITE Y FILTROS (AIRE - ACEITE)</t>
  </si>
  <si>
    <t>UNION TEMPORAL EL NORTE</t>
  </si>
  <si>
    <t>FVUN 158</t>
  </si>
  <si>
    <t xml:space="preserve">BATERIA </t>
  </si>
  <si>
    <t>DEPOSITO REFRIGERANTE</t>
  </si>
  <si>
    <t>ACEITE MOTOR X1 CUARTO</t>
  </si>
  <si>
    <t>CAMBIO DE ACEITE MOTOR. COSTO POR EL TOTAL QUE SE CAMBIE EN CADA REFERENCIA</t>
  </si>
  <si>
    <t>CAMBIO FILTRO (ACEITE, COMBUSTIBLE, AIRE, TRAMPA O SEDIMENTADOR)</t>
  </si>
  <si>
    <t>REPARACIÓN DE ALTERNADOR (CAMBIO DE REGULADOR, ESCOBILLAS, DIODOS, CORONA, ROTOR, RODAMIENTO, INCLUYE MONTE Y DESMONTE)</t>
  </si>
  <si>
    <t xml:space="preserve">REVISIÓN ELECTRICA </t>
  </si>
  <si>
    <t xml:space="preserve">ALINEACIÓN </t>
  </si>
  <si>
    <t xml:space="preserve">REVISIÓN SENSOR DE REVERSA, AJUSTE DE FRENOS, </t>
  </si>
  <si>
    <t>FVUN 159</t>
  </si>
  <si>
    <t>INTERRUPTOR O PERA DE REVERSA</t>
  </si>
  <si>
    <t>REVISIÓN GENERAL, GRADUACIÓN Y AJUSTE DE FRENOS</t>
  </si>
  <si>
    <t>REVISIÓN SISTEMA DE EMBRAGUE, REVISIÓN TESTIGO DE ACEITE, FUGA LIQUIDO DE EMBRAGUE, TESTIGO NO ENCIENDE</t>
  </si>
  <si>
    <t>FVUN 187</t>
  </si>
  <si>
    <t xml:space="preserve">PERA ACEITE </t>
  </si>
  <si>
    <t>VALVULA DE EMBRAGUE</t>
  </si>
  <si>
    <t>GUARDAPOLVO LADO CAJA</t>
  </si>
  <si>
    <t xml:space="preserve">ACEITE MOTOR X CUARTO </t>
  </si>
  <si>
    <t>DESODORIZACIÓN EVAPORADOR AIRE ACONDICIONADO</t>
  </si>
  <si>
    <t>LAVADO GENERAL CAMIONETA</t>
  </si>
  <si>
    <t xml:space="preserve">REVISIÓN SISTEMA REFRIGERACIÓN MOTOR, CAMBIO BOMBILLO UNIDAD </t>
  </si>
  <si>
    <t>FVUN 194</t>
  </si>
  <si>
    <t>MANGUERA DEPOSITO SALIDA DEPOSITOREFRIGERANTE</t>
  </si>
  <si>
    <t>LIQUIDO REFRIGERANTE X GALON (3785CC)</t>
  </si>
  <si>
    <t xml:space="preserve">BOMBILLO HALÓGENO </t>
  </si>
  <si>
    <t>REVISIÓN SISTEMA DE REFRIGERACIÓN MOTOR, CAMBIO BOMBILLO UNIDAD, FUGA DE LIQUIDO REFRIGERANTE, BOMBILLO FUNDIDO</t>
  </si>
  <si>
    <t>FVUN 216</t>
  </si>
  <si>
    <t xml:space="preserve">TUBO SALIDA DE CALEFACCIÓN </t>
  </si>
  <si>
    <t>REVISI´N GENERAL, GRADUACIÓN Y AJUSTE DE FRENOS</t>
  </si>
  <si>
    <t xml:space="preserve">LAVADO EXTERIOR </t>
  </si>
  <si>
    <t>Nota: Si este documento se encuentra impreso se considera Copia no Controlada. La versión vigente está publicada en la intranet de la Personería de Bogotá, D. C.</t>
  </si>
  <si>
    <t>ABRAZADERA 450x720 NEGRA</t>
  </si>
  <si>
    <t>ACEITE CHEVRON PARA HIDRAULICO</t>
  </si>
  <si>
    <t>ACEITE HID ACD PLUS ATF TYPE VI</t>
  </si>
  <si>
    <t>ACEITE HIDRAULICO CAJA</t>
  </si>
  <si>
    <t xml:space="preserve">ACEITE HIDRAULICO DIRECCION </t>
  </si>
  <si>
    <t>ACEITE MOTOR AC DELCO SELE 20W50</t>
  </si>
  <si>
    <t>ACEITE SINTETICO 10W40</t>
  </si>
  <si>
    <t xml:space="preserve">PREVENTIVO 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</si>
  <si>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</si>
  <si>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</si>
  <si>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</si>
  <si>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</si>
  <si>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</si>
  <si>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</si>
  <si>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</si>
  <si>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</si>
  <si>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</si>
  <si>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</si>
  <si>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</si>
  <si>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</si>
  <si>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</si>
  <si>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</si>
  <si>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</si>
  <si>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</si>
  <si>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</si>
  <si>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</si>
  <si>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</si>
  <si>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</si>
  <si>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</si>
  <si>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</si>
  <si>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</si>
  <si>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</si>
  <si>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</si>
  <si>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</si>
  <si>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BANCO DE PRUEBA TRASERA</t>
  </si>
  <si>
    <t xml:space="preserve">BASE AMORTIGUADOR DELANTERO </t>
  </si>
  <si>
    <t>BASE AMORTIGUADOR TRASERO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</si>
  <si>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</si>
  <si>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</si>
  <si>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</si>
  <si>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</si>
  <si>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</si>
  <si>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</si>
  <si>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</si>
  <si>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</si>
  <si>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</si>
  <si>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FAROLA</t>
  </si>
  <si>
    <t xml:space="preserve">BOMBILLO H16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</si>
  <si>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</si>
  <si>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</si>
  <si>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</si>
  <si>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</si>
  <si>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</si>
  <si>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</si>
  <si>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</si>
  <si>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</si>
  <si>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</si>
  <si>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</si>
  <si>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</si>
  <si>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</si>
  <si>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</si>
  <si>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</si>
  <si>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</si>
  <si>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</si>
  <si>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</si>
  <si>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ALTERNADOR</t>
  </si>
  <si>
    <t>CAMBIO AMORTIGUADOR (TRASERO)</t>
  </si>
  <si>
    <t>CAMBIO AMORTIGUADORES</t>
  </si>
  <si>
    <t>CAMBIO BASES AMORTIGUADORES</t>
  </si>
  <si>
    <t>CAMBIO BATERIA</t>
  </si>
  <si>
    <t>CAMBIO BOMBA AGUA</t>
  </si>
  <si>
    <t>CAMBIO BOMBILLOS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</si>
  <si>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</si>
  <si>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</si>
  <si>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</si>
  <si>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</si>
  <si>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</si>
  <si>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</si>
  <si>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</si>
  <si>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</si>
  <si>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</si>
  <si>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</si>
  <si>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</si>
  <si>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</si>
  <si>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</si>
  <si>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</si>
  <si>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</si>
  <si>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</si>
  <si>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</si>
  <si>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</si>
  <si>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</si>
  <si>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</si>
  <si>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</si>
  <si>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</si>
  <si>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</si>
  <si>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</si>
  <si>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</si>
  <si>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</si>
  <si>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</si>
  <si>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</si>
  <si>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</si>
  <si>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</si>
  <si>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</si>
  <si>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</si>
  <si>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</si>
  <si>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</si>
  <si>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</si>
  <si>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</si>
  <si>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</si>
  <si>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</si>
  <si>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</si>
  <si>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TAPIZADO ARREGLO RECLINABLE SILLA CONDUCTOR</t>
  </si>
  <si>
    <t>CAMBIO TENSOR</t>
  </si>
  <si>
    <t>CAMBIO TERMOSTATO</t>
  </si>
  <si>
    <t>CAMBIO TIJERA</t>
  </si>
  <si>
    <t>CAMBIO VALVULA IAC</t>
  </si>
  <si>
    <t>CARGADOR PUNA AMARILLA</t>
  </si>
  <si>
    <t>CERRADURA IZQUIERDA</t>
  </si>
  <si>
    <t>CERRADURA TRACERA IZQUIERDA</t>
  </si>
  <si>
    <t>CERRADURA TRASERA IZQ.</t>
  </si>
  <si>
    <t>CINTA AISLANTE</t>
  </si>
  <si>
    <t>CORONA ALTERNADOR</t>
  </si>
  <si>
    <t xml:space="preserve">CORREA A/A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</si>
  <si>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</si>
  <si>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</si>
  <si>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</si>
  <si>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</si>
  <si>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</si>
  <si>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</si>
  <si>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CUBIERTA MULTIPLE ESCAPE</t>
  </si>
  <si>
    <t>D/M  ALTERNADOR</t>
  </si>
  <si>
    <t>D/M ARRANQUE</t>
  </si>
  <si>
    <t xml:space="preserve">D/M AVISOS </t>
  </si>
  <si>
    <t>D/M BOMBA HIDRAULICA</t>
  </si>
  <si>
    <t>D/M CAJA VELOCIDADES</t>
  </si>
  <si>
    <t>D/M CAJA VELOCIDADES PARA CAMBIO DE EMBRAGUE</t>
  </si>
  <si>
    <t>D/M CUNA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</si>
  <si>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</si>
  <si>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</si>
  <si>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</si>
  <si>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</si>
  <si>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</si>
  <si>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</si>
  <si>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</si>
  <si>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</si>
  <si>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</si>
  <si>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</si>
  <si>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</si>
  <si>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</si>
  <si>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</si>
  <si>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</si>
  <si>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</si>
  <si>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</si>
  <si>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</si>
  <si>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</si>
  <si>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</si>
  <si>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</si>
  <si>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</si>
  <si>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</si>
  <si>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</si>
  <si>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</si>
  <si>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</si>
  <si>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</si>
  <si>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</si>
  <si>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</si>
  <si>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</si>
  <si>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</si>
  <si>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</si>
  <si>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</si>
  <si>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</si>
  <si>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</si>
  <si>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</si>
  <si>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</si>
  <si>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</si>
  <si>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INDUCTORES</t>
  </si>
  <si>
    <t>INSTALACION BLOQUEO CENTRAL</t>
  </si>
  <si>
    <t xml:space="preserve">INSTALACION DE ALTA 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</si>
  <si>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</si>
  <si>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</si>
  <si>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</si>
  <si>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</si>
  <si>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</si>
  <si>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</si>
  <si>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</si>
  <si>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</si>
  <si>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</si>
  <si>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</si>
  <si>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</si>
  <si>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</si>
  <si>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20" SILICONADA</t>
  </si>
  <si>
    <t>KIT CADENA DE REPARTICION (CADENILLA, GUIAS Y TENSOR)</t>
  </si>
  <si>
    <t xml:space="preserve">KIT CORREA DE REPARTICION </t>
  </si>
  <si>
    <t>KIT DE EMBRAGUE</t>
  </si>
  <si>
    <t xml:space="preserve">KIT SINCRONIZACION </t>
  </si>
  <si>
    <t>KIT TENSOR CORREA ACE.</t>
  </si>
  <si>
    <t>LAVADO GENERAL Y MOTOR</t>
  </si>
  <si>
    <t>LAVADO GRAL Y MOTOR. GRAFITADA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</si>
  <si>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</si>
  <si>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</si>
  <si>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</si>
  <si>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</si>
  <si>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</si>
  <si>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</si>
  <si>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</si>
  <si>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LIMPIEZA Y BRILLADO UNIDAD DELANTERA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</si>
  <si>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</si>
  <si>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</si>
  <si>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</si>
  <si>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</si>
  <si>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</si>
  <si>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</si>
  <si>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</si>
  <si>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</si>
  <si>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</si>
  <si>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</si>
  <si>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</si>
  <si>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</si>
  <si>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</si>
  <si>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</si>
  <si>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</si>
  <si>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</si>
  <si>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</si>
  <si>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</si>
  <si>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</si>
  <si>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</si>
  <si>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</si>
  <si>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GUIAS</t>
  </si>
  <si>
    <t>PASADORES MORDAZA</t>
  </si>
  <si>
    <t>PASTILLAS DELANTERAS</t>
  </si>
  <si>
    <t>PEGANTE PARA TANQUE</t>
  </si>
  <si>
    <t>PERNO RUEDA</t>
  </si>
  <si>
    <t>PILAS CR 2016 CONTROL</t>
  </si>
  <si>
    <t>PISTOLA BLOQUEO CENTRAL</t>
  </si>
  <si>
    <t>PITO 12 V.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</si>
  <si>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</si>
  <si>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</si>
  <si>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</si>
  <si>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</si>
  <si>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</si>
  <si>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</si>
  <si>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</si>
  <si>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</si>
  <si>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</si>
  <si>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</si>
  <si>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</si>
  <si>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</si>
  <si>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</si>
  <si>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</si>
  <si>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</si>
  <si>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</si>
  <si>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</si>
  <si>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</si>
  <si>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</si>
  <si>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</si>
  <si>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</si>
  <si>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</si>
  <si>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</si>
  <si>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</si>
  <si>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</si>
  <si>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</si>
  <si>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</si>
  <si>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</si>
  <si>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</si>
  <si>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</si>
  <si>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RUEDAS DELANTERAS</t>
  </si>
  <si>
    <t xml:space="preserve">RETENEDOR RUEDAS DELANTERAS </t>
  </si>
  <si>
    <t>RETORQUEAR SUSPENSION</t>
  </si>
  <si>
    <t>REV CUERPO DE ACELERACION</t>
  </si>
  <si>
    <t>REV SISTEMA REFRIGERACION</t>
  </si>
  <si>
    <t>REVISION ALTERNADOR</t>
  </si>
  <si>
    <t>REVISION CINTURONES DE SEGURIDAD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</si>
  <si>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</si>
  <si>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</si>
  <si>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</si>
  <si>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</si>
  <si>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FRENOS</t>
  </si>
  <si>
    <t>REVISION GENERAL DE FRENOS</t>
  </si>
  <si>
    <t xml:space="preserve">REVISION GENERAL DE FRENOS 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</si>
  <si>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</si>
  <si>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</si>
  <si>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</si>
  <si>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</si>
  <si>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</si>
  <si>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</si>
  <si>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DELANTERO INTERNO</t>
  </si>
  <si>
    <t>RODAMIENTO RUEDA DELANTERA</t>
  </si>
  <si>
    <t>RODAMIENTO RUEDA TRASERA</t>
  </si>
  <si>
    <t>RODAMIENTO TRASERO</t>
  </si>
  <si>
    <t>RODAMIENTO TRASERO INTERNO</t>
  </si>
  <si>
    <t>RODAMIENTOS A/A</t>
  </si>
  <si>
    <t xml:space="preserve">RODAMIENTOS ALTERNADOR 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</si>
  <si>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</si>
  <si>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</si>
  <si>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</si>
  <si>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</si>
  <si>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</si>
  <si>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</si>
  <si>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TPS</t>
  </si>
  <si>
    <t xml:space="preserve">SERVICIO DE PRENSA 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</si>
  <si>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</si>
  <si>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</si>
  <si>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</si>
  <si>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</si>
  <si>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</si>
  <si>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</si>
  <si>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</si>
  <si>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</si>
  <si>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</si>
  <si>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</si>
  <si>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</si>
  <si>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</si>
  <si>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</si>
  <si>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PILOTO 1 GOLPE</t>
  </si>
  <si>
    <t>TAPA CORREA REPARTICION</t>
  </si>
  <si>
    <t>TAPA RADIADOR</t>
  </si>
  <si>
    <t>TAPON CULATA EJE DE LEVAS TRASERO</t>
  </si>
  <si>
    <t>TENSOR ALTERNADOR</t>
  </si>
  <si>
    <t>TENSOR CORREA MULTISERVICIOS</t>
  </si>
  <si>
    <t>TERMINAL DE DIRECCION</t>
  </si>
  <si>
    <t>TERMINAL ENCHUFE HEMBRA CON PIN</t>
  </si>
  <si>
    <t>TERMINALES BARRA ESTABILIZADORA</t>
  </si>
  <si>
    <t>TIJERA INFERIOR IZQUIERDA</t>
  </si>
  <si>
    <t xml:space="preserve">TORQUE SUSPENSION </t>
  </si>
  <si>
    <t>TUBO CONEXION RADIADOR</t>
  </si>
  <si>
    <t>TUERCA PERNO RUEDA</t>
  </si>
  <si>
    <t>VALVULA IAC</t>
  </si>
  <si>
    <t>VARILLA ACEITE</t>
  </si>
  <si>
    <t>VARSOL</t>
  </si>
  <si>
    <t>VENTILADOR</t>
  </si>
  <si>
    <t>VULCANIZAR LLANTA</t>
  </si>
  <si>
    <t xml:space="preserve">TORQUEAR SUSPENSION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</si>
</sst>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dd/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8"/>
      <color rgb="FFFF000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30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/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vertical="center"/>
    </xf>
    <xf numFmtId="14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7" fillId="0" borderId="1" xfId="0" applyNumberFormat="1" applyFont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3" fontId="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0" xfId="0" applyFont="1" applyFill="1"/>
    <xf numFmtId="165" fontId="10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/>
    <xf numFmtId="0" fontId="1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3" fontId="10" fillId="5" borderId="1" xfId="0" applyNumberFormat="1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2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/>
    </xf>
    <xf numFmtId="14" fontId="10" fillId="5" borderId="1" xfId="0" applyNumberFormat="1" applyFont="1" applyFill="1" applyBorder="1"/>
    <xf numFmtId="0" fontId="10" fillId="5" borderId="1" xfId="0" applyFont="1" applyFill="1" applyBorder="1"/>
    <xf numFmtId="164" fontId="0" fillId="0" borderId="0" xfId="0" applyNumberFormat="1"/>
    <xf numFmtId="0" fontId="22" fillId="6" borderId="1" xfId="0" applyFont="1" applyFill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0" fontId="22" fillId="0" borderId="1" xfId="0" applyFont="1" applyBorder="1"/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14" fontId="10" fillId="8" borderId="1" xfId="0" applyNumberFormat="1" applyFont="1" applyFill="1" applyBorder="1"/>
    <xf numFmtId="0" fontId="22" fillId="6" borderId="1" xfId="0" applyFont="1" applyFill="1" applyBorder="1" applyAlignment="1">
      <alignment vertical="top" wrapText="1"/>
    </xf>
    <xf numFmtId="0" fontId="22" fillId="6" borderId="5" xfId="0" applyFont="1" applyFill="1" applyBorder="1" applyAlignment="1">
      <alignment horizontal="left" wrapText="1"/>
    </xf>
    <xf numFmtId="0" fontId="22" fillId="0" borderId="7" xfId="0" applyFont="1" applyBorder="1"/>
    <xf numFmtId="0" fontId="10" fillId="0" borderId="7" xfId="0" applyFont="1" applyBorder="1"/>
    <xf numFmtId="0" fontId="10" fillId="0" borderId="7" xfId="0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14" fontId="10" fillId="0" borderId="7" xfId="0" applyNumberFormat="1" applyFont="1" applyBorder="1"/>
    <xf numFmtId="0" fontId="27" fillId="0" borderId="0" xfId="0" applyFont="1" applyAlignment="1">
      <alignment horizontal="center" vertical="center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4" fontId="10" fillId="0" borderId="8" xfId="1" applyFont="1" applyFill="1" applyBorder="1" applyAlignment="1">
      <alignment horizontal="center" vertical="center"/>
    </xf>
    <xf numFmtId="164" fontId="9" fillId="0" borderId="8" xfId="1" applyFont="1" applyFill="1" applyBorder="1" applyAlignment="1">
      <alignment horizontal="center" vertical="center"/>
    </xf>
    <xf numFmtId="164" fontId="10" fillId="0" borderId="8" xfId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0" fillId="0" borderId="8" xfId="0" applyBorder="1"/>
    <xf numFmtId="164" fontId="10" fillId="0" borderId="8" xfId="1" applyFont="1" applyFill="1" applyBorder="1" applyAlignment="1">
      <alignment vertical="center"/>
    </xf>
    <xf numFmtId="164" fontId="10" fillId="0" borderId="8" xfId="1" applyFont="1" applyBorder="1" applyAlignment="1">
      <alignment vertical="center"/>
    </xf>
    <xf numFmtId="164" fontId="10" fillId="0" borderId="8" xfId="0" applyNumberFormat="1" applyFont="1" applyBorder="1" applyAlignment="1">
      <alignment vertical="center"/>
    </xf>
    <xf numFmtId="0" fontId="14" fillId="0" borderId="7" xfId="0" applyFont="1" applyBorder="1" applyAlignment="1">
      <alignment horizontal="center"/>
    </xf>
    <xf numFmtId="0" fontId="7" fillId="3" borderId="8" xfId="0" applyFont="1" applyFill="1" applyBorder="1" applyAlignment="1" applyProtection="1">
      <alignment horizontal="center" vertical="center" wrapText="1"/>
      <protection locked="0"/>
    </xf>
    <xf numFmtId="0" fontId="11" fillId="3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64" fontId="5" fillId="0" borderId="8" xfId="1" applyFont="1" applyFill="1" applyBorder="1" applyAlignment="1">
      <alignment vertical="center"/>
    </xf>
    <xf numFmtId="164" fontId="5" fillId="0" borderId="8" xfId="1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164" fontId="10" fillId="5" borderId="8" xfId="1" applyFont="1" applyFill="1" applyBorder="1" applyAlignment="1">
      <alignment horizontal="center" vertical="center"/>
    </xf>
    <xf numFmtId="164" fontId="5" fillId="5" borderId="8" xfId="1" applyFont="1" applyFill="1" applyBorder="1" applyAlignment="1">
      <alignment vertical="center"/>
    </xf>
    <xf numFmtId="164" fontId="9" fillId="7" borderId="8" xfId="1" applyFont="1" applyFill="1" applyBorder="1" applyAlignment="1">
      <alignment horizontal="center" vertical="center"/>
    </xf>
    <xf numFmtId="164" fontId="10" fillId="5" borderId="8" xfId="1" applyFont="1" applyFill="1" applyBorder="1" applyAlignment="1">
      <alignment vertical="center"/>
    </xf>
    <xf numFmtId="164" fontId="5" fillId="5" borderId="8" xfId="0" applyNumberFormat="1" applyFont="1" applyFill="1" applyBorder="1" applyAlignment="1">
      <alignment vertical="center"/>
    </xf>
    <xf numFmtId="0" fontId="0" fillId="5" borderId="8" xfId="0" applyFill="1" applyBorder="1"/>
    <xf numFmtId="164" fontId="0" fillId="0" borderId="8" xfId="0" applyNumberFormat="1" applyBorder="1"/>
    <xf numFmtId="164" fontId="9" fillId="5" borderId="8" xfId="1" applyFont="1" applyFill="1" applyBorder="1" applyAlignment="1">
      <alignment horizontal="center" vertical="center"/>
    </xf>
    <xf numFmtId="164" fontId="10" fillId="5" borderId="8" xfId="0" applyNumberFormat="1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14" fontId="18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164" fontId="10" fillId="0" borderId="10" xfId="0" applyNumberFormat="1" applyFont="1" applyBorder="1" applyAlignment="1">
      <alignment horizontal="center" vertical="center"/>
    </xf>
    <xf numFmtId="0" fontId="25" fillId="0" borderId="8" xfId="2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/>
    <xf numFmtId="0" fontId="9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4" fontId="10" fillId="0" borderId="11" xfId="1" applyFont="1" applyFill="1" applyBorder="1" applyAlignment="1">
      <alignment horizontal="center" vertical="center"/>
    </xf>
    <xf numFmtId="164" fontId="9" fillId="0" borderId="11" xfId="1" applyFont="1" applyFill="1" applyBorder="1" applyAlignment="1">
      <alignment horizontal="center" vertical="center"/>
    </xf>
    <xf numFmtId="164" fontId="10" fillId="0" borderId="11" xfId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10" fillId="0" borderId="11" xfId="0" applyNumberFormat="1" applyFont="1" applyBorder="1" applyAlignment="1">
      <alignment horizontal="center" vertical="center"/>
    </xf>
    <xf numFmtId="14" fontId="5" fillId="0" borderId="8" xfId="0" applyNumberFormat="1" applyFont="1" applyBorder="1"/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5" fillId="0" borderId="11" xfId="2" applyBorder="1" applyAlignment="1">
      <alignment horizontal="center" vertical="center"/>
    </xf>
    <xf numFmtId="0" fontId="25" fillId="0" borderId="12" xfId="2" applyBorder="1" applyAlignment="1">
      <alignment horizontal="center" vertical="center"/>
    </xf>
    <xf numFmtId="0" fontId="25" fillId="0" borderId="6" xfId="2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5" fillId="0" borderId="8" xfId="2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6" fillId="0" borderId="8" xfId="2" applyFont="1" applyBorder="1" applyAlignment="1">
      <alignment horizontal="center" vertical="center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64" fontId="27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6" fillId="0" borderId="11" xfId="2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6_167902_FACT_FVUN194.pdf?csf=1&amp;web=1&amp;e=hHszhc" TargetMode="External"/><Relationship Id="rId3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OKZ666%5F162400%5FMANT%5FFACT%5F31374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7" Type="http://schemas.openxmlformats.org/officeDocument/2006/relationships/hyperlink" Target="https://personeriabogota-my.sharepoint.com/:b:/g/personal/sgdrecfisicos_personeriabogota_gov_co/ERhlmtTghlVEiOYpLnatqEABsiRfCED1oqbpMVjgPV47Gw?e=yciSRo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OKZ666%5F159563%5FMANT%5FFACT%5F31377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OKZ666%5F158059%5FMANT%5FFACT%5F31376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6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6_167179_FACT_FVUN159.pdf?csf=1&amp;web=1&amp;e=uMjfyq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6_167173_FACT_FVUN158.pdf?csf=1&amp;web=1&amp;e=jXWIW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ersoneriabogota-my.sharepoint.com/:b:/g/personal/sgdrecfisicos_personeriabogota_gov_co/EX8b6BRreEBPq7xNyt1hdgsBtsfr30XEu5oWaG-ejrVd3g?e=q56n9h" TargetMode="External"/><Relationship Id="rId9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6_170090_FACT_FVUN216.pdf?csf=1&amp;web=1&amp;e=TK4o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496"/>
  <sheetViews>
    <sheetView showGridLines="0" tabSelected="1" topLeftCell="I243" zoomScale="80" zoomScaleNormal="80" workbookViewId="0">
      <selection activeCell="L250" sqref="L250"/>
    </sheetView>
  </sheetViews>
  <sheetFormatPr defaultColWidth="0" defaultRowHeight="15"/>
  <cols>
    <col min="1" max="2" width="1.85546875" customWidth="1"/>
    <col min="3" max="3" width="21.5703125" customWidth="1"/>
    <col min="4" max="4" width="16.5703125" customWidth="1"/>
    <col min="5" max="5" width="16" customWidth="1"/>
    <col min="6" max="6" width="21.5703125" customWidth="1"/>
    <col min="7" max="7" width="14.85546875" customWidth="1"/>
    <col min="8" max="8" width="14.7109375" style="34" customWidth="1"/>
    <col min="9" max="9" width="22.140625" customWidth="1"/>
    <col min="10" max="10" width="13" customWidth="1"/>
    <col min="11" max="11" width="13.140625" customWidth="1"/>
    <col min="12" max="12" width="28.5703125" bestFit="1" customWidth="1"/>
    <col min="13" max="13" width="14.7109375" customWidth="1"/>
    <col min="14" max="14" width="13.85546875" bestFit="1" customWidth="1"/>
    <col min="15" max="15" width="15" customWidth="1"/>
    <col min="16" max="16" width="13.28515625" customWidth="1"/>
    <col min="17" max="17" width="16.42578125" customWidth="1"/>
    <col min="18" max="18" width="14.140625" customWidth="1"/>
    <col min="19" max="19" width="15.28515625" customWidth="1"/>
    <col min="20" max="20" width="13.42578125" customWidth="1"/>
    <col min="21" max="21" width="15.7109375" customWidth="1"/>
    <col min="22" max="22" width="17.140625" customWidth="1"/>
    <col min="23" max="23" width="15.5703125" bestFit="1" customWidth="1"/>
    <col min="24" max="24" width="15.28515625" customWidth="1"/>
    <col min="25" max="25" width="11.42578125" customWidth="1"/>
    <col min="250" max="250" width="1.85546875" hidden="1"/>
    <col min="251" max="251" width="8" hidden="1"/>
    <col min="252" max="252" width="9.5703125" hidden="1"/>
    <col min="253" max="254" width="8" hidden="1"/>
    <col min="255" max="257" width="1.85546875" hidden="1"/>
    <col min="258" max="258" width="13.42578125" hidden="1"/>
    <col min="259" max="259" width="16.85546875" hidden="1"/>
    <col min="260" max="260" width="9.7109375" hidden="1"/>
    <col min="261" max="261" width="9.85546875" hidden="1"/>
    <col min="262" max="262" width="7.7109375" hidden="1"/>
    <col min="263" max="263" width="12.85546875" hidden="1"/>
    <col min="264" max="264" width="13.85546875" hidden="1"/>
    <col min="265" max="265" width="9.85546875" hidden="1"/>
    <col min="266" max="266" width="14.7109375" hidden="1"/>
    <col min="267" max="267" width="16.42578125" hidden="1"/>
    <col min="268" max="270" width="13.85546875" hidden="1"/>
    <col min="271" max="271" width="12.85546875" hidden="1"/>
    <col min="272" max="272" width="14.140625" hidden="1"/>
    <col min="273" max="273" width="12.28515625" hidden="1"/>
    <col min="274" max="275" width="14.42578125" hidden="1"/>
    <col min="276" max="276" width="12.85546875" hidden="1"/>
    <col min="277" max="277" width="12.28515625" hidden="1"/>
    <col min="278" max="278" width="16.7109375" hidden="1"/>
    <col min="506" max="506" width="1.85546875" hidden="1"/>
    <col min="507" max="507" width="8" hidden="1"/>
    <col min="508" max="508" width="9.5703125" hidden="1"/>
    <col min="509" max="510" width="8" hidden="1"/>
    <col min="511" max="513" width="1.85546875" hidden="1"/>
    <col min="514" max="514" width="13.42578125" hidden="1"/>
    <col min="515" max="515" width="16.85546875" hidden="1"/>
    <col min="516" max="516" width="9.7109375" hidden="1"/>
    <col min="517" max="517" width="9.85546875" hidden="1"/>
    <col min="518" max="518" width="7.7109375" hidden="1"/>
    <col min="519" max="519" width="12.85546875" hidden="1"/>
    <col min="520" max="520" width="13.85546875" hidden="1"/>
    <col min="521" max="521" width="9.85546875" hidden="1"/>
    <col min="522" max="522" width="14.7109375" hidden="1"/>
    <col min="523" max="523" width="16.42578125" hidden="1"/>
    <col min="524" max="526" width="13.85546875" hidden="1"/>
    <col min="527" max="527" width="12.85546875" hidden="1"/>
    <col min="528" max="528" width="14.140625" hidden="1"/>
    <col min="529" max="529" width="12.28515625" hidden="1"/>
    <col min="530" max="531" width="14.42578125" hidden="1"/>
    <col min="532" max="532" width="12.85546875" hidden="1"/>
    <col min="533" max="533" width="12.28515625" hidden="1"/>
    <col min="534" max="534" width="16.7109375" hidden="1"/>
    <col min="762" max="762" width="1.85546875" hidden="1"/>
    <col min="763" max="763" width="8" hidden="1"/>
    <col min="764" max="764" width="9.5703125" hidden="1"/>
    <col min="765" max="766" width="8" hidden="1"/>
    <col min="767" max="769" width="1.85546875" hidden="1"/>
    <col min="770" max="770" width="13.42578125" hidden="1"/>
    <col min="771" max="771" width="16.85546875" hidden="1"/>
    <col min="772" max="772" width="9.7109375" hidden="1"/>
    <col min="773" max="773" width="9.85546875" hidden="1"/>
    <col min="774" max="774" width="7.7109375" hidden="1"/>
    <col min="775" max="775" width="12.85546875" hidden="1"/>
    <col min="776" max="776" width="13.85546875" hidden="1"/>
    <col min="777" max="777" width="9.85546875" hidden="1"/>
    <col min="778" max="778" width="14.7109375" hidden="1"/>
    <col min="779" max="779" width="16.42578125" hidden="1"/>
    <col min="780" max="782" width="13.85546875" hidden="1"/>
    <col min="783" max="783" width="12.85546875" hidden="1"/>
    <col min="784" max="784" width="14.140625" hidden="1"/>
    <col min="785" max="785" width="12.28515625" hidden="1"/>
    <col min="786" max="787" width="14.42578125" hidden="1"/>
    <col min="788" max="788" width="12.85546875" hidden="1"/>
    <col min="789" max="789" width="12.28515625" hidden="1"/>
    <col min="790" max="790" width="16.7109375" hidden="1"/>
    <col min="1018" max="1018" width="1.85546875" hidden="1"/>
    <col min="1019" max="1019" width="8" hidden="1"/>
    <col min="1020" max="1020" width="9.5703125" hidden="1"/>
    <col min="1021" max="1022" width="8" hidden="1"/>
    <col min="1023" max="1025" width="1.85546875" hidden="1"/>
    <col min="1026" max="1026" width="13.42578125" hidden="1"/>
    <col min="1027" max="1027" width="16.85546875" hidden="1"/>
    <col min="1028" max="1028" width="9.7109375" hidden="1"/>
    <col min="1029" max="1029" width="9.85546875" hidden="1"/>
    <col min="1030" max="1030" width="7.7109375" hidden="1"/>
    <col min="1031" max="1031" width="12.85546875" hidden="1"/>
    <col min="1032" max="1032" width="13.85546875" hidden="1"/>
    <col min="1033" max="1033" width="9.85546875" hidden="1"/>
    <col min="1034" max="1034" width="14.7109375" hidden="1"/>
    <col min="1035" max="1035" width="16.42578125" hidden="1"/>
    <col min="1036" max="1038" width="13.85546875" hidden="1"/>
    <col min="1039" max="1039" width="12.85546875" hidden="1"/>
    <col min="1040" max="1040" width="14.140625" hidden="1"/>
    <col min="1041" max="1041" width="12.28515625" hidden="1"/>
    <col min="1042" max="1043" width="14.42578125" hidden="1"/>
    <col min="1044" max="1044" width="12.85546875" hidden="1"/>
    <col min="1045" max="1045" width="12.28515625" hidden="1"/>
    <col min="1046" max="1046" width="16.7109375" hidden="1"/>
    <col min="1274" max="1274" width="1.85546875" hidden="1"/>
    <col min="1275" max="1275" width="8" hidden="1"/>
    <col min="1276" max="1276" width="9.5703125" hidden="1"/>
    <col min="1277" max="1278" width="8" hidden="1"/>
    <col min="1279" max="1281" width="1.85546875" hidden="1"/>
    <col min="1282" max="1282" width="13.42578125" hidden="1"/>
    <col min="1283" max="1283" width="16.85546875" hidden="1"/>
    <col min="1284" max="1284" width="9.7109375" hidden="1"/>
    <col min="1285" max="1285" width="9.85546875" hidden="1"/>
    <col min="1286" max="1286" width="7.7109375" hidden="1"/>
    <col min="1287" max="1287" width="12.85546875" hidden="1"/>
    <col min="1288" max="1288" width="13.85546875" hidden="1"/>
    <col min="1289" max="1289" width="9.85546875" hidden="1"/>
    <col min="1290" max="1290" width="14.7109375" hidden="1"/>
    <col min="1291" max="1291" width="16.42578125" hidden="1"/>
    <col min="1292" max="1294" width="13.85546875" hidden="1"/>
    <col min="1295" max="1295" width="12.85546875" hidden="1"/>
    <col min="1296" max="1296" width="14.140625" hidden="1"/>
    <col min="1297" max="1297" width="12.28515625" hidden="1"/>
    <col min="1298" max="1299" width="14.42578125" hidden="1"/>
    <col min="1300" max="1300" width="12.85546875" hidden="1"/>
    <col min="1301" max="1301" width="12.28515625" hidden="1"/>
    <col min="1302" max="1302" width="16.7109375" hidden="1"/>
    <col min="1530" max="1530" width="1.85546875" hidden="1"/>
    <col min="1531" max="1531" width="8" hidden="1"/>
    <col min="1532" max="1532" width="9.5703125" hidden="1"/>
    <col min="1533" max="1534" width="8" hidden="1"/>
    <col min="1535" max="1537" width="1.85546875" hidden="1"/>
    <col min="1538" max="1538" width="13.42578125" hidden="1"/>
    <col min="1539" max="1539" width="16.85546875" hidden="1"/>
    <col min="1540" max="1540" width="9.7109375" hidden="1"/>
    <col min="1541" max="1541" width="9.85546875" hidden="1"/>
    <col min="1542" max="1542" width="7.7109375" hidden="1"/>
    <col min="1543" max="1543" width="12.85546875" hidden="1"/>
    <col min="1544" max="1544" width="13.85546875" hidden="1"/>
    <col min="1545" max="1545" width="9.85546875" hidden="1"/>
    <col min="1546" max="1546" width="14.7109375" hidden="1"/>
    <col min="1547" max="1547" width="16.42578125" hidden="1"/>
    <col min="1548" max="1550" width="13.85546875" hidden="1"/>
    <col min="1551" max="1551" width="12.85546875" hidden="1"/>
    <col min="1552" max="1552" width="14.140625" hidden="1"/>
    <col min="1553" max="1553" width="12.28515625" hidden="1"/>
    <col min="1554" max="1555" width="14.42578125" hidden="1"/>
    <col min="1556" max="1556" width="12.85546875" hidden="1"/>
    <col min="1557" max="1557" width="12.28515625" hidden="1"/>
    <col min="1558" max="1558" width="16.7109375" hidden="1"/>
    <col min="1786" max="1786" width="1.85546875" hidden="1"/>
    <col min="1787" max="1787" width="8" hidden="1"/>
    <col min="1788" max="1788" width="9.5703125" hidden="1"/>
    <col min="1789" max="1790" width="8" hidden="1"/>
    <col min="1791" max="1793" width="1.85546875" hidden="1"/>
    <col min="1794" max="1794" width="13.42578125" hidden="1"/>
    <col min="1795" max="1795" width="16.85546875" hidden="1"/>
    <col min="1796" max="1796" width="9.7109375" hidden="1"/>
    <col min="1797" max="1797" width="9.85546875" hidden="1"/>
    <col min="1798" max="1798" width="7.7109375" hidden="1"/>
    <col min="1799" max="1799" width="12.85546875" hidden="1"/>
    <col min="1800" max="1800" width="13.85546875" hidden="1"/>
    <col min="1801" max="1801" width="9.85546875" hidden="1"/>
    <col min="1802" max="1802" width="14.7109375" hidden="1"/>
    <col min="1803" max="1803" width="16.42578125" hidden="1"/>
    <col min="1804" max="1806" width="13.85546875" hidden="1"/>
    <col min="1807" max="1807" width="12.85546875" hidden="1"/>
    <col min="1808" max="1808" width="14.140625" hidden="1"/>
    <col min="1809" max="1809" width="12.28515625" hidden="1"/>
    <col min="1810" max="1811" width="14.42578125" hidden="1"/>
    <col min="1812" max="1812" width="12.85546875" hidden="1"/>
    <col min="1813" max="1813" width="12.28515625" hidden="1"/>
    <col min="1814" max="1814" width="16.7109375" hidden="1"/>
    <col min="2042" max="2042" width="1.85546875" hidden="1"/>
    <col min="2043" max="2043" width="8" hidden="1"/>
    <col min="2044" max="2044" width="9.5703125" hidden="1"/>
    <col min="2045" max="2046" width="8" hidden="1"/>
    <col min="2047" max="2049" width="1.85546875" hidden="1"/>
    <col min="2050" max="2050" width="13.42578125" hidden="1"/>
    <col min="2051" max="2051" width="16.85546875" hidden="1"/>
    <col min="2052" max="2052" width="9.7109375" hidden="1"/>
    <col min="2053" max="2053" width="9.85546875" hidden="1"/>
    <col min="2054" max="2054" width="7.7109375" hidden="1"/>
    <col min="2055" max="2055" width="12.85546875" hidden="1"/>
    <col min="2056" max="2056" width="13.85546875" hidden="1"/>
    <col min="2057" max="2057" width="9.85546875" hidden="1"/>
    <col min="2058" max="2058" width="14.7109375" hidden="1"/>
    <col min="2059" max="2059" width="16.42578125" hidden="1"/>
    <col min="2060" max="2062" width="13.85546875" hidden="1"/>
    <col min="2063" max="2063" width="12.85546875" hidden="1"/>
    <col min="2064" max="2064" width="14.140625" hidden="1"/>
    <col min="2065" max="2065" width="12.28515625" hidden="1"/>
    <col min="2066" max="2067" width="14.42578125" hidden="1"/>
    <col min="2068" max="2068" width="12.85546875" hidden="1"/>
    <col min="2069" max="2069" width="12.28515625" hidden="1"/>
    <col min="2070" max="2070" width="16.7109375" hidden="1"/>
    <col min="2298" max="2298" width="1.85546875" hidden="1"/>
    <col min="2299" max="2299" width="8" hidden="1"/>
    <col min="2300" max="2300" width="9.5703125" hidden="1"/>
    <col min="2301" max="2302" width="8" hidden="1"/>
    <col min="2303" max="2305" width="1.85546875" hidden="1"/>
    <col min="2306" max="2306" width="13.42578125" hidden="1"/>
    <col min="2307" max="2307" width="16.85546875" hidden="1"/>
    <col min="2308" max="2308" width="9.7109375" hidden="1"/>
    <col min="2309" max="2309" width="9.85546875" hidden="1"/>
    <col min="2310" max="2310" width="7.7109375" hidden="1"/>
    <col min="2311" max="2311" width="12.85546875" hidden="1"/>
    <col min="2312" max="2312" width="13.85546875" hidden="1"/>
    <col min="2313" max="2313" width="9.85546875" hidden="1"/>
    <col min="2314" max="2314" width="14.7109375" hidden="1"/>
    <col min="2315" max="2315" width="16.42578125" hidden="1"/>
    <col min="2316" max="2318" width="13.85546875" hidden="1"/>
    <col min="2319" max="2319" width="12.85546875" hidden="1"/>
    <col min="2320" max="2320" width="14.140625" hidden="1"/>
    <col min="2321" max="2321" width="12.28515625" hidden="1"/>
    <col min="2322" max="2323" width="14.42578125" hidden="1"/>
    <col min="2324" max="2324" width="12.85546875" hidden="1"/>
    <col min="2325" max="2325" width="12.28515625" hidden="1"/>
    <col min="2326" max="2326" width="16.7109375" hidden="1"/>
    <col min="2554" max="2554" width="1.85546875" hidden="1"/>
    <col min="2555" max="2555" width="8" hidden="1"/>
    <col min="2556" max="2556" width="9.5703125" hidden="1"/>
    <col min="2557" max="2558" width="8" hidden="1"/>
    <col min="2559" max="2561" width="1.85546875" hidden="1"/>
    <col min="2562" max="2562" width="13.42578125" hidden="1"/>
    <col min="2563" max="2563" width="16.85546875" hidden="1"/>
    <col min="2564" max="2564" width="9.7109375" hidden="1"/>
    <col min="2565" max="2565" width="9.85546875" hidden="1"/>
    <col min="2566" max="2566" width="7.7109375" hidden="1"/>
    <col min="2567" max="2567" width="12.85546875" hidden="1"/>
    <col min="2568" max="2568" width="13.85546875" hidden="1"/>
    <col min="2569" max="2569" width="9.85546875" hidden="1"/>
    <col min="2570" max="2570" width="14.7109375" hidden="1"/>
    <col min="2571" max="2571" width="16.42578125" hidden="1"/>
    <col min="2572" max="2574" width="13.85546875" hidden="1"/>
    <col min="2575" max="2575" width="12.85546875" hidden="1"/>
    <col min="2576" max="2576" width="14.140625" hidden="1"/>
    <col min="2577" max="2577" width="12.28515625" hidden="1"/>
    <col min="2578" max="2579" width="14.42578125" hidden="1"/>
    <col min="2580" max="2580" width="12.85546875" hidden="1"/>
    <col min="2581" max="2581" width="12.28515625" hidden="1"/>
    <col min="2582" max="2582" width="16.7109375" hidden="1"/>
    <col min="2810" max="2810" width="1.85546875" hidden="1"/>
    <col min="2811" max="2811" width="8" hidden="1"/>
    <col min="2812" max="2812" width="9.5703125" hidden="1"/>
    <col min="2813" max="2814" width="8" hidden="1"/>
    <col min="2815" max="2817" width="1.85546875" hidden="1"/>
    <col min="2818" max="2818" width="13.42578125" hidden="1"/>
    <col min="2819" max="2819" width="16.85546875" hidden="1"/>
    <col min="2820" max="2820" width="9.7109375" hidden="1"/>
    <col min="2821" max="2821" width="9.85546875" hidden="1"/>
    <col min="2822" max="2822" width="7.7109375" hidden="1"/>
    <col min="2823" max="2823" width="12.85546875" hidden="1"/>
    <col min="2824" max="2824" width="13.85546875" hidden="1"/>
    <col min="2825" max="2825" width="9.85546875" hidden="1"/>
    <col min="2826" max="2826" width="14.7109375" hidden="1"/>
    <col min="2827" max="2827" width="16.42578125" hidden="1"/>
    <col min="2828" max="2830" width="13.85546875" hidden="1"/>
    <col min="2831" max="2831" width="12.85546875" hidden="1"/>
    <col min="2832" max="2832" width="14.140625" hidden="1"/>
    <col min="2833" max="2833" width="12.28515625" hidden="1"/>
    <col min="2834" max="2835" width="14.42578125" hidden="1"/>
    <col min="2836" max="2836" width="12.85546875" hidden="1"/>
    <col min="2837" max="2837" width="12.28515625" hidden="1"/>
    <col min="2838" max="2838" width="16.7109375" hidden="1"/>
    <col min="3066" max="3066" width="1.85546875" hidden="1"/>
    <col min="3067" max="3067" width="8" hidden="1"/>
    <col min="3068" max="3068" width="9.5703125" hidden="1"/>
    <col min="3069" max="3070" width="8" hidden="1"/>
    <col min="3071" max="3073" width="1.85546875" hidden="1"/>
    <col min="3074" max="3074" width="13.42578125" hidden="1"/>
    <col min="3075" max="3075" width="16.85546875" hidden="1"/>
    <col min="3076" max="3076" width="9.7109375" hidden="1"/>
    <col min="3077" max="3077" width="9.85546875" hidden="1"/>
    <col min="3078" max="3078" width="7.7109375" hidden="1"/>
    <col min="3079" max="3079" width="12.85546875" hidden="1"/>
    <col min="3080" max="3080" width="13.85546875" hidden="1"/>
    <col min="3081" max="3081" width="9.85546875" hidden="1"/>
    <col min="3082" max="3082" width="14.7109375" hidden="1"/>
    <col min="3083" max="3083" width="16.42578125" hidden="1"/>
    <col min="3084" max="3086" width="13.85546875" hidden="1"/>
    <col min="3087" max="3087" width="12.85546875" hidden="1"/>
    <col min="3088" max="3088" width="14.140625" hidden="1"/>
    <col min="3089" max="3089" width="12.28515625" hidden="1"/>
    <col min="3090" max="3091" width="14.42578125" hidden="1"/>
    <col min="3092" max="3092" width="12.85546875" hidden="1"/>
    <col min="3093" max="3093" width="12.28515625" hidden="1"/>
    <col min="3094" max="3094" width="16.7109375" hidden="1"/>
    <col min="3322" max="3322" width="1.85546875" hidden="1"/>
    <col min="3323" max="3323" width="8" hidden="1"/>
    <col min="3324" max="3324" width="9.5703125" hidden="1"/>
    <col min="3325" max="3326" width="8" hidden="1"/>
    <col min="3327" max="3329" width="1.85546875" hidden="1"/>
    <col min="3330" max="3330" width="13.42578125" hidden="1"/>
    <col min="3331" max="3331" width="16.85546875" hidden="1"/>
    <col min="3332" max="3332" width="9.7109375" hidden="1"/>
    <col min="3333" max="3333" width="9.85546875" hidden="1"/>
    <col min="3334" max="3334" width="7.7109375" hidden="1"/>
    <col min="3335" max="3335" width="12.85546875" hidden="1"/>
    <col min="3336" max="3336" width="13.85546875" hidden="1"/>
    <col min="3337" max="3337" width="9.85546875" hidden="1"/>
    <col min="3338" max="3338" width="14.7109375" hidden="1"/>
    <col min="3339" max="3339" width="16.42578125" hidden="1"/>
    <col min="3340" max="3342" width="13.85546875" hidden="1"/>
    <col min="3343" max="3343" width="12.85546875" hidden="1"/>
    <col min="3344" max="3344" width="14.140625" hidden="1"/>
    <col min="3345" max="3345" width="12.28515625" hidden="1"/>
    <col min="3346" max="3347" width="14.42578125" hidden="1"/>
    <col min="3348" max="3348" width="12.85546875" hidden="1"/>
    <col min="3349" max="3349" width="12.28515625" hidden="1"/>
    <col min="3350" max="3350" width="16.7109375" hidden="1"/>
    <col min="3578" max="3578" width="1.85546875" hidden="1"/>
    <col min="3579" max="3579" width="8" hidden="1"/>
    <col min="3580" max="3580" width="9.5703125" hidden="1"/>
    <col min="3581" max="3582" width="8" hidden="1"/>
    <col min="3583" max="3585" width="1.85546875" hidden="1"/>
    <col min="3586" max="3586" width="13.42578125" hidden="1"/>
    <col min="3587" max="3587" width="16.85546875" hidden="1"/>
    <col min="3588" max="3588" width="9.7109375" hidden="1"/>
    <col min="3589" max="3589" width="9.85546875" hidden="1"/>
    <col min="3590" max="3590" width="7.7109375" hidden="1"/>
    <col min="3591" max="3591" width="12.85546875" hidden="1"/>
    <col min="3592" max="3592" width="13.85546875" hidden="1"/>
    <col min="3593" max="3593" width="9.85546875" hidden="1"/>
    <col min="3594" max="3594" width="14.7109375" hidden="1"/>
    <col min="3595" max="3595" width="16.42578125" hidden="1"/>
    <col min="3596" max="3598" width="13.85546875" hidden="1"/>
    <col min="3599" max="3599" width="12.85546875" hidden="1"/>
    <col min="3600" max="3600" width="14.140625" hidden="1"/>
    <col min="3601" max="3601" width="12.28515625" hidden="1"/>
    <col min="3602" max="3603" width="14.42578125" hidden="1"/>
    <col min="3604" max="3604" width="12.85546875" hidden="1"/>
    <col min="3605" max="3605" width="12.28515625" hidden="1"/>
    <col min="3606" max="3606" width="16.7109375" hidden="1"/>
    <col min="3834" max="3834" width="1.85546875" hidden="1"/>
    <col min="3835" max="3835" width="8" hidden="1"/>
    <col min="3836" max="3836" width="9.5703125" hidden="1"/>
    <col min="3837" max="3838" width="8" hidden="1"/>
    <col min="3839" max="3841" width="1.85546875" hidden="1"/>
    <col min="3842" max="3842" width="13.42578125" hidden="1"/>
    <col min="3843" max="3843" width="16.85546875" hidden="1"/>
    <col min="3844" max="3844" width="9.7109375" hidden="1"/>
    <col min="3845" max="3845" width="9.85546875" hidden="1"/>
    <col min="3846" max="3846" width="7.7109375" hidden="1"/>
    <col min="3847" max="3847" width="12.85546875" hidden="1"/>
    <col min="3848" max="3848" width="13.85546875" hidden="1"/>
    <col min="3849" max="3849" width="9.85546875" hidden="1"/>
    <col min="3850" max="3850" width="14.7109375" hidden="1"/>
    <col min="3851" max="3851" width="16.42578125" hidden="1"/>
    <col min="3852" max="3854" width="13.85546875" hidden="1"/>
    <col min="3855" max="3855" width="12.85546875" hidden="1"/>
    <col min="3856" max="3856" width="14.140625" hidden="1"/>
    <col min="3857" max="3857" width="12.28515625" hidden="1"/>
    <col min="3858" max="3859" width="14.42578125" hidden="1"/>
    <col min="3860" max="3860" width="12.85546875" hidden="1"/>
    <col min="3861" max="3861" width="12.28515625" hidden="1"/>
    <col min="3862" max="3862" width="16.7109375" hidden="1"/>
    <col min="4090" max="4090" width="1.85546875" hidden="1"/>
    <col min="4091" max="4091" width="8" hidden="1"/>
    <col min="4092" max="4092" width="9.5703125" hidden="1"/>
    <col min="4093" max="4094" width="8" hidden="1"/>
    <col min="4095" max="4097" width="1.85546875" hidden="1"/>
    <col min="4098" max="4098" width="13.42578125" hidden="1"/>
    <col min="4099" max="4099" width="16.85546875" hidden="1"/>
    <col min="4100" max="4100" width="9.7109375" hidden="1"/>
    <col min="4101" max="4101" width="9.85546875" hidden="1"/>
    <col min="4102" max="4102" width="7.7109375" hidden="1"/>
    <col min="4103" max="4103" width="12.85546875" hidden="1"/>
    <col min="4104" max="4104" width="13.85546875" hidden="1"/>
    <col min="4105" max="4105" width="9.85546875" hidden="1"/>
    <col min="4106" max="4106" width="14.7109375" hidden="1"/>
    <col min="4107" max="4107" width="16.42578125" hidden="1"/>
    <col min="4108" max="4110" width="13.85546875" hidden="1"/>
    <col min="4111" max="4111" width="12.85546875" hidden="1"/>
    <col min="4112" max="4112" width="14.140625" hidden="1"/>
    <col min="4113" max="4113" width="12.28515625" hidden="1"/>
    <col min="4114" max="4115" width="14.42578125" hidden="1"/>
    <col min="4116" max="4116" width="12.85546875" hidden="1"/>
    <col min="4117" max="4117" width="12.28515625" hidden="1"/>
    <col min="4118" max="4118" width="16.7109375" hidden="1"/>
    <col min="4346" max="4346" width="1.85546875" hidden="1"/>
    <col min="4347" max="4347" width="8" hidden="1"/>
    <col min="4348" max="4348" width="9.5703125" hidden="1"/>
    <col min="4349" max="4350" width="8" hidden="1"/>
    <col min="4351" max="4353" width="1.85546875" hidden="1"/>
    <col min="4354" max="4354" width="13.42578125" hidden="1"/>
    <col min="4355" max="4355" width="16.85546875" hidden="1"/>
    <col min="4356" max="4356" width="9.7109375" hidden="1"/>
    <col min="4357" max="4357" width="9.85546875" hidden="1"/>
    <col min="4358" max="4358" width="7.7109375" hidden="1"/>
    <col min="4359" max="4359" width="12.85546875" hidden="1"/>
    <col min="4360" max="4360" width="13.85546875" hidden="1"/>
    <col min="4361" max="4361" width="9.85546875" hidden="1"/>
    <col min="4362" max="4362" width="14.7109375" hidden="1"/>
    <col min="4363" max="4363" width="16.42578125" hidden="1"/>
    <col min="4364" max="4366" width="13.85546875" hidden="1"/>
    <col min="4367" max="4367" width="12.85546875" hidden="1"/>
    <col min="4368" max="4368" width="14.140625" hidden="1"/>
    <col min="4369" max="4369" width="12.28515625" hidden="1"/>
    <col min="4370" max="4371" width="14.42578125" hidden="1"/>
    <col min="4372" max="4372" width="12.85546875" hidden="1"/>
    <col min="4373" max="4373" width="12.28515625" hidden="1"/>
    <col min="4374" max="4374" width="16.7109375" hidden="1"/>
    <col min="4602" max="4602" width="1.85546875" hidden="1"/>
    <col min="4603" max="4603" width="8" hidden="1"/>
    <col min="4604" max="4604" width="9.5703125" hidden="1"/>
    <col min="4605" max="4606" width="8" hidden="1"/>
    <col min="4607" max="4609" width="1.85546875" hidden="1"/>
    <col min="4610" max="4610" width="13.42578125" hidden="1"/>
    <col min="4611" max="4611" width="16.85546875" hidden="1"/>
    <col min="4612" max="4612" width="9.7109375" hidden="1"/>
    <col min="4613" max="4613" width="9.85546875" hidden="1"/>
    <col min="4614" max="4614" width="7.7109375" hidden="1"/>
    <col min="4615" max="4615" width="12.85546875" hidden="1"/>
    <col min="4616" max="4616" width="13.85546875" hidden="1"/>
    <col min="4617" max="4617" width="9.85546875" hidden="1"/>
    <col min="4618" max="4618" width="14.7109375" hidden="1"/>
    <col min="4619" max="4619" width="16.42578125" hidden="1"/>
    <col min="4620" max="4622" width="13.85546875" hidden="1"/>
    <col min="4623" max="4623" width="12.85546875" hidden="1"/>
    <col min="4624" max="4624" width="14.140625" hidden="1"/>
    <col min="4625" max="4625" width="12.28515625" hidden="1"/>
    <col min="4626" max="4627" width="14.42578125" hidden="1"/>
    <col min="4628" max="4628" width="12.85546875" hidden="1"/>
    <col min="4629" max="4629" width="12.28515625" hidden="1"/>
    <col min="4630" max="4630" width="16.7109375" hidden="1"/>
    <col min="4858" max="4858" width="1.85546875" hidden="1"/>
    <col min="4859" max="4859" width="8" hidden="1"/>
    <col min="4860" max="4860" width="9.5703125" hidden="1"/>
    <col min="4861" max="4862" width="8" hidden="1"/>
    <col min="4863" max="4865" width="1.85546875" hidden="1"/>
    <col min="4866" max="4866" width="13.42578125" hidden="1"/>
    <col min="4867" max="4867" width="16.85546875" hidden="1"/>
    <col min="4868" max="4868" width="9.7109375" hidden="1"/>
    <col min="4869" max="4869" width="9.85546875" hidden="1"/>
    <col min="4870" max="4870" width="7.7109375" hidden="1"/>
    <col min="4871" max="4871" width="12.85546875" hidden="1"/>
    <col min="4872" max="4872" width="13.85546875" hidden="1"/>
    <col min="4873" max="4873" width="9.85546875" hidden="1"/>
    <col min="4874" max="4874" width="14.7109375" hidden="1"/>
    <col min="4875" max="4875" width="16.42578125" hidden="1"/>
    <col min="4876" max="4878" width="13.85546875" hidden="1"/>
    <col min="4879" max="4879" width="12.85546875" hidden="1"/>
    <col min="4880" max="4880" width="14.140625" hidden="1"/>
    <col min="4881" max="4881" width="12.28515625" hidden="1"/>
    <col min="4882" max="4883" width="14.42578125" hidden="1"/>
    <col min="4884" max="4884" width="12.85546875" hidden="1"/>
    <col min="4885" max="4885" width="12.28515625" hidden="1"/>
    <col min="4886" max="4886" width="16.7109375" hidden="1"/>
    <col min="5114" max="5114" width="1.85546875" hidden="1"/>
    <col min="5115" max="5115" width="8" hidden="1"/>
    <col min="5116" max="5116" width="9.5703125" hidden="1"/>
    <col min="5117" max="5118" width="8" hidden="1"/>
    <col min="5119" max="5121" width="1.85546875" hidden="1"/>
    <col min="5122" max="5122" width="13.42578125" hidden="1"/>
    <col min="5123" max="5123" width="16.85546875" hidden="1"/>
    <col min="5124" max="5124" width="9.7109375" hidden="1"/>
    <col min="5125" max="5125" width="9.85546875" hidden="1"/>
    <col min="5126" max="5126" width="7.7109375" hidden="1"/>
    <col min="5127" max="5127" width="12.85546875" hidden="1"/>
    <col min="5128" max="5128" width="13.85546875" hidden="1"/>
    <col min="5129" max="5129" width="9.85546875" hidden="1"/>
    <col min="5130" max="5130" width="14.7109375" hidden="1"/>
    <col min="5131" max="5131" width="16.42578125" hidden="1"/>
    <col min="5132" max="5134" width="13.85546875" hidden="1"/>
    <col min="5135" max="5135" width="12.85546875" hidden="1"/>
    <col min="5136" max="5136" width="14.140625" hidden="1"/>
    <col min="5137" max="5137" width="12.28515625" hidden="1"/>
    <col min="5138" max="5139" width="14.42578125" hidden="1"/>
    <col min="5140" max="5140" width="12.85546875" hidden="1"/>
    <col min="5141" max="5141" width="12.28515625" hidden="1"/>
    <col min="5142" max="5142" width="16.7109375" hidden="1"/>
    <col min="5370" max="5370" width="1.85546875" hidden="1"/>
    <col min="5371" max="5371" width="8" hidden="1"/>
    <col min="5372" max="5372" width="9.5703125" hidden="1"/>
    <col min="5373" max="5374" width="8" hidden="1"/>
    <col min="5375" max="5377" width="1.85546875" hidden="1"/>
    <col min="5378" max="5378" width="13.42578125" hidden="1"/>
    <col min="5379" max="5379" width="16.85546875" hidden="1"/>
    <col min="5380" max="5380" width="9.7109375" hidden="1"/>
    <col min="5381" max="5381" width="9.85546875" hidden="1"/>
    <col min="5382" max="5382" width="7.7109375" hidden="1"/>
    <col min="5383" max="5383" width="12.85546875" hidden="1"/>
    <col min="5384" max="5384" width="13.85546875" hidden="1"/>
    <col min="5385" max="5385" width="9.85546875" hidden="1"/>
    <col min="5386" max="5386" width="14.7109375" hidden="1"/>
    <col min="5387" max="5387" width="16.42578125" hidden="1"/>
    <col min="5388" max="5390" width="13.85546875" hidden="1"/>
    <col min="5391" max="5391" width="12.85546875" hidden="1"/>
    <col min="5392" max="5392" width="14.140625" hidden="1"/>
    <col min="5393" max="5393" width="12.28515625" hidden="1"/>
    <col min="5394" max="5395" width="14.42578125" hidden="1"/>
    <col min="5396" max="5396" width="12.85546875" hidden="1"/>
    <col min="5397" max="5397" width="12.28515625" hidden="1"/>
    <col min="5398" max="5398" width="16.7109375" hidden="1"/>
    <col min="5626" max="5626" width="1.85546875" hidden="1"/>
    <col min="5627" max="5627" width="8" hidden="1"/>
    <col min="5628" max="5628" width="9.5703125" hidden="1"/>
    <col min="5629" max="5630" width="8" hidden="1"/>
    <col min="5631" max="5633" width="1.85546875" hidden="1"/>
    <col min="5634" max="5634" width="13.42578125" hidden="1"/>
    <col min="5635" max="5635" width="16.85546875" hidden="1"/>
    <col min="5636" max="5636" width="9.7109375" hidden="1"/>
    <col min="5637" max="5637" width="9.85546875" hidden="1"/>
    <col min="5638" max="5638" width="7.7109375" hidden="1"/>
    <col min="5639" max="5639" width="12.85546875" hidden="1"/>
    <col min="5640" max="5640" width="13.85546875" hidden="1"/>
    <col min="5641" max="5641" width="9.85546875" hidden="1"/>
    <col min="5642" max="5642" width="14.7109375" hidden="1"/>
    <col min="5643" max="5643" width="16.42578125" hidden="1"/>
    <col min="5644" max="5646" width="13.85546875" hidden="1"/>
    <col min="5647" max="5647" width="12.85546875" hidden="1"/>
    <col min="5648" max="5648" width="14.140625" hidden="1"/>
    <col min="5649" max="5649" width="12.28515625" hidden="1"/>
    <col min="5650" max="5651" width="14.42578125" hidden="1"/>
    <col min="5652" max="5652" width="12.85546875" hidden="1"/>
    <col min="5653" max="5653" width="12.28515625" hidden="1"/>
    <col min="5654" max="5654" width="16.7109375" hidden="1"/>
    <col min="5882" max="5882" width="1.85546875" hidden="1"/>
    <col min="5883" max="5883" width="8" hidden="1"/>
    <col min="5884" max="5884" width="9.5703125" hidden="1"/>
    <col min="5885" max="5886" width="8" hidden="1"/>
    <col min="5887" max="5889" width="1.85546875" hidden="1"/>
    <col min="5890" max="5890" width="13.42578125" hidden="1"/>
    <col min="5891" max="5891" width="16.85546875" hidden="1"/>
    <col min="5892" max="5892" width="9.7109375" hidden="1"/>
    <col min="5893" max="5893" width="9.85546875" hidden="1"/>
    <col min="5894" max="5894" width="7.7109375" hidden="1"/>
    <col min="5895" max="5895" width="12.85546875" hidden="1"/>
    <col min="5896" max="5896" width="13.85546875" hidden="1"/>
    <col min="5897" max="5897" width="9.85546875" hidden="1"/>
    <col min="5898" max="5898" width="14.7109375" hidden="1"/>
    <col min="5899" max="5899" width="16.42578125" hidden="1"/>
    <col min="5900" max="5902" width="13.85546875" hidden="1"/>
    <col min="5903" max="5903" width="12.85546875" hidden="1"/>
    <col min="5904" max="5904" width="14.140625" hidden="1"/>
    <col min="5905" max="5905" width="12.28515625" hidden="1"/>
    <col min="5906" max="5907" width="14.42578125" hidden="1"/>
    <col min="5908" max="5908" width="12.85546875" hidden="1"/>
    <col min="5909" max="5909" width="12.28515625" hidden="1"/>
    <col min="5910" max="5910" width="16.7109375" hidden="1"/>
    <col min="6138" max="6138" width="1.85546875" hidden="1"/>
    <col min="6139" max="6139" width="8" hidden="1"/>
    <col min="6140" max="6140" width="9.5703125" hidden="1"/>
    <col min="6141" max="6142" width="8" hidden="1"/>
    <col min="6143" max="6145" width="1.85546875" hidden="1"/>
    <col min="6146" max="6146" width="13.42578125" hidden="1"/>
    <col min="6147" max="6147" width="16.85546875" hidden="1"/>
    <col min="6148" max="6148" width="9.7109375" hidden="1"/>
    <col min="6149" max="6149" width="9.85546875" hidden="1"/>
    <col min="6150" max="6150" width="7.7109375" hidden="1"/>
    <col min="6151" max="6151" width="12.85546875" hidden="1"/>
    <col min="6152" max="6152" width="13.85546875" hidden="1"/>
    <col min="6153" max="6153" width="9.85546875" hidden="1"/>
    <col min="6154" max="6154" width="14.7109375" hidden="1"/>
    <col min="6155" max="6155" width="16.42578125" hidden="1"/>
    <col min="6156" max="6158" width="13.85546875" hidden="1"/>
    <col min="6159" max="6159" width="12.85546875" hidden="1"/>
    <col min="6160" max="6160" width="14.140625" hidden="1"/>
    <col min="6161" max="6161" width="12.28515625" hidden="1"/>
    <col min="6162" max="6163" width="14.42578125" hidden="1"/>
    <col min="6164" max="6164" width="12.85546875" hidden="1"/>
    <col min="6165" max="6165" width="12.28515625" hidden="1"/>
    <col min="6166" max="6166" width="16.7109375" hidden="1"/>
    <col min="6394" max="6394" width="1.85546875" hidden="1"/>
    <col min="6395" max="6395" width="8" hidden="1"/>
    <col min="6396" max="6396" width="9.5703125" hidden="1"/>
    <col min="6397" max="6398" width="8" hidden="1"/>
    <col min="6399" max="6401" width="1.85546875" hidden="1"/>
    <col min="6402" max="6402" width="13.42578125" hidden="1"/>
    <col min="6403" max="6403" width="16.85546875" hidden="1"/>
    <col min="6404" max="6404" width="9.7109375" hidden="1"/>
    <col min="6405" max="6405" width="9.85546875" hidden="1"/>
    <col min="6406" max="6406" width="7.7109375" hidden="1"/>
    <col min="6407" max="6407" width="12.85546875" hidden="1"/>
    <col min="6408" max="6408" width="13.85546875" hidden="1"/>
    <col min="6409" max="6409" width="9.85546875" hidden="1"/>
    <col min="6410" max="6410" width="14.7109375" hidden="1"/>
    <col min="6411" max="6411" width="16.42578125" hidden="1"/>
    <col min="6412" max="6414" width="13.85546875" hidden="1"/>
    <col min="6415" max="6415" width="12.85546875" hidden="1"/>
    <col min="6416" max="6416" width="14.140625" hidden="1"/>
    <col min="6417" max="6417" width="12.28515625" hidden="1"/>
    <col min="6418" max="6419" width="14.42578125" hidden="1"/>
    <col min="6420" max="6420" width="12.85546875" hidden="1"/>
    <col min="6421" max="6421" width="12.28515625" hidden="1"/>
    <col min="6422" max="6422" width="16.7109375" hidden="1"/>
    <col min="6650" max="6650" width="1.85546875" hidden="1"/>
    <col min="6651" max="6651" width="8" hidden="1"/>
    <col min="6652" max="6652" width="9.5703125" hidden="1"/>
    <col min="6653" max="6654" width="8" hidden="1"/>
    <col min="6655" max="6657" width="1.85546875" hidden="1"/>
    <col min="6658" max="6658" width="13.42578125" hidden="1"/>
    <col min="6659" max="6659" width="16.85546875" hidden="1"/>
    <col min="6660" max="6660" width="9.7109375" hidden="1"/>
    <col min="6661" max="6661" width="9.85546875" hidden="1"/>
    <col min="6662" max="6662" width="7.7109375" hidden="1"/>
    <col min="6663" max="6663" width="12.85546875" hidden="1"/>
    <col min="6664" max="6664" width="13.85546875" hidden="1"/>
    <col min="6665" max="6665" width="9.85546875" hidden="1"/>
    <col min="6666" max="6666" width="14.7109375" hidden="1"/>
    <col min="6667" max="6667" width="16.42578125" hidden="1"/>
    <col min="6668" max="6670" width="13.85546875" hidden="1"/>
    <col min="6671" max="6671" width="12.85546875" hidden="1"/>
    <col min="6672" max="6672" width="14.140625" hidden="1"/>
    <col min="6673" max="6673" width="12.28515625" hidden="1"/>
    <col min="6674" max="6675" width="14.42578125" hidden="1"/>
    <col min="6676" max="6676" width="12.85546875" hidden="1"/>
    <col min="6677" max="6677" width="12.28515625" hidden="1"/>
    <col min="6678" max="6678" width="16.7109375" hidden="1"/>
    <col min="6906" max="6906" width="1.85546875" hidden="1"/>
    <col min="6907" max="6907" width="8" hidden="1"/>
    <col min="6908" max="6908" width="9.5703125" hidden="1"/>
    <col min="6909" max="6910" width="8" hidden="1"/>
    <col min="6911" max="6913" width="1.85546875" hidden="1"/>
    <col min="6914" max="6914" width="13.42578125" hidden="1"/>
    <col min="6915" max="6915" width="16.85546875" hidden="1"/>
    <col min="6916" max="6916" width="9.7109375" hidden="1"/>
    <col min="6917" max="6917" width="9.85546875" hidden="1"/>
    <col min="6918" max="6918" width="7.7109375" hidden="1"/>
    <col min="6919" max="6919" width="12.85546875" hidden="1"/>
    <col min="6920" max="6920" width="13.85546875" hidden="1"/>
    <col min="6921" max="6921" width="9.85546875" hidden="1"/>
    <col min="6922" max="6922" width="14.7109375" hidden="1"/>
    <col min="6923" max="6923" width="16.42578125" hidden="1"/>
    <col min="6924" max="6926" width="13.85546875" hidden="1"/>
    <col min="6927" max="6927" width="12.85546875" hidden="1"/>
    <col min="6928" max="6928" width="14.140625" hidden="1"/>
    <col min="6929" max="6929" width="12.28515625" hidden="1"/>
    <col min="6930" max="6931" width="14.42578125" hidden="1"/>
    <col min="6932" max="6932" width="12.85546875" hidden="1"/>
    <col min="6933" max="6933" width="12.28515625" hidden="1"/>
    <col min="6934" max="6934" width="16.7109375" hidden="1"/>
    <col min="7162" max="7162" width="1.85546875" hidden="1"/>
    <col min="7163" max="7163" width="8" hidden="1"/>
    <col min="7164" max="7164" width="9.5703125" hidden="1"/>
    <col min="7165" max="7166" width="8" hidden="1"/>
    <col min="7167" max="7169" width="1.85546875" hidden="1"/>
    <col min="7170" max="7170" width="13.42578125" hidden="1"/>
    <col min="7171" max="7171" width="16.85546875" hidden="1"/>
    <col min="7172" max="7172" width="9.7109375" hidden="1"/>
    <col min="7173" max="7173" width="9.85546875" hidden="1"/>
    <col min="7174" max="7174" width="7.7109375" hidden="1"/>
    <col min="7175" max="7175" width="12.85546875" hidden="1"/>
    <col min="7176" max="7176" width="13.85546875" hidden="1"/>
    <col min="7177" max="7177" width="9.85546875" hidden="1"/>
    <col min="7178" max="7178" width="14.7109375" hidden="1"/>
    <col min="7179" max="7179" width="16.42578125" hidden="1"/>
    <col min="7180" max="7182" width="13.85546875" hidden="1"/>
    <col min="7183" max="7183" width="12.85546875" hidden="1"/>
    <col min="7184" max="7184" width="14.140625" hidden="1"/>
    <col min="7185" max="7185" width="12.28515625" hidden="1"/>
    <col min="7186" max="7187" width="14.42578125" hidden="1"/>
    <col min="7188" max="7188" width="12.85546875" hidden="1"/>
    <col min="7189" max="7189" width="12.28515625" hidden="1"/>
    <col min="7190" max="7190" width="16.7109375" hidden="1"/>
    <col min="7418" max="7418" width="1.85546875" hidden="1"/>
    <col min="7419" max="7419" width="8" hidden="1"/>
    <col min="7420" max="7420" width="9.5703125" hidden="1"/>
    <col min="7421" max="7422" width="8" hidden="1"/>
    <col min="7423" max="7425" width="1.85546875" hidden="1"/>
    <col min="7426" max="7426" width="13.42578125" hidden="1"/>
    <col min="7427" max="7427" width="16.85546875" hidden="1"/>
    <col min="7428" max="7428" width="9.7109375" hidden="1"/>
    <col min="7429" max="7429" width="9.85546875" hidden="1"/>
    <col min="7430" max="7430" width="7.7109375" hidden="1"/>
    <col min="7431" max="7431" width="12.85546875" hidden="1"/>
    <col min="7432" max="7432" width="13.85546875" hidden="1"/>
    <col min="7433" max="7433" width="9.85546875" hidden="1"/>
    <col min="7434" max="7434" width="14.7109375" hidden="1"/>
    <col min="7435" max="7435" width="16.42578125" hidden="1"/>
    <col min="7436" max="7438" width="13.85546875" hidden="1"/>
    <col min="7439" max="7439" width="12.85546875" hidden="1"/>
    <col min="7440" max="7440" width="14.140625" hidden="1"/>
    <col min="7441" max="7441" width="12.28515625" hidden="1"/>
    <col min="7442" max="7443" width="14.42578125" hidden="1"/>
    <col min="7444" max="7444" width="12.85546875" hidden="1"/>
    <col min="7445" max="7445" width="12.28515625" hidden="1"/>
    <col min="7446" max="7446" width="16.7109375" hidden="1"/>
    <col min="7674" max="7674" width="1.85546875" hidden="1"/>
    <col min="7675" max="7675" width="8" hidden="1"/>
    <col min="7676" max="7676" width="9.5703125" hidden="1"/>
    <col min="7677" max="7678" width="8" hidden="1"/>
    <col min="7679" max="7681" width="1.85546875" hidden="1"/>
    <col min="7682" max="7682" width="13.42578125" hidden="1"/>
    <col min="7683" max="7683" width="16.85546875" hidden="1"/>
    <col min="7684" max="7684" width="9.7109375" hidden="1"/>
    <col min="7685" max="7685" width="9.85546875" hidden="1"/>
    <col min="7686" max="7686" width="7.7109375" hidden="1"/>
    <col min="7687" max="7687" width="12.85546875" hidden="1"/>
    <col min="7688" max="7688" width="13.85546875" hidden="1"/>
    <col min="7689" max="7689" width="9.85546875" hidden="1"/>
    <col min="7690" max="7690" width="14.7109375" hidden="1"/>
    <col min="7691" max="7691" width="16.42578125" hidden="1"/>
    <col min="7692" max="7694" width="13.85546875" hidden="1"/>
    <col min="7695" max="7695" width="12.85546875" hidden="1"/>
    <col min="7696" max="7696" width="14.140625" hidden="1"/>
    <col min="7697" max="7697" width="12.28515625" hidden="1"/>
    <col min="7698" max="7699" width="14.42578125" hidden="1"/>
    <col min="7700" max="7700" width="12.85546875" hidden="1"/>
    <col min="7701" max="7701" width="12.28515625" hidden="1"/>
    <col min="7702" max="7702" width="16.7109375" hidden="1"/>
    <col min="7930" max="7930" width="1.85546875" hidden="1"/>
    <col min="7931" max="7931" width="8" hidden="1"/>
    <col min="7932" max="7932" width="9.5703125" hidden="1"/>
    <col min="7933" max="7934" width="8" hidden="1"/>
    <col min="7935" max="7937" width="1.85546875" hidden="1"/>
    <col min="7938" max="7938" width="13.42578125" hidden="1"/>
    <col min="7939" max="7939" width="16.85546875" hidden="1"/>
    <col min="7940" max="7940" width="9.7109375" hidden="1"/>
    <col min="7941" max="7941" width="9.85546875" hidden="1"/>
    <col min="7942" max="7942" width="7.7109375" hidden="1"/>
    <col min="7943" max="7943" width="12.85546875" hidden="1"/>
    <col min="7944" max="7944" width="13.85546875" hidden="1"/>
    <col min="7945" max="7945" width="9.85546875" hidden="1"/>
    <col min="7946" max="7946" width="14.7109375" hidden="1"/>
    <col min="7947" max="7947" width="16.42578125" hidden="1"/>
    <col min="7948" max="7950" width="13.85546875" hidden="1"/>
    <col min="7951" max="7951" width="12.85546875" hidden="1"/>
    <col min="7952" max="7952" width="14.140625" hidden="1"/>
    <col min="7953" max="7953" width="12.28515625" hidden="1"/>
    <col min="7954" max="7955" width="14.42578125" hidden="1"/>
    <col min="7956" max="7956" width="12.85546875" hidden="1"/>
    <col min="7957" max="7957" width="12.28515625" hidden="1"/>
    <col min="7958" max="7958" width="16.7109375" hidden="1"/>
    <col min="8186" max="8186" width="1.85546875" hidden="1"/>
    <col min="8187" max="8187" width="8" hidden="1"/>
    <col min="8188" max="8188" width="9.5703125" hidden="1"/>
    <col min="8189" max="8190" width="8" hidden="1"/>
    <col min="8191" max="8193" width="1.85546875" hidden="1"/>
    <col min="8194" max="8194" width="13.42578125" hidden="1"/>
    <col min="8195" max="8195" width="16.85546875" hidden="1"/>
    <col min="8196" max="8196" width="9.7109375" hidden="1"/>
    <col min="8197" max="8197" width="9.85546875" hidden="1"/>
    <col min="8198" max="8198" width="7.7109375" hidden="1"/>
    <col min="8199" max="8199" width="12.85546875" hidden="1"/>
    <col min="8200" max="8200" width="13.85546875" hidden="1"/>
    <col min="8201" max="8201" width="9.85546875" hidden="1"/>
    <col min="8202" max="8202" width="14.7109375" hidden="1"/>
    <col min="8203" max="8203" width="16.42578125" hidden="1"/>
    <col min="8204" max="8206" width="13.85546875" hidden="1"/>
    <col min="8207" max="8207" width="12.85546875" hidden="1"/>
    <col min="8208" max="8208" width="14.140625" hidden="1"/>
    <col min="8209" max="8209" width="12.28515625" hidden="1"/>
    <col min="8210" max="8211" width="14.42578125" hidden="1"/>
    <col min="8212" max="8212" width="12.85546875" hidden="1"/>
    <col min="8213" max="8213" width="12.28515625" hidden="1"/>
    <col min="8214" max="8214" width="16.7109375" hidden="1"/>
    <col min="8442" max="8442" width="1.85546875" hidden="1"/>
    <col min="8443" max="8443" width="8" hidden="1"/>
    <col min="8444" max="8444" width="9.5703125" hidden="1"/>
    <col min="8445" max="8446" width="8" hidden="1"/>
    <col min="8447" max="8449" width="1.85546875" hidden="1"/>
    <col min="8450" max="8450" width="13.42578125" hidden="1"/>
    <col min="8451" max="8451" width="16.85546875" hidden="1"/>
    <col min="8452" max="8452" width="9.7109375" hidden="1"/>
    <col min="8453" max="8453" width="9.85546875" hidden="1"/>
    <col min="8454" max="8454" width="7.7109375" hidden="1"/>
    <col min="8455" max="8455" width="12.85546875" hidden="1"/>
    <col min="8456" max="8456" width="13.85546875" hidden="1"/>
    <col min="8457" max="8457" width="9.85546875" hidden="1"/>
    <col min="8458" max="8458" width="14.7109375" hidden="1"/>
    <col min="8459" max="8459" width="16.42578125" hidden="1"/>
    <col min="8460" max="8462" width="13.85546875" hidden="1"/>
    <col min="8463" max="8463" width="12.85546875" hidden="1"/>
    <col min="8464" max="8464" width="14.140625" hidden="1"/>
    <col min="8465" max="8465" width="12.28515625" hidden="1"/>
    <col min="8466" max="8467" width="14.42578125" hidden="1"/>
    <col min="8468" max="8468" width="12.85546875" hidden="1"/>
    <col min="8469" max="8469" width="12.28515625" hidden="1"/>
    <col min="8470" max="8470" width="16.7109375" hidden="1"/>
    <col min="8698" max="8698" width="1.85546875" hidden="1"/>
    <col min="8699" max="8699" width="8" hidden="1"/>
    <col min="8700" max="8700" width="9.5703125" hidden="1"/>
    <col min="8701" max="8702" width="8" hidden="1"/>
    <col min="8703" max="8705" width="1.85546875" hidden="1"/>
    <col min="8706" max="8706" width="13.42578125" hidden="1"/>
    <col min="8707" max="8707" width="16.85546875" hidden="1"/>
    <col min="8708" max="8708" width="9.7109375" hidden="1"/>
    <col min="8709" max="8709" width="9.85546875" hidden="1"/>
    <col min="8710" max="8710" width="7.7109375" hidden="1"/>
    <col min="8711" max="8711" width="12.85546875" hidden="1"/>
    <col min="8712" max="8712" width="13.85546875" hidden="1"/>
    <col min="8713" max="8713" width="9.85546875" hidden="1"/>
    <col min="8714" max="8714" width="14.7109375" hidden="1"/>
    <col min="8715" max="8715" width="16.42578125" hidden="1"/>
    <col min="8716" max="8718" width="13.85546875" hidden="1"/>
    <col min="8719" max="8719" width="12.85546875" hidden="1"/>
    <col min="8720" max="8720" width="14.140625" hidden="1"/>
    <col min="8721" max="8721" width="12.28515625" hidden="1"/>
    <col min="8722" max="8723" width="14.42578125" hidden="1"/>
    <col min="8724" max="8724" width="12.85546875" hidden="1"/>
    <col min="8725" max="8725" width="12.28515625" hidden="1"/>
    <col min="8726" max="8726" width="16.7109375" hidden="1"/>
    <col min="8954" max="8954" width="1.85546875" hidden="1"/>
    <col min="8955" max="8955" width="8" hidden="1"/>
    <col min="8956" max="8956" width="9.5703125" hidden="1"/>
    <col min="8957" max="8958" width="8" hidden="1"/>
    <col min="8959" max="8961" width="1.85546875" hidden="1"/>
    <col min="8962" max="8962" width="13.42578125" hidden="1"/>
    <col min="8963" max="8963" width="16.85546875" hidden="1"/>
    <col min="8964" max="8964" width="9.7109375" hidden="1"/>
    <col min="8965" max="8965" width="9.85546875" hidden="1"/>
    <col min="8966" max="8966" width="7.7109375" hidden="1"/>
    <col min="8967" max="8967" width="12.85546875" hidden="1"/>
    <col min="8968" max="8968" width="13.85546875" hidden="1"/>
    <col min="8969" max="8969" width="9.85546875" hidden="1"/>
    <col min="8970" max="8970" width="14.7109375" hidden="1"/>
    <col min="8971" max="8971" width="16.42578125" hidden="1"/>
    <col min="8972" max="8974" width="13.85546875" hidden="1"/>
    <col min="8975" max="8975" width="12.85546875" hidden="1"/>
    <col min="8976" max="8976" width="14.140625" hidden="1"/>
    <col min="8977" max="8977" width="12.28515625" hidden="1"/>
    <col min="8978" max="8979" width="14.42578125" hidden="1"/>
    <col min="8980" max="8980" width="12.85546875" hidden="1"/>
    <col min="8981" max="8981" width="12.28515625" hidden="1"/>
    <col min="8982" max="8982" width="16.7109375" hidden="1"/>
    <col min="9210" max="9210" width="1.85546875" hidden="1"/>
    <col min="9211" max="9211" width="8" hidden="1"/>
    <col min="9212" max="9212" width="9.5703125" hidden="1"/>
    <col min="9213" max="9214" width="8" hidden="1"/>
    <col min="9215" max="9217" width="1.85546875" hidden="1"/>
    <col min="9218" max="9218" width="13.42578125" hidden="1"/>
    <col min="9219" max="9219" width="16.85546875" hidden="1"/>
    <col min="9220" max="9220" width="9.7109375" hidden="1"/>
    <col min="9221" max="9221" width="9.85546875" hidden="1"/>
    <col min="9222" max="9222" width="7.7109375" hidden="1"/>
    <col min="9223" max="9223" width="12.85546875" hidden="1"/>
    <col min="9224" max="9224" width="13.85546875" hidden="1"/>
    <col min="9225" max="9225" width="9.85546875" hidden="1"/>
    <col min="9226" max="9226" width="14.7109375" hidden="1"/>
    <col min="9227" max="9227" width="16.42578125" hidden="1"/>
    <col min="9228" max="9230" width="13.85546875" hidden="1"/>
    <col min="9231" max="9231" width="12.85546875" hidden="1"/>
    <col min="9232" max="9232" width="14.140625" hidden="1"/>
    <col min="9233" max="9233" width="12.28515625" hidden="1"/>
    <col min="9234" max="9235" width="14.42578125" hidden="1"/>
    <col min="9236" max="9236" width="12.85546875" hidden="1"/>
    <col min="9237" max="9237" width="12.28515625" hidden="1"/>
    <col min="9238" max="9238" width="16.7109375" hidden="1"/>
    <col min="9466" max="9466" width="1.85546875" hidden="1"/>
    <col min="9467" max="9467" width="8" hidden="1"/>
    <col min="9468" max="9468" width="9.5703125" hidden="1"/>
    <col min="9469" max="9470" width="8" hidden="1"/>
    <col min="9471" max="9473" width="1.85546875" hidden="1"/>
    <col min="9474" max="9474" width="13.42578125" hidden="1"/>
    <col min="9475" max="9475" width="16.85546875" hidden="1"/>
    <col min="9476" max="9476" width="9.7109375" hidden="1"/>
    <col min="9477" max="9477" width="9.85546875" hidden="1"/>
    <col min="9478" max="9478" width="7.7109375" hidden="1"/>
    <col min="9479" max="9479" width="12.85546875" hidden="1"/>
    <col min="9480" max="9480" width="13.85546875" hidden="1"/>
    <col min="9481" max="9481" width="9.85546875" hidden="1"/>
    <col min="9482" max="9482" width="14.7109375" hidden="1"/>
    <col min="9483" max="9483" width="16.42578125" hidden="1"/>
    <col min="9484" max="9486" width="13.85546875" hidden="1"/>
    <col min="9487" max="9487" width="12.85546875" hidden="1"/>
    <col min="9488" max="9488" width="14.140625" hidden="1"/>
    <col min="9489" max="9489" width="12.28515625" hidden="1"/>
    <col min="9490" max="9491" width="14.42578125" hidden="1"/>
    <col min="9492" max="9492" width="12.85546875" hidden="1"/>
    <col min="9493" max="9493" width="12.28515625" hidden="1"/>
    <col min="9494" max="9494" width="16.7109375" hidden="1"/>
    <col min="9722" max="9722" width="1.85546875" hidden="1"/>
    <col min="9723" max="9723" width="8" hidden="1"/>
    <col min="9724" max="9724" width="9.5703125" hidden="1"/>
    <col min="9725" max="9726" width="8" hidden="1"/>
    <col min="9727" max="9729" width="1.85546875" hidden="1"/>
    <col min="9730" max="9730" width="13.42578125" hidden="1"/>
    <col min="9731" max="9731" width="16.85546875" hidden="1"/>
    <col min="9732" max="9732" width="9.7109375" hidden="1"/>
    <col min="9733" max="9733" width="9.85546875" hidden="1"/>
    <col min="9734" max="9734" width="7.7109375" hidden="1"/>
    <col min="9735" max="9735" width="12.85546875" hidden="1"/>
    <col min="9736" max="9736" width="13.85546875" hidden="1"/>
    <col min="9737" max="9737" width="9.85546875" hidden="1"/>
    <col min="9738" max="9738" width="14.7109375" hidden="1"/>
    <col min="9739" max="9739" width="16.42578125" hidden="1"/>
    <col min="9740" max="9742" width="13.85546875" hidden="1"/>
    <col min="9743" max="9743" width="12.85546875" hidden="1"/>
    <col min="9744" max="9744" width="14.140625" hidden="1"/>
    <col min="9745" max="9745" width="12.28515625" hidden="1"/>
    <col min="9746" max="9747" width="14.42578125" hidden="1"/>
    <col min="9748" max="9748" width="12.85546875" hidden="1"/>
    <col min="9749" max="9749" width="12.28515625" hidden="1"/>
    <col min="9750" max="9750" width="16.7109375" hidden="1"/>
    <col min="9978" max="9978" width="1.85546875" hidden="1"/>
    <col min="9979" max="9979" width="8" hidden="1"/>
    <col min="9980" max="9980" width="9.5703125" hidden="1"/>
    <col min="9981" max="9982" width="8" hidden="1"/>
    <col min="9983" max="9985" width="1.85546875" hidden="1"/>
    <col min="9986" max="9986" width="13.42578125" hidden="1"/>
    <col min="9987" max="9987" width="16.85546875" hidden="1"/>
    <col min="9988" max="9988" width="9.7109375" hidden="1"/>
    <col min="9989" max="9989" width="9.85546875" hidden="1"/>
    <col min="9990" max="9990" width="7.7109375" hidden="1"/>
    <col min="9991" max="9991" width="12.85546875" hidden="1"/>
    <col min="9992" max="9992" width="13.85546875" hidden="1"/>
    <col min="9993" max="9993" width="9.85546875" hidden="1"/>
    <col min="9994" max="9994" width="14.7109375" hidden="1"/>
    <col min="9995" max="9995" width="16.42578125" hidden="1"/>
    <col min="9996" max="9998" width="13.85546875" hidden="1"/>
    <col min="9999" max="9999" width="12.85546875" hidden="1"/>
    <col min="10000" max="10000" width="14.140625" hidden="1"/>
    <col min="10001" max="10001" width="12.28515625" hidden="1"/>
    <col min="10002" max="10003" width="14.42578125" hidden="1"/>
    <col min="10004" max="10004" width="12.85546875" hidden="1"/>
    <col min="10005" max="10005" width="12.28515625" hidden="1"/>
    <col min="10006" max="10006" width="16.7109375" hidden="1"/>
    <col min="10234" max="10234" width="1.85546875" hidden="1"/>
    <col min="10235" max="10235" width="8" hidden="1"/>
    <col min="10236" max="10236" width="9.5703125" hidden="1"/>
    <col min="10237" max="10238" width="8" hidden="1"/>
    <col min="10239" max="10241" width="1.85546875" hidden="1"/>
    <col min="10242" max="10242" width="13.42578125" hidden="1"/>
    <col min="10243" max="10243" width="16.85546875" hidden="1"/>
    <col min="10244" max="10244" width="9.7109375" hidden="1"/>
    <col min="10245" max="10245" width="9.85546875" hidden="1"/>
    <col min="10246" max="10246" width="7.7109375" hidden="1"/>
    <col min="10247" max="10247" width="12.85546875" hidden="1"/>
    <col min="10248" max="10248" width="13.85546875" hidden="1"/>
    <col min="10249" max="10249" width="9.85546875" hidden="1"/>
    <col min="10250" max="10250" width="14.7109375" hidden="1"/>
    <col min="10251" max="10251" width="16.42578125" hidden="1"/>
    <col min="10252" max="10254" width="13.85546875" hidden="1"/>
    <col min="10255" max="10255" width="12.85546875" hidden="1"/>
    <col min="10256" max="10256" width="14.140625" hidden="1"/>
    <col min="10257" max="10257" width="12.28515625" hidden="1"/>
    <col min="10258" max="10259" width="14.42578125" hidden="1"/>
    <col min="10260" max="10260" width="12.85546875" hidden="1"/>
    <col min="10261" max="10261" width="12.28515625" hidden="1"/>
    <col min="10262" max="10262" width="16.7109375" hidden="1"/>
    <col min="10490" max="10490" width="1.85546875" hidden="1"/>
    <col min="10491" max="10491" width="8" hidden="1"/>
    <col min="10492" max="10492" width="9.5703125" hidden="1"/>
    <col min="10493" max="10494" width="8" hidden="1"/>
    <col min="10495" max="10497" width="1.85546875" hidden="1"/>
    <col min="10498" max="10498" width="13.42578125" hidden="1"/>
    <col min="10499" max="10499" width="16.85546875" hidden="1"/>
    <col min="10500" max="10500" width="9.7109375" hidden="1"/>
    <col min="10501" max="10501" width="9.85546875" hidden="1"/>
    <col min="10502" max="10502" width="7.7109375" hidden="1"/>
    <col min="10503" max="10503" width="12.85546875" hidden="1"/>
    <col min="10504" max="10504" width="13.85546875" hidden="1"/>
    <col min="10505" max="10505" width="9.85546875" hidden="1"/>
    <col min="10506" max="10506" width="14.7109375" hidden="1"/>
    <col min="10507" max="10507" width="16.42578125" hidden="1"/>
    <col min="10508" max="10510" width="13.85546875" hidden="1"/>
    <col min="10511" max="10511" width="12.85546875" hidden="1"/>
    <col min="10512" max="10512" width="14.140625" hidden="1"/>
    <col min="10513" max="10513" width="12.28515625" hidden="1"/>
    <col min="10514" max="10515" width="14.42578125" hidden="1"/>
    <col min="10516" max="10516" width="12.85546875" hidden="1"/>
    <col min="10517" max="10517" width="12.28515625" hidden="1"/>
    <col min="10518" max="10518" width="16.7109375" hidden="1"/>
    <col min="10746" max="10746" width="1.85546875" hidden="1"/>
    <col min="10747" max="10747" width="8" hidden="1"/>
    <col min="10748" max="10748" width="9.5703125" hidden="1"/>
    <col min="10749" max="10750" width="8" hidden="1"/>
    <col min="10751" max="10753" width="1.85546875" hidden="1"/>
    <col min="10754" max="10754" width="13.42578125" hidden="1"/>
    <col min="10755" max="10755" width="16.85546875" hidden="1"/>
    <col min="10756" max="10756" width="9.7109375" hidden="1"/>
    <col min="10757" max="10757" width="9.85546875" hidden="1"/>
    <col min="10758" max="10758" width="7.7109375" hidden="1"/>
    <col min="10759" max="10759" width="12.85546875" hidden="1"/>
    <col min="10760" max="10760" width="13.85546875" hidden="1"/>
    <col min="10761" max="10761" width="9.85546875" hidden="1"/>
    <col min="10762" max="10762" width="14.7109375" hidden="1"/>
    <col min="10763" max="10763" width="16.42578125" hidden="1"/>
    <col min="10764" max="10766" width="13.85546875" hidden="1"/>
    <col min="10767" max="10767" width="12.85546875" hidden="1"/>
    <col min="10768" max="10768" width="14.140625" hidden="1"/>
    <col min="10769" max="10769" width="12.28515625" hidden="1"/>
    <col min="10770" max="10771" width="14.42578125" hidden="1"/>
    <col min="10772" max="10772" width="12.85546875" hidden="1"/>
    <col min="10773" max="10773" width="12.28515625" hidden="1"/>
    <col min="10774" max="10774" width="16.7109375" hidden="1"/>
    <col min="11002" max="11002" width="1.85546875" hidden="1"/>
    <col min="11003" max="11003" width="8" hidden="1"/>
    <col min="11004" max="11004" width="9.5703125" hidden="1"/>
    <col min="11005" max="11006" width="8" hidden="1"/>
    <col min="11007" max="11009" width="1.85546875" hidden="1"/>
    <col min="11010" max="11010" width="13.42578125" hidden="1"/>
    <col min="11011" max="11011" width="16.85546875" hidden="1"/>
    <col min="11012" max="11012" width="9.7109375" hidden="1"/>
    <col min="11013" max="11013" width="9.85546875" hidden="1"/>
    <col min="11014" max="11014" width="7.7109375" hidden="1"/>
    <col min="11015" max="11015" width="12.85546875" hidden="1"/>
    <col min="11016" max="11016" width="13.85546875" hidden="1"/>
    <col min="11017" max="11017" width="9.85546875" hidden="1"/>
    <col min="11018" max="11018" width="14.7109375" hidden="1"/>
    <col min="11019" max="11019" width="16.42578125" hidden="1"/>
    <col min="11020" max="11022" width="13.85546875" hidden="1"/>
    <col min="11023" max="11023" width="12.85546875" hidden="1"/>
    <col min="11024" max="11024" width="14.140625" hidden="1"/>
    <col min="11025" max="11025" width="12.28515625" hidden="1"/>
    <col min="11026" max="11027" width="14.42578125" hidden="1"/>
    <col min="11028" max="11028" width="12.85546875" hidden="1"/>
    <col min="11029" max="11029" width="12.28515625" hidden="1"/>
    <col min="11030" max="11030" width="16.7109375" hidden="1"/>
    <col min="11258" max="11258" width="1.85546875" hidden="1"/>
    <col min="11259" max="11259" width="8" hidden="1"/>
    <col min="11260" max="11260" width="9.5703125" hidden="1"/>
    <col min="11261" max="11262" width="8" hidden="1"/>
    <col min="11263" max="11265" width="1.85546875" hidden="1"/>
    <col min="11266" max="11266" width="13.42578125" hidden="1"/>
    <col min="11267" max="11267" width="16.85546875" hidden="1"/>
    <col min="11268" max="11268" width="9.7109375" hidden="1"/>
    <col min="11269" max="11269" width="9.85546875" hidden="1"/>
    <col min="11270" max="11270" width="7.7109375" hidden="1"/>
    <col min="11271" max="11271" width="12.85546875" hidden="1"/>
    <col min="11272" max="11272" width="13.85546875" hidden="1"/>
    <col min="11273" max="11273" width="9.85546875" hidden="1"/>
    <col min="11274" max="11274" width="14.7109375" hidden="1"/>
    <col min="11275" max="11275" width="16.42578125" hidden="1"/>
    <col min="11276" max="11278" width="13.85546875" hidden="1"/>
    <col min="11279" max="11279" width="12.85546875" hidden="1"/>
    <col min="11280" max="11280" width="14.140625" hidden="1"/>
    <col min="11281" max="11281" width="12.28515625" hidden="1"/>
    <col min="11282" max="11283" width="14.42578125" hidden="1"/>
    <col min="11284" max="11284" width="12.85546875" hidden="1"/>
    <col min="11285" max="11285" width="12.28515625" hidden="1"/>
    <col min="11286" max="11286" width="16.7109375" hidden="1"/>
    <col min="11514" max="11514" width="1.85546875" hidden="1"/>
    <col min="11515" max="11515" width="8" hidden="1"/>
    <col min="11516" max="11516" width="9.5703125" hidden="1"/>
    <col min="11517" max="11518" width="8" hidden="1"/>
    <col min="11519" max="11521" width="1.85546875" hidden="1"/>
    <col min="11522" max="11522" width="13.42578125" hidden="1"/>
    <col min="11523" max="11523" width="16.85546875" hidden="1"/>
    <col min="11524" max="11524" width="9.7109375" hidden="1"/>
    <col min="11525" max="11525" width="9.85546875" hidden="1"/>
    <col min="11526" max="11526" width="7.7109375" hidden="1"/>
    <col min="11527" max="11527" width="12.85546875" hidden="1"/>
    <col min="11528" max="11528" width="13.85546875" hidden="1"/>
    <col min="11529" max="11529" width="9.85546875" hidden="1"/>
    <col min="11530" max="11530" width="14.7109375" hidden="1"/>
    <col min="11531" max="11531" width="16.42578125" hidden="1"/>
    <col min="11532" max="11534" width="13.85546875" hidden="1"/>
    <col min="11535" max="11535" width="12.85546875" hidden="1"/>
    <col min="11536" max="11536" width="14.140625" hidden="1"/>
    <col min="11537" max="11537" width="12.28515625" hidden="1"/>
    <col min="11538" max="11539" width="14.42578125" hidden="1"/>
    <col min="11540" max="11540" width="12.85546875" hidden="1"/>
    <col min="11541" max="11541" width="12.28515625" hidden="1"/>
    <col min="11542" max="11542" width="16.7109375" hidden="1"/>
    <col min="11770" max="11770" width="1.85546875" hidden="1"/>
    <col min="11771" max="11771" width="8" hidden="1"/>
    <col min="11772" max="11772" width="9.5703125" hidden="1"/>
    <col min="11773" max="11774" width="8" hidden="1"/>
    <col min="11775" max="11777" width="1.85546875" hidden="1"/>
    <col min="11778" max="11778" width="13.42578125" hidden="1"/>
    <col min="11779" max="11779" width="16.85546875" hidden="1"/>
    <col min="11780" max="11780" width="9.7109375" hidden="1"/>
    <col min="11781" max="11781" width="9.85546875" hidden="1"/>
    <col min="11782" max="11782" width="7.7109375" hidden="1"/>
    <col min="11783" max="11783" width="12.85546875" hidden="1"/>
    <col min="11784" max="11784" width="13.85546875" hidden="1"/>
    <col min="11785" max="11785" width="9.85546875" hidden="1"/>
    <col min="11786" max="11786" width="14.7109375" hidden="1"/>
    <col min="11787" max="11787" width="16.42578125" hidden="1"/>
    <col min="11788" max="11790" width="13.85546875" hidden="1"/>
    <col min="11791" max="11791" width="12.85546875" hidden="1"/>
    <col min="11792" max="11792" width="14.140625" hidden="1"/>
    <col min="11793" max="11793" width="12.28515625" hidden="1"/>
    <col min="11794" max="11795" width="14.42578125" hidden="1"/>
    <col min="11796" max="11796" width="12.85546875" hidden="1"/>
    <col min="11797" max="11797" width="12.28515625" hidden="1"/>
    <col min="11798" max="11798" width="16.7109375" hidden="1"/>
    <col min="12026" max="12026" width="1.85546875" hidden="1"/>
    <col min="12027" max="12027" width="8" hidden="1"/>
    <col min="12028" max="12028" width="9.5703125" hidden="1"/>
    <col min="12029" max="12030" width="8" hidden="1"/>
    <col min="12031" max="12033" width="1.85546875" hidden="1"/>
    <col min="12034" max="12034" width="13.42578125" hidden="1"/>
    <col min="12035" max="12035" width="16.85546875" hidden="1"/>
    <col min="12036" max="12036" width="9.7109375" hidden="1"/>
    <col min="12037" max="12037" width="9.85546875" hidden="1"/>
    <col min="12038" max="12038" width="7.7109375" hidden="1"/>
    <col min="12039" max="12039" width="12.85546875" hidden="1"/>
    <col min="12040" max="12040" width="13.85546875" hidden="1"/>
    <col min="12041" max="12041" width="9.85546875" hidden="1"/>
    <col min="12042" max="12042" width="14.7109375" hidden="1"/>
    <col min="12043" max="12043" width="16.42578125" hidden="1"/>
    <col min="12044" max="12046" width="13.85546875" hidden="1"/>
    <col min="12047" max="12047" width="12.85546875" hidden="1"/>
    <col min="12048" max="12048" width="14.140625" hidden="1"/>
    <col min="12049" max="12049" width="12.28515625" hidden="1"/>
    <col min="12050" max="12051" width="14.42578125" hidden="1"/>
    <col min="12052" max="12052" width="12.85546875" hidden="1"/>
    <col min="12053" max="12053" width="12.28515625" hidden="1"/>
    <col min="12054" max="12054" width="16.7109375" hidden="1"/>
    <col min="12282" max="12282" width="1.85546875" hidden="1"/>
    <col min="12283" max="12283" width="8" hidden="1"/>
    <col min="12284" max="12284" width="9.5703125" hidden="1"/>
    <col min="12285" max="12286" width="8" hidden="1"/>
    <col min="12287" max="12289" width="1.85546875" hidden="1"/>
    <col min="12290" max="12290" width="13.42578125" hidden="1"/>
    <col min="12291" max="12291" width="16.85546875" hidden="1"/>
    <col min="12292" max="12292" width="9.7109375" hidden="1"/>
    <col min="12293" max="12293" width="9.85546875" hidden="1"/>
    <col min="12294" max="12294" width="7.7109375" hidden="1"/>
    <col min="12295" max="12295" width="12.85546875" hidden="1"/>
    <col min="12296" max="12296" width="13.85546875" hidden="1"/>
    <col min="12297" max="12297" width="9.85546875" hidden="1"/>
    <col min="12298" max="12298" width="14.7109375" hidden="1"/>
    <col min="12299" max="12299" width="16.42578125" hidden="1"/>
    <col min="12300" max="12302" width="13.85546875" hidden="1"/>
    <col min="12303" max="12303" width="12.85546875" hidden="1"/>
    <col min="12304" max="12304" width="14.140625" hidden="1"/>
    <col min="12305" max="12305" width="12.28515625" hidden="1"/>
    <col min="12306" max="12307" width="14.42578125" hidden="1"/>
    <col min="12308" max="12308" width="12.85546875" hidden="1"/>
    <col min="12309" max="12309" width="12.28515625" hidden="1"/>
    <col min="12310" max="12310" width="16.7109375" hidden="1"/>
    <col min="12538" max="12538" width="1.85546875" hidden="1"/>
    <col min="12539" max="12539" width="8" hidden="1"/>
    <col min="12540" max="12540" width="9.5703125" hidden="1"/>
    <col min="12541" max="12542" width="8" hidden="1"/>
    <col min="12543" max="12545" width="1.85546875" hidden="1"/>
    <col min="12546" max="12546" width="13.42578125" hidden="1"/>
    <col min="12547" max="12547" width="16.85546875" hidden="1"/>
    <col min="12548" max="12548" width="9.7109375" hidden="1"/>
    <col min="12549" max="12549" width="9.85546875" hidden="1"/>
    <col min="12550" max="12550" width="7.7109375" hidden="1"/>
    <col min="12551" max="12551" width="12.85546875" hidden="1"/>
    <col min="12552" max="12552" width="13.85546875" hidden="1"/>
    <col min="12553" max="12553" width="9.85546875" hidden="1"/>
    <col min="12554" max="12554" width="14.7109375" hidden="1"/>
    <col min="12555" max="12555" width="16.42578125" hidden="1"/>
    <col min="12556" max="12558" width="13.85546875" hidden="1"/>
    <col min="12559" max="12559" width="12.85546875" hidden="1"/>
    <col min="12560" max="12560" width="14.140625" hidden="1"/>
    <col min="12561" max="12561" width="12.28515625" hidden="1"/>
    <col min="12562" max="12563" width="14.42578125" hidden="1"/>
    <col min="12564" max="12564" width="12.85546875" hidden="1"/>
    <col min="12565" max="12565" width="12.28515625" hidden="1"/>
    <col min="12566" max="12566" width="16.7109375" hidden="1"/>
    <col min="12794" max="12794" width="1.85546875" hidden="1"/>
    <col min="12795" max="12795" width="8" hidden="1"/>
    <col min="12796" max="12796" width="9.5703125" hidden="1"/>
    <col min="12797" max="12798" width="8" hidden="1"/>
    <col min="12799" max="12801" width="1.85546875" hidden="1"/>
    <col min="12802" max="12802" width="13.42578125" hidden="1"/>
    <col min="12803" max="12803" width="16.85546875" hidden="1"/>
    <col min="12804" max="12804" width="9.7109375" hidden="1"/>
    <col min="12805" max="12805" width="9.85546875" hidden="1"/>
    <col min="12806" max="12806" width="7.7109375" hidden="1"/>
    <col min="12807" max="12807" width="12.85546875" hidden="1"/>
    <col min="12808" max="12808" width="13.85546875" hidden="1"/>
    <col min="12809" max="12809" width="9.85546875" hidden="1"/>
    <col min="12810" max="12810" width="14.7109375" hidden="1"/>
    <col min="12811" max="12811" width="16.42578125" hidden="1"/>
    <col min="12812" max="12814" width="13.85546875" hidden="1"/>
    <col min="12815" max="12815" width="12.85546875" hidden="1"/>
    <col min="12816" max="12816" width="14.140625" hidden="1"/>
    <col min="12817" max="12817" width="12.28515625" hidden="1"/>
    <col min="12818" max="12819" width="14.42578125" hidden="1"/>
    <col min="12820" max="12820" width="12.85546875" hidden="1"/>
    <col min="12821" max="12821" width="12.28515625" hidden="1"/>
    <col min="12822" max="12822" width="16.7109375" hidden="1"/>
    <col min="13050" max="13050" width="1.85546875" hidden="1"/>
    <col min="13051" max="13051" width="8" hidden="1"/>
    <col min="13052" max="13052" width="9.5703125" hidden="1"/>
    <col min="13053" max="13054" width="8" hidden="1"/>
    <col min="13055" max="13057" width="1.85546875" hidden="1"/>
    <col min="13058" max="13058" width="13.42578125" hidden="1"/>
    <col min="13059" max="13059" width="16.85546875" hidden="1"/>
    <col min="13060" max="13060" width="9.7109375" hidden="1"/>
    <col min="13061" max="13061" width="9.85546875" hidden="1"/>
    <col min="13062" max="13062" width="7.7109375" hidden="1"/>
    <col min="13063" max="13063" width="12.85546875" hidden="1"/>
    <col min="13064" max="13064" width="13.85546875" hidden="1"/>
    <col min="13065" max="13065" width="9.85546875" hidden="1"/>
    <col min="13066" max="13066" width="14.7109375" hidden="1"/>
    <col min="13067" max="13067" width="16.42578125" hidden="1"/>
    <col min="13068" max="13070" width="13.85546875" hidden="1"/>
    <col min="13071" max="13071" width="12.85546875" hidden="1"/>
    <col min="13072" max="13072" width="14.140625" hidden="1"/>
    <col min="13073" max="13073" width="12.28515625" hidden="1"/>
    <col min="13074" max="13075" width="14.42578125" hidden="1"/>
    <col min="13076" max="13076" width="12.85546875" hidden="1"/>
    <col min="13077" max="13077" width="12.28515625" hidden="1"/>
    <col min="13078" max="13078" width="16.7109375" hidden="1"/>
    <col min="13306" max="13306" width="1.85546875" hidden="1"/>
    <col min="13307" max="13307" width="8" hidden="1"/>
    <col min="13308" max="13308" width="9.5703125" hidden="1"/>
    <col min="13309" max="13310" width="8" hidden="1"/>
    <col min="13311" max="13313" width="1.85546875" hidden="1"/>
    <col min="13314" max="13314" width="13.42578125" hidden="1"/>
    <col min="13315" max="13315" width="16.85546875" hidden="1"/>
    <col min="13316" max="13316" width="9.7109375" hidden="1"/>
    <col min="13317" max="13317" width="9.85546875" hidden="1"/>
    <col min="13318" max="13318" width="7.7109375" hidden="1"/>
    <col min="13319" max="13319" width="12.85546875" hidden="1"/>
    <col min="13320" max="13320" width="13.85546875" hidden="1"/>
    <col min="13321" max="13321" width="9.85546875" hidden="1"/>
    <col min="13322" max="13322" width="14.7109375" hidden="1"/>
    <col min="13323" max="13323" width="16.42578125" hidden="1"/>
    <col min="13324" max="13326" width="13.85546875" hidden="1"/>
    <col min="13327" max="13327" width="12.85546875" hidden="1"/>
    <col min="13328" max="13328" width="14.140625" hidden="1"/>
    <col min="13329" max="13329" width="12.28515625" hidden="1"/>
    <col min="13330" max="13331" width="14.42578125" hidden="1"/>
    <col min="13332" max="13332" width="12.85546875" hidden="1"/>
    <col min="13333" max="13333" width="12.28515625" hidden="1"/>
    <col min="13334" max="13334" width="16.7109375" hidden="1"/>
    <col min="13562" max="13562" width="1.85546875" hidden="1"/>
    <col min="13563" max="13563" width="8" hidden="1"/>
    <col min="13564" max="13564" width="9.5703125" hidden="1"/>
    <col min="13565" max="13566" width="8" hidden="1"/>
    <col min="13567" max="13569" width="1.85546875" hidden="1"/>
    <col min="13570" max="13570" width="13.42578125" hidden="1"/>
    <col min="13571" max="13571" width="16.85546875" hidden="1"/>
    <col min="13572" max="13572" width="9.7109375" hidden="1"/>
    <col min="13573" max="13573" width="9.85546875" hidden="1"/>
    <col min="13574" max="13574" width="7.7109375" hidden="1"/>
    <col min="13575" max="13575" width="12.85546875" hidden="1"/>
    <col min="13576" max="13576" width="13.85546875" hidden="1"/>
    <col min="13577" max="13577" width="9.85546875" hidden="1"/>
    <col min="13578" max="13578" width="14.7109375" hidden="1"/>
    <col min="13579" max="13579" width="16.42578125" hidden="1"/>
    <col min="13580" max="13582" width="13.85546875" hidden="1"/>
    <col min="13583" max="13583" width="12.85546875" hidden="1"/>
    <col min="13584" max="13584" width="14.140625" hidden="1"/>
    <col min="13585" max="13585" width="12.28515625" hidden="1"/>
    <col min="13586" max="13587" width="14.42578125" hidden="1"/>
    <col min="13588" max="13588" width="12.85546875" hidden="1"/>
    <col min="13589" max="13589" width="12.28515625" hidden="1"/>
    <col min="13590" max="13590" width="16.7109375" hidden="1"/>
    <col min="13818" max="13818" width="1.85546875" hidden="1"/>
    <col min="13819" max="13819" width="8" hidden="1"/>
    <col min="13820" max="13820" width="9.5703125" hidden="1"/>
    <col min="13821" max="13822" width="8" hidden="1"/>
    <col min="13823" max="13825" width="1.85546875" hidden="1"/>
    <col min="13826" max="13826" width="13.42578125" hidden="1"/>
    <col min="13827" max="13827" width="16.85546875" hidden="1"/>
    <col min="13828" max="13828" width="9.7109375" hidden="1"/>
    <col min="13829" max="13829" width="9.85546875" hidden="1"/>
    <col min="13830" max="13830" width="7.7109375" hidden="1"/>
    <col min="13831" max="13831" width="12.85546875" hidden="1"/>
    <col min="13832" max="13832" width="13.85546875" hidden="1"/>
    <col min="13833" max="13833" width="9.85546875" hidden="1"/>
    <col min="13834" max="13834" width="14.7109375" hidden="1"/>
    <col min="13835" max="13835" width="16.42578125" hidden="1"/>
    <col min="13836" max="13838" width="13.85546875" hidden="1"/>
    <col min="13839" max="13839" width="12.85546875" hidden="1"/>
    <col min="13840" max="13840" width="14.140625" hidden="1"/>
    <col min="13841" max="13841" width="12.28515625" hidden="1"/>
    <col min="13842" max="13843" width="14.42578125" hidden="1"/>
    <col min="13844" max="13844" width="12.85546875" hidden="1"/>
    <col min="13845" max="13845" width="12.28515625" hidden="1"/>
    <col min="13846" max="13846" width="16.7109375" hidden="1"/>
    <col min="14074" max="14074" width="1.85546875" hidden="1"/>
    <col min="14075" max="14075" width="8" hidden="1"/>
    <col min="14076" max="14076" width="9.5703125" hidden="1"/>
    <col min="14077" max="14078" width="8" hidden="1"/>
    <col min="14079" max="14081" width="1.85546875" hidden="1"/>
    <col min="14082" max="14082" width="13.42578125" hidden="1"/>
    <col min="14083" max="14083" width="16.85546875" hidden="1"/>
    <col min="14084" max="14084" width="9.7109375" hidden="1"/>
    <col min="14085" max="14085" width="9.85546875" hidden="1"/>
    <col min="14086" max="14086" width="7.7109375" hidden="1"/>
    <col min="14087" max="14087" width="12.85546875" hidden="1"/>
    <col min="14088" max="14088" width="13.85546875" hidden="1"/>
    <col min="14089" max="14089" width="9.85546875" hidden="1"/>
    <col min="14090" max="14090" width="14.7109375" hidden="1"/>
    <col min="14091" max="14091" width="16.42578125" hidden="1"/>
    <col min="14092" max="14094" width="13.85546875" hidden="1"/>
    <col min="14095" max="14095" width="12.85546875" hidden="1"/>
    <col min="14096" max="14096" width="14.140625" hidden="1"/>
    <col min="14097" max="14097" width="12.28515625" hidden="1"/>
    <col min="14098" max="14099" width="14.42578125" hidden="1"/>
    <col min="14100" max="14100" width="12.85546875" hidden="1"/>
    <col min="14101" max="14101" width="12.28515625" hidden="1"/>
    <col min="14102" max="14102" width="16.7109375" hidden="1"/>
    <col min="14330" max="14330" width="1.85546875" hidden="1"/>
    <col min="14331" max="14331" width="8" hidden="1"/>
    <col min="14332" max="14332" width="9.5703125" hidden="1"/>
    <col min="14333" max="14334" width="8" hidden="1"/>
    <col min="14335" max="14337" width="1.85546875" hidden="1"/>
    <col min="14338" max="14338" width="13.42578125" hidden="1"/>
    <col min="14339" max="14339" width="16.85546875" hidden="1"/>
    <col min="14340" max="14340" width="9.7109375" hidden="1"/>
    <col min="14341" max="14341" width="9.85546875" hidden="1"/>
    <col min="14342" max="14342" width="7.7109375" hidden="1"/>
    <col min="14343" max="14343" width="12.85546875" hidden="1"/>
    <col min="14344" max="14344" width="13.85546875" hidden="1"/>
    <col min="14345" max="14345" width="9.85546875" hidden="1"/>
    <col min="14346" max="14346" width="14.7109375" hidden="1"/>
    <col min="14347" max="14347" width="16.42578125" hidden="1"/>
    <col min="14348" max="14350" width="13.85546875" hidden="1"/>
    <col min="14351" max="14351" width="12.85546875" hidden="1"/>
    <col min="14352" max="14352" width="14.140625" hidden="1"/>
    <col min="14353" max="14353" width="12.28515625" hidden="1"/>
    <col min="14354" max="14355" width="14.42578125" hidden="1"/>
    <col min="14356" max="14356" width="12.85546875" hidden="1"/>
    <col min="14357" max="14357" width="12.28515625" hidden="1"/>
    <col min="14358" max="14358" width="16.7109375" hidden="1"/>
    <col min="14586" max="14586" width="1.85546875" hidden="1"/>
    <col min="14587" max="14587" width="8" hidden="1"/>
    <col min="14588" max="14588" width="9.5703125" hidden="1"/>
    <col min="14589" max="14590" width="8" hidden="1"/>
    <col min="14591" max="14593" width="1.85546875" hidden="1"/>
    <col min="14594" max="14594" width="13.42578125" hidden="1"/>
    <col min="14595" max="14595" width="16.85546875" hidden="1"/>
    <col min="14596" max="14596" width="9.7109375" hidden="1"/>
    <col min="14597" max="14597" width="9.85546875" hidden="1"/>
    <col min="14598" max="14598" width="7.7109375" hidden="1"/>
    <col min="14599" max="14599" width="12.85546875" hidden="1"/>
    <col min="14600" max="14600" width="13.85546875" hidden="1"/>
    <col min="14601" max="14601" width="9.85546875" hidden="1"/>
    <col min="14602" max="14602" width="14.7109375" hidden="1"/>
    <col min="14603" max="14603" width="16.42578125" hidden="1"/>
    <col min="14604" max="14606" width="13.85546875" hidden="1"/>
    <col min="14607" max="14607" width="12.85546875" hidden="1"/>
    <col min="14608" max="14608" width="14.140625" hidden="1"/>
    <col min="14609" max="14609" width="12.28515625" hidden="1"/>
    <col min="14610" max="14611" width="14.42578125" hidden="1"/>
    <col min="14612" max="14612" width="12.85546875" hidden="1"/>
    <col min="14613" max="14613" width="12.28515625" hidden="1"/>
    <col min="14614" max="14614" width="16.7109375" hidden="1"/>
    <col min="14842" max="14842" width="1.85546875" hidden="1"/>
    <col min="14843" max="14843" width="8" hidden="1"/>
    <col min="14844" max="14844" width="9.5703125" hidden="1"/>
    <col min="14845" max="14846" width="8" hidden="1"/>
    <col min="14847" max="14849" width="1.85546875" hidden="1"/>
    <col min="14850" max="14850" width="13.42578125" hidden="1"/>
    <col min="14851" max="14851" width="16.85546875" hidden="1"/>
    <col min="14852" max="14852" width="9.7109375" hidden="1"/>
    <col min="14853" max="14853" width="9.85546875" hidden="1"/>
    <col min="14854" max="14854" width="7.7109375" hidden="1"/>
    <col min="14855" max="14855" width="12.85546875" hidden="1"/>
    <col min="14856" max="14856" width="13.85546875" hidden="1"/>
    <col min="14857" max="14857" width="9.85546875" hidden="1"/>
    <col min="14858" max="14858" width="14.7109375" hidden="1"/>
    <col min="14859" max="14859" width="16.42578125" hidden="1"/>
    <col min="14860" max="14862" width="13.85546875" hidden="1"/>
    <col min="14863" max="14863" width="12.85546875" hidden="1"/>
    <col min="14864" max="14864" width="14.140625" hidden="1"/>
    <col min="14865" max="14865" width="12.28515625" hidden="1"/>
    <col min="14866" max="14867" width="14.42578125" hidden="1"/>
    <col min="14868" max="14868" width="12.85546875" hidden="1"/>
    <col min="14869" max="14869" width="12.28515625" hidden="1"/>
    <col min="14870" max="14870" width="16.7109375" hidden="1"/>
    <col min="15098" max="15098" width="1.85546875" hidden="1"/>
    <col min="15099" max="15099" width="8" hidden="1"/>
    <col min="15100" max="15100" width="9.5703125" hidden="1"/>
    <col min="15101" max="15102" width="8" hidden="1"/>
    <col min="15103" max="15105" width="1.85546875" hidden="1"/>
    <col min="15106" max="15106" width="13.42578125" hidden="1"/>
    <col min="15107" max="15107" width="16.85546875" hidden="1"/>
    <col min="15108" max="15108" width="9.7109375" hidden="1"/>
    <col min="15109" max="15109" width="9.85546875" hidden="1"/>
    <col min="15110" max="15110" width="7.7109375" hidden="1"/>
    <col min="15111" max="15111" width="12.85546875" hidden="1"/>
    <col min="15112" max="15112" width="13.85546875" hidden="1"/>
    <col min="15113" max="15113" width="9.85546875" hidden="1"/>
    <col min="15114" max="15114" width="14.7109375" hidden="1"/>
    <col min="15115" max="15115" width="16.42578125" hidden="1"/>
    <col min="15116" max="15118" width="13.85546875" hidden="1"/>
    <col min="15119" max="15119" width="12.85546875" hidden="1"/>
    <col min="15120" max="15120" width="14.140625" hidden="1"/>
    <col min="15121" max="15121" width="12.28515625" hidden="1"/>
    <col min="15122" max="15123" width="14.42578125" hidden="1"/>
    <col min="15124" max="15124" width="12.85546875" hidden="1"/>
    <col min="15125" max="15125" width="12.28515625" hidden="1"/>
    <col min="15126" max="15126" width="16.7109375" hidden="1"/>
    <col min="15354" max="15354" width="1.85546875" hidden="1"/>
    <col min="15355" max="15355" width="8" hidden="1"/>
    <col min="15356" max="15356" width="9.5703125" hidden="1"/>
    <col min="15357" max="15358" width="8" hidden="1"/>
    <col min="15359" max="15361" width="1.85546875" hidden="1"/>
    <col min="15362" max="15362" width="13.42578125" hidden="1"/>
    <col min="15363" max="15363" width="16.85546875" hidden="1"/>
    <col min="15364" max="15364" width="9.7109375" hidden="1"/>
    <col min="15365" max="15365" width="9.85546875" hidden="1"/>
    <col min="15366" max="15366" width="7.7109375" hidden="1"/>
    <col min="15367" max="15367" width="12.85546875" hidden="1"/>
    <col min="15368" max="15368" width="13.85546875" hidden="1"/>
    <col min="15369" max="15369" width="9.85546875" hidden="1"/>
    <col min="15370" max="15370" width="14.7109375" hidden="1"/>
    <col min="15371" max="15371" width="16.42578125" hidden="1"/>
    <col min="15372" max="15374" width="13.85546875" hidden="1"/>
    <col min="15375" max="15375" width="12.85546875" hidden="1"/>
    <col min="15376" max="15376" width="14.140625" hidden="1"/>
    <col min="15377" max="15377" width="12.28515625" hidden="1"/>
    <col min="15378" max="15379" width="14.42578125" hidden="1"/>
    <col min="15380" max="15380" width="12.85546875" hidden="1"/>
    <col min="15381" max="15381" width="12.28515625" hidden="1"/>
    <col min="15382" max="15382" width="16.7109375" hidden="1"/>
    <col min="15610" max="15610" width="1.85546875" hidden="1"/>
    <col min="15611" max="15611" width="8" hidden="1"/>
    <col min="15612" max="15612" width="9.5703125" hidden="1"/>
    <col min="15613" max="15614" width="8" hidden="1"/>
    <col min="15615" max="15617" width="1.85546875" hidden="1"/>
    <col min="15618" max="15618" width="13.42578125" hidden="1"/>
    <col min="15619" max="15619" width="16.85546875" hidden="1"/>
    <col min="15620" max="15620" width="9.7109375" hidden="1"/>
    <col min="15621" max="15621" width="9.85546875" hidden="1"/>
    <col min="15622" max="15622" width="7.7109375" hidden="1"/>
    <col min="15623" max="15623" width="12.85546875" hidden="1"/>
    <col min="15624" max="15624" width="13.85546875" hidden="1"/>
    <col min="15625" max="15625" width="9.85546875" hidden="1"/>
    <col min="15626" max="15626" width="14.7109375" hidden="1"/>
    <col min="15627" max="15627" width="16.42578125" hidden="1"/>
    <col min="15628" max="15630" width="13.85546875" hidden="1"/>
    <col min="15631" max="15631" width="12.85546875" hidden="1"/>
    <col min="15632" max="15632" width="14.140625" hidden="1"/>
    <col min="15633" max="15633" width="12.28515625" hidden="1"/>
    <col min="15634" max="15635" width="14.42578125" hidden="1"/>
    <col min="15636" max="15636" width="12.85546875" hidden="1"/>
    <col min="15637" max="15637" width="12.28515625" hidden="1"/>
    <col min="15638" max="15638" width="16.7109375" hidden="1"/>
    <col min="15866" max="15866" width="1.85546875" hidden="1"/>
    <col min="15867" max="15867" width="8" hidden="1"/>
    <col min="15868" max="15868" width="9.5703125" hidden="1"/>
    <col min="15869" max="15870" width="8" hidden="1"/>
    <col min="15871" max="15873" width="1.85546875" hidden="1"/>
    <col min="15874" max="15874" width="13.42578125" hidden="1"/>
    <col min="15875" max="15875" width="16.85546875" hidden="1"/>
    <col min="15876" max="15876" width="9.7109375" hidden="1"/>
    <col min="15877" max="15877" width="9.85546875" hidden="1"/>
    <col min="15878" max="15878" width="7.7109375" hidden="1"/>
    <col min="15879" max="15879" width="12.85546875" hidden="1"/>
    <col min="15880" max="15880" width="13.85546875" hidden="1"/>
    <col min="15881" max="15881" width="9.85546875" hidden="1"/>
    <col min="15882" max="15882" width="14.7109375" hidden="1"/>
    <col min="15883" max="15883" width="16.42578125" hidden="1"/>
    <col min="15884" max="15886" width="13.85546875" hidden="1"/>
    <col min="15887" max="15887" width="12.85546875" hidden="1"/>
    <col min="15888" max="15888" width="14.140625" hidden="1"/>
    <col min="15889" max="15889" width="12.28515625" hidden="1"/>
    <col min="15890" max="15891" width="14.42578125" hidden="1"/>
    <col min="15892" max="15892" width="12.85546875" hidden="1"/>
    <col min="15893" max="15893" width="12.28515625" hidden="1"/>
    <col min="15894" max="15894" width="16.7109375" hidden="1"/>
    <col min="16122" max="16122" width="1.85546875" hidden="1"/>
    <col min="16123" max="16123" width="8" hidden="1"/>
    <col min="16124" max="16124" width="9.5703125" hidden="1"/>
    <col min="16125" max="16126" width="8" hidden="1"/>
    <col min="16127" max="16129" width="1.85546875" hidden="1"/>
    <col min="16130" max="16130" width="13.42578125" hidden="1"/>
    <col min="16131" max="16131" width="16.85546875" hidden="1"/>
    <col min="16132" max="16132" width="9.7109375" hidden="1"/>
    <col min="16133" max="16133" width="9.85546875" hidden="1"/>
    <col min="16134" max="16134" width="7.7109375" hidden="1"/>
    <col min="16135" max="16135" width="12.85546875" hidden="1"/>
    <col min="16136" max="16136" width="13.85546875" hidden="1"/>
    <col min="16137" max="16137" width="9.85546875" hidden="1"/>
    <col min="16138" max="16138" width="14.7109375" hidden="1"/>
    <col min="16139" max="16139" width="16.42578125" hidden="1"/>
    <col min="16140" max="16142" width="13.85546875" hidden="1"/>
    <col min="16143" max="16143" width="12.85546875" hidden="1"/>
    <col min="16144" max="16144" width="14.140625" hidden="1"/>
    <col min="16145" max="16145" width="12.28515625" hidden="1"/>
    <col min="16146" max="16147" width="14.42578125" hidden="1"/>
    <col min="16148" max="16148" width="12.85546875" hidden="1"/>
    <col min="16149" max="16149" width="12.28515625" hidden="1"/>
    <col min="16150" max="16150" width="16.7109375" hidden="1"/>
  </cols>
  <sheetData>
    <row r="1" spans="1:22" ht="15" hidden="1" customHeight="1">
      <c r="A1" s="1"/>
      <c r="B1" s="1"/>
      <c r="C1" s="55"/>
      <c r="D1" s="55"/>
      <c r="E1" s="55"/>
      <c r="F1" s="56" t="s">
        <v>0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7" t="s">
        <v>1</v>
      </c>
      <c r="U1" s="58"/>
      <c r="V1" s="58"/>
    </row>
    <row r="2" spans="1:22" ht="15" customHeight="1">
      <c r="A2" s="1"/>
      <c r="B2" s="1"/>
      <c r="C2" s="213" t="s">
        <v>2</v>
      </c>
      <c r="D2" s="214"/>
      <c r="E2" s="214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8" t="s">
        <v>3</v>
      </c>
      <c r="U2" s="58"/>
      <c r="V2" s="58" t="s">
        <v>4</v>
      </c>
    </row>
    <row r="3" spans="1:22" ht="15" customHeight="1">
      <c r="A3" s="1"/>
      <c r="B3" s="1"/>
      <c r="C3" s="214"/>
      <c r="D3" s="214"/>
      <c r="E3" s="214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8" t="s">
        <v>5</v>
      </c>
      <c r="U3" s="58"/>
      <c r="V3" s="58"/>
    </row>
    <row r="4" spans="1:22" ht="15.75" customHeight="1">
      <c r="A4" s="1"/>
      <c r="B4" s="1"/>
      <c r="C4" s="214"/>
      <c r="D4" s="214"/>
      <c r="E4" s="214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8"/>
      <c r="U4" s="58"/>
      <c r="V4" s="58"/>
    </row>
    <row r="5" spans="1:22" ht="23.25">
      <c r="A5" s="1"/>
      <c r="B5" s="1"/>
      <c r="C5" s="214"/>
      <c r="D5" s="214"/>
      <c r="E5" s="21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2" ht="18" customHeight="1">
      <c r="A6" s="1"/>
      <c r="B6" s="1"/>
      <c r="C6" s="40" t="s">
        <v>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25.5">
      <c r="A7" s="1"/>
      <c r="B7" s="1"/>
      <c r="C7" s="53" t="s">
        <v>7</v>
      </c>
      <c r="D7" s="53" t="s">
        <v>8</v>
      </c>
      <c r="E7" s="2" t="s">
        <v>9</v>
      </c>
      <c r="F7" s="53" t="s">
        <v>10</v>
      </c>
      <c r="G7" s="53"/>
      <c r="H7" s="53" t="s">
        <v>11</v>
      </c>
      <c r="I7" s="53"/>
      <c r="J7" s="53" t="s">
        <v>12</v>
      </c>
      <c r="K7" s="53"/>
      <c r="L7" s="53" t="s">
        <v>13</v>
      </c>
      <c r="M7" s="53" t="s">
        <v>14</v>
      </c>
      <c r="N7" s="53" t="s">
        <v>15</v>
      </c>
      <c r="O7" s="53"/>
      <c r="P7" s="53" t="s">
        <v>16</v>
      </c>
      <c r="Q7" s="53"/>
      <c r="R7" s="53" t="s">
        <v>17</v>
      </c>
      <c r="S7" s="53"/>
      <c r="T7" s="53" t="s">
        <v>18</v>
      </c>
      <c r="U7" s="53" t="s">
        <v>19</v>
      </c>
      <c r="V7" s="53"/>
    </row>
    <row r="8" spans="1:22" s="17" customFormat="1">
      <c r="A8" s="3"/>
      <c r="B8" s="3"/>
      <c r="C8" s="50" t="s">
        <v>20</v>
      </c>
      <c r="D8" s="25" t="s">
        <v>21</v>
      </c>
      <c r="E8" s="22" t="s">
        <v>22</v>
      </c>
      <c r="F8" s="25" t="s">
        <v>23</v>
      </c>
      <c r="G8" s="25"/>
      <c r="H8" s="25" t="s">
        <v>24</v>
      </c>
      <c r="I8" s="25"/>
      <c r="J8" s="50" t="s">
        <v>25</v>
      </c>
      <c r="K8" s="50"/>
      <c r="L8" s="25" t="s">
        <v>26</v>
      </c>
      <c r="M8" s="25">
        <v>1998</v>
      </c>
      <c r="N8" s="25" t="s">
        <v>26</v>
      </c>
      <c r="O8" s="25"/>
      <c r="P8" s="51" t="s">
        <v>22</v>
      </c>
      <c r="Q8" s="51"/>
      <c r="R8" s="44">
        <v>10012891275</v>
      </c>
      <c r="S8" s="44"/>
      <c r="T8" s="17">
        <v>5</v>
      </c>
      <c r="U8" s="52" t="s">
        <v>27</v>
      </c>
      <c r="V8" s="52"/>
    </row>
    <row r="9" spans="1:22" ht="39" customHeight="1">
      <c r="A9" s="3"/>
      <c r="B9" s="3"/>
      <c r="C9" s="40"/>
      <c r="D9" s="40"/>
      <c r="E9" s="40"/>
      <c r="F9" s="40"/>
      <c r="G9" s="40"/>
      <c r="H9" s="40"/>
      <c r="I9" s="79" t="s">
        <v>28</v>
      </c>
      <c r="J9" s="40"/>
      <c r="K9" s="40"/>
      <c r="L9" s="40"/>
      <c r="M9" s="40"/>
      <c r="N9" s="40"/>
      <c r="O9" s="40"/>
      <c r="P9" s="79" t="s">
        <v>29</v>
      </c>
      <c r="Q9" s="40"/>
      <c r="R9" s="40"/>
      <c r="S9" s="40"/>
      <c r="T9" s="40"/>
      <c r="U9" s="40"/>
      <c r="V9" s="40"/>
    </row>
    <row r="10" spans="1:22" ht="36">
      <c r="A10" s="7"/>
      <c r="B10" s="7"/>
      <c r="C10" s="4" t="s">
        <v>30</v>
      </c>
      <c r="D10" s="5" t="s">
        <v>31</v>
      </c>
      <c r="E10" s="5" t="s">
        <v>32</v>
      </c>
      <c r="F10" s="4" t="s">
        <v>30</v>
      </c>
      <c r="G10" s="5" t="s">
        <v>31</v>
      </c>
      <c r="H10" s="30" t="s">
        <v>32</v>
      </c>
      <c r="I10" s="48" t="s">
        <v>33</v>
      </c>
      <c r="J10" s="48"/>
      <c r="K10" s="5" t="s">
        <v>31</v>
      </c>
      <c r="L10" s="5" t="s">
        <v>32</v>
      </c>
      <c r="M10" s="48"/>
      <c r="N10" s="5" t="s">
        <v>31</v>
      </c>
      <c r="O10" s="5" t="s">
        <v>32</v>
      </c>
      <c r="P10" s="6" t="s">
        <v>34</v>
      </c>
      <c r="Q10" s="48" t="s">
        <v>35</v>
      </c>
      <c r="R10" s="48"/>
      <c r="S10" s="48"/>
      <c r="T10" s="49" t="s">
        <v>36</v>
      </c>
      <c r="U10" s="49"/>
      <c r="V10" s="49"/>
    </row>
    <row r="11" spans="1:22">
      <c r="A11" s="8"/>
      <c r="B11" s="8"/>
      <c r="C11" s="19">
        <v>165054481</v>
      </c>
      <c r="D11" s="18">
        <v>42683</v>
      </c>
      <c r="E11" s="18">
        <v>43047</v>
      </c>
      <c r="F11" s="19"/>
      <c r="G11" s="18"/>
      <c r="H11" s="31"/>
      <c r="I11" s="46"/>
      <c r="J11" s="47"/>
      <c r="K11" s="20"/>
      <c r="L11" s="20"/>
      <c r="M11" s="21"/>
      <c r="N11" s="20"/>
      <c r="O11" s="20"/>
      <c r="P11" s="20"/>
      <c r="Q11" s="44"/>
      <c r="R11" s="44"/>
      <c r="S11" s="44"/>
      <c r="T11" s="43"/>
      <c r="U11" s="43"/>
      <c r="V11" s="43"/>
    </row>
    <row r="12" spans="1:22">
      <c r="A12" s="9"/>
      <c r="B12" s="9"/>
      <c r="C12" s="19">
        <v>7008001450958000</v>
      </c>
      <c r="D12" s="18">
        <v>43048</v>
      </c>
      <c r="E12" s="18">
        <v>43412</v>
      </c>
      <c r="F12" s="19"/>
      <c r="G12" s="18"/>
      <c r="H12" s="31"/>
      <c r="I12" s="42"/>
      <c r="J12" s="42"/>
      <c r="K12" s="20"/>
      <c r="L12" s="20"/>
      <c r="M12" s="43"/>
      <c r="N12" s="20"/>
      <c r="O12" s="20"/>
      <c r="P12" s="20"/>
      <c r="Q12" s="44"/>
      <c r="R12" s="44"/>
      <c r="S12" s="44"/>
      <c r="T12" s="43"/>
      <c r="U12" s="43"/>
      <c r="V12" s="43"/>
    </row>
    <row r="13" spans="1:22">
      <c r="A13" s="10"/>
      <c r="B13" s="10"/>
      <c r="C13" s="19">
        <v>111608895</v>
      </c>
      <c r="D13" s="18">
        <v>43412</v>
      </c>
      <c r="E13" s="18">
        <v>43776</v>
      </c>
      <c r="F13" s="19"/>
      <c r="G13" s="18"/>
      <c r="H13" s="31"/>
      <c r="I13" s="42"/>
      <c r="J13" s="43"/>
      <c r="K13" s="20"/>
      <c r="L13" s="20"/>
      <c r="M13" s="43"/>
      <c r="N13" s="20"/>
      <c r="O13" s="20"/>
      <c r="P13" s="20"/>
      <c r="Q13" s="44"/>
      <c r="R13" s="44"/>
      <c r="S13" s="44"/>
      <c r="T13" s="43"/>
      <c r="U13" s="43"/>
      <c r="V13" s="43"/>
    </row>
    <row r="14" spans="1:22">
      <c r="A14" s="10"/>
      <c r="B14" s="10"/>
      <c r="C14" s="19">
        <v>8022168900</v>
      </c>
      <c r="D14" s="18">
        <v>43777</v>
      </c>
      <c r="E14" s="18">
        <v>44142</v>
      </c>
      <c r="F14" s="19"/>
      <c r="G14" s="18"/>
      <c r="H14" s="31"/>
      <c r="I14" s="42"/>
      <c r="J14" s="43"/>
      <c r="K14" s="20"/>
      <c r="L14" s="20"/>
      <c r="M14" s="42"/>
      <c r="N14" s="20"/>
      <c r="O14" s="20"/>
      <c r="P14" s="20"/>
      <c r="Q14" s="44"/>
      <c r="R14" s="44"/>
      <c r="S14" s="44"/>
      <c r="T14" s="43"/>
      <c r="U14" s="43"/>
      <c r="V14" s="43"/>
    </row>
    <row r="15" spans="1:22">
      <c r="A15" s="10"/>
      <c r="B15" s="10"/>
      <c r="C15" s="19">
        <v>14730800002070</v>
      </c>
      <c r="D15" s="18">
        <v>44143</v>
      </c>
      <c r="E15" s="18">
        <v>44507</v>
      </c>
      <c r="F15" s="19"/>
      <c r="G15" s="18"/>
      <c r="H15" s="31"/>
      <c r="I15" s="42"/>
      <c r="J15" s="43"/>
      <c r="K15" s="20"/>
      <c r="L15" s="20"/>
      <c r="M15" s="42"/>
      <c r="N15" s="20"/>
      <c r="O15" s="20"/>
      <c r="P15" s="20"/>
      <c r="Q15" s="44"/>
      <c r="R15" s="44"/>
      <c r="S15" s="44"/>
      <c r="T15" s="43"/>
      <c r="U15" s="43"/>
      <c r="V15" s="43"/>
    </row>
    <row r="16" spans="1:22">
      <c r="A16" s="10"/>
      <c r="B16" s="10"/>
      <c r="C16" s="19">
        <v>921121000597</v>
      </c>
      <c r="D16" s="18">
        <v>44508</v>
      </c>
      <c r="E16" s="18">
        <v>44872</v>
      </c>
      <c r="F16" s="19"/>
      <c r="G16" s="18"/>
      <c r="H16" s="31"/>
      <c r="I16" s="45"/>
      <c r="J16" s="45"/>
      <c r="K16" s="20"/>
      <c r="L16" s="20"/>
      <c r="M16" s="43"/>
      <c r="N16" s="129"/>
      <c r="O16" s="129"/>
      <c r="P16" s="129"/>
      <c r="Q16" s="130"/>
      <c r="R16" s="130"/>
      <c r="S16" s="130"/>
      <c r="T16" s="131"/>
      <c r="U16" s="131"/>
      <c r="V16" s="131"/>
    </row>
    <row r="17" spans="1:24" ht="18">
      <c r="A17" s="10"/>
      <c r="B17" s="10"/>
      <c r="C17" s="210" t="s">
        <v>37</v>
      </c>
      <c r="D17" s="211"/>
      <c r="E17" s="211"/>
      <c r="F17" s="211"/>
      <c r="G17" s="211"/>
      <c r="H17" s="211"/>
      <c r="I17" s="211"/>
      <c r="J17" s="211"/>
      <c r="K17" s="211"/>
      <c r="L17" s="212"/>
      <c r="M17" s="90"/>
      <c r="N17" s="105"/>
      <c r="O17" s="105"/>
      <c r="P17" s="105"/>
      <c r="Q17" s="105"/>
      <c r="R17" s="105"/>
      <c r="S17" s="105"/>
      <c r="T17" s="105"/>
      <c r="U17" s="105"/>
      <c r="V17" s="105"/>
      <c r="W17" s="100"/>
      <c r="X17" s="100"/>
    </row>
    <row r="18" spans="1:24" ht="66.75" customHeight="1">
      <c r="A18" s="10"/>
      <c r="B18" s="10"/>
      <c r="C18" s="11" t="s">
        <v>38</v>
      </c>
      <c r="D18" s="11" t="s">
        <v>39</v>
      </c>
      <c r="E18" s="11" t="s">
        <v>40</v>
      </c>
      <c r="F18" s="11" t="s">
        <v>41</v>
      </c>
      <c r="G18" s="11" t="s">
        <v>42</v>
      </c>
      <c r="H18" s="32" t="s">
        <v>43</v>
      </c>
      <c r="I18" s="12" t="s">
        <v>44</v>
      </c>
      <c r="J18" s="11" t="s">
        <v>45</v>
      </c>
      <c r="K18" s="11" t="s">
        <v>46</v>
      </c>
      <c r="L18" s="11" t="s">
        <v>47</v>
      </c>
      <c r="M18" s="120" t="s">
        <v>48</v>
      </c>
      <c r="N18" s="106" t="s">
        <v>49</v>
      </c>
      <c r="O18" s="106" t="s">
        <v>50</v>
      </c>
      <c r="P18" s="106" t="s">
        <v>51</v>
      </c>
      <c r="Q18" s="106" t="s">
        <v>52</v>
      </c>
      <c r="R18" s="106" t="s">
        <v>53</v>
      </c>
      <c r="S18" s="106" t="s">
        <v>54</v>
      </c>
      <c r="T18" s="106" t="s">
        <v>55</v>
      </c>
      <c r="U18" s="106" t="s">
        <v>56</v>
      </c>
      <c r="V18" s="106" t="s">
        <v>57</v>
      </c>
      <c r="W18" s="107" t="s">
        <v>58</v>
      </c>
      <c r="X18" s="107" t="s">
        <v>59</v>
      </c>
    </row>
    <row r="19" spans="1:24" ht="25.5" hidden="1" customHeight="1">
      <c r="A19" s="1"/>
      <c r="B19" s="1"/>
      <c r="C19" s="23">
        <v>42976</v>
      </c>
      <c r="D19" s="13"/>
      <c r="E19" s="13"/>
      <c r="F19" s="14"/>
      <c r="G19" s="15"/>
      <c r="H19" s="33">
        <v>11822</v>
      </c>
      <c r="I19" s="23">
        <v>42976</v>
      </c>
      <c r="J19" s="25" t="s">
        <v>60</v>
      </c>
      <c r="K19" s="25" t="s">
        <v>61</v>
      </c>
      <c r="L19" s="27" t="s">
        <v>62</v>
      </c>
      <c r="M19" s="121">
        <v>1</v>
      </c>
      <c r="N19" s="95">
        <v>0</v>
      </c>
      <c r="O19" s="108">
        <f>+N19*M19</f>
        <v>0</v>
      </c>
      <c r="P19" s="108">
        <f>+O19*0.19</f>
        <v>0</v>
      </c>
      <c r="Q19" s="108">
        <f>+P19+O19</f>
        <v>0</v>
      </c>
      <c r="R19" s="96">
        <v>25210</v>
      </c>
      <c r="S19" s="102">
        <f>+R19*M19</f>
        <v>25210</v>
      </c>
      <c r="T19" s="95">
        <f>+S19*0.19</f>
        <v>4789.8999999999996</v>
      </c>
      <c r="U19" s="109">
        <f>+T19+S19</f>
        <v>29999.9</v>
      </c>
      <c r="V19" s="110">
        <f>+U19+Q19</f>
        <v>29999.9</v>
      </c>
      <c r="W19" s="100"/>
      <c r="X19" s="100"/>
    </row>
    <row r="20" spans="1:24" ht="25.5" hidden="1" customHeight="1">
      <c r="A20" s="1"/>
      <c r="B20" s="1"/>
      <c r="C20" s="23">
        <v>42948</v>
      </c>
      <c r="D20" s="13"/>
      <c r="E20" s="13"/>
      <c r="F20" s="14"/>
      <c r="G20" s="15"/>
      <c r="H20" s="33">
        <v>13853</v>
      </c>
      <c r="I20" s="23">
        <v>42996</v>
      </c>
      <c r="J20" s="25">
        <v>7166</v>
      </c>
      <c r="K20" s="25" t="s">
        <v>61</v>
      </c>
      <c r="L20" s="27" t="s">
        <v>62</v>
      </c>
      <c r="M20" s="121">
        <v>1</v>
      </c>
      <c r="N20" s="95">
        <v>0</v>
      </c>
      <c r="O20" s="108">
        <f t="shared" ref="O20:O83" si="0">+N20*M20</f>
        <v>0</v>
      </c>
      <c r="P20" s="108">
        <f t="shared" ref="P20:P83" si="1">+O20*0.19</f>
        <v>0</v>
      </c>
      <c r="Q20" s="108">
        <f t="shared" ref="Q20:Q83" si="2">+P20+O20</f>
        <v>0</v>
      </c>
      <c r="R20" s="96">
        <v>25210</v>
      </c>
      <c r="S20" s="102">
        <f t="shared" ref="S20:S83" si="3">+R20*M20</f>
        <v>25210</v>
      </c>
      <c r="T20" s="95">
        <f t="shared" ref="T20:T83" si="4">+S20*0.19</f>
        <v>4789.8999999999996</v>
      </c>
      <c r="U20" s="109">
        <f t="shared" ref="U20:U83" si="5">+T20+S20</f>
        <v>29999.9</v>
      </c>
      <c r="V20" s="110">
        <f t="shared" ref="V20:V83" si="6">+U20+Q20</f>
        <v>29999.9</v>
      </c>
      <c r="W20" s="100"/>
      <c r="X20" s="100"/>
    </row>
    <row r="21" spans="1:24" ht="25.5" hidden="1" customHeight="1">
      <c r="A21" s="1"/>
      <c r="B21" s="1"/>
      <c r="C21" s="23"/>
      <c r="D21" s="13"/>
      <c r="E21" s="13"/>
      <c r="F21" s="14"/>
      <c r="G21" s="15"/>
      <c r="H21" s="33"/>
      <c r="I21" s="23"/>
      <c r="J21" s="25"/>
      <c r="K21" s="25"/>
      <c r="L21" s="27"/>
      <c r="M21" s="121"/>
      <c r="N21" s="95">
        <v>0</v>
      </c>
      <c r="O21" s="108">
        <f t="shared" si="0"/>
        <v>0</v>
      </c>
      <c r="P21" s="108">
        <f t="shared" si="1"/>
        <v>0</v>
      </c>
      <c r="Q21" s="108">
        <f t="shared" si="2"/>
        <v>0</v>
      </c>
      <c r="R21" s="96">
        <v>0</v>
      </c>
      <c r="S21" s="102">
        <f t="shared" si="3"/>
        <v>0</v>
      </c>
      <c r="T21" s="95">
        <f t="shared" si="4"/>
        <v>0</v>
      </c>
      <c r="U21" s="109">
        <f t="shared" si="5"/>
        <v>0</v>
      </c>
      <c r="V21" s="110">
        <f t="shared" si="6"/>
        <v>0</v>
      </c>
      <c r="W21" s="100"/>
      <c r="X21" s="100"/>
    </row>
    <row r="22" spans="1:24" ht="25.5" hidden="1" customHeight="1">
      <c r="A22" s="1"/>
      <c r="B22" s="1"/>
      <c r="C22" s="23"/>
      <c r="D22" s="13"/>
      <c r="E22" s="13"/>
      <c r="F22" s="14"/>
      <c r="G22" s="15"/>
      <c r="H22" s="33"/>
      <c r="I22" s="23"/>
      <c r="J22" s="25"/>
      <c r="K22" s="25"/>
      <c r="L22" s="27"/>
      <c r="M22" s="121"/>
      <c r="N22" s="95">
        <v>0</v>
      </c>
      <c r="O22" s="108">
        <f t="shared" si="0"/>
        <v>0</v>
      </c>
      <c r="P22" s="108">
        <f t="shared" si="1"/>
        <v>0</v>
      </c>
      <c r="Q22" s="108">
        <f t="shared" si="2"/>
        <v>0</v>
      </c>
      <c r="R22" s="96">
        <v>0</v>
      </c>
      <c r="S22" s="102">
        <f t="shared" si="3"/>
        <v>0</v>
      </c>
      <c r="T22" s="95">
        <f t="shared" si="4"/>
        <v>0</v>
      </c>
      <c r="U22" s="109">
        <f t="shared" si="5"/>
        <v>0</v>
      </c>
      <c r="V22" s="110">
        <f t="shared" si="6"/>
        <v>0</v>
      </c>
      <c r="W22" s="100"/>
      <c r="X22" s="100"/>
    </row>
    <row r="23" spans="1:24" ht="25.5" hidden="1" customHeight="1">
      <c r="A23" s="1"/>
      <c r="B23" s="1"/>
      <c r="C23" s="23">
        <v>42934</v>
      </c>
      <c r="D23" s="13"/>
      <c r="E23" s="13"/>
      <c r="F23" s="14"/>
      <c r="G23" s="15"/>
      <c r="H23" s="33">
        <v>15477</v>
      </c>
      <c r="I23" s="23">
        <v>42996</v>
      </c>
      <c r="J23" s="25">
        <v>7188</v>
      </c>
      <c r="K23" s="25" t="s">
        <v>61</v>
      </c>
      <c r="L23" s="27" t="s">
        <v>63</v>
      </c>
      <c r="M23" s="121">
        <v>1</v>
      </c>
      <c r="N23" s="95">
        <v>0</v>
      </c>
      <c r="O23" s="108">
        <f t="shared" si="0"/>
        <v>0</v>
      </c>
      <c r="P23" s="108">
        <f t="shared" si="1"/>
        <v>0</v>
      </c>
      <c r="Q23" s="108">
        <f t="shared" si="2"/>
        <v>0</v>
      </c>
      <c r="R23" s="96">
        <v>10084</v>
      </c>
      <c r="S23" s="102">
        <f t="shared" si="3"/>
        <v>10084</v>
      </c>
      <c r="T23" s="95">
        <f t="shared" si="4"/>
        <v>1915.96</v>
      </c>
      <c r="U23" s="109">
        <f t="shared" si="5"/>
        <v>11999.96</v>
      </c>
      <c r="V23" s="110">
        <f t="shared" si="6"/>
        <v>11999.96</v>
      </c>
      <c r="W23" s="100"/>
      <c r="X23" s="100"/>
    </row>
    <row r="24" spans="1:24" ht="25.5" hidden="1" customHeight="1">
      <c r="A24" s="1"/>
      <c r="B24" s="1"/>
      <c r="C24" s="23"/>
      <c r="D24" s="13"/>
      <c r="E24" s="13"/>
      <c r="F24" s="14"/>
      <c r="G24" s="15"/>
      <c r="H24" s="33"/>
      <c r="I24" s="23"/>
      <c r="J24" s="25"/>
      <c r="K24" s="25"/>
      <c r="L24" s="27"/>
      <c r="M24" s="121"/>
      <c r="N24" s="95">
        <v>0</v>
      </c>
      <c r="O24" s="108">
        <f t="shared" si="0"/>
        <v>0</v>
      </c>
      <c r="P24" s="108">
        <f t="shared" si="1"/>
        <v>0</v>
      </c>
      <c r="Q24" s="108">
        <f t="shared" si="2"/>
        <v>0</v>
      </c>
      <c r="R24" s="96">
        <v>0</v>
      </c>
      <c r="S24" s="102">
        <f t="shared" si="3"/>
        <v>0</v>
      </c>
      <c r="T24" s="95">
        <f t="shared" si="4"/>
        <v>0</v>
      </c>
      <c r="U24" s="109">
        <f t="shared" si="5"/>
        <v>0</v>
      </c>
      <c r="V24" s="110">
        <f t="shared" si="6"/>
        <v>0</v>
      </c>
      <c r="W24" s="100"/>
      <c r="X24" s="100"/>
    </row>
    <row r="25" spans="1:24" ht="25.5" hidden="1" customHeight="1">
      <c r="A25" s="1"/>
      <c r="B25" s="1"/>
      <c r="C25" s="23">
        <v>42951</v>
      </c>
      <c r="D25" s="13"/>
      <c r="E25" s="13"/>
      <c r="F25" s="14"/>
      <c r="G25" s="15"/>
      <c r="H25" s="33">
        <v>16563</v>
      </c>
      <c r="I25" s="23">
        <v>42996</v>
      </c>
      <c r="J25" s="25">
        <v>7203</v>
      </c>
      <c r="K25" s="25" t="s">
        <v>61</v>
      </c>
      <c r="L25" s="27" t="s">
        <v>63</v>
      </c>
      <c r="M25" s="121">
        <v>1</v>
      </c>
      <c r="N25" s="95">
        <v>0</v>
      </c>
      <c r="O25" s="108">
        <f t="shared" si="0"/>
        <v>0</v>
      </c>
      <c r="P25" s="108">
        <f t="shared" si="1"/>
        <v>0</v>
      </c>
      <c r="Q25" s="108">
        <f t="shared" si="2"/>
        <v>0</v>
      </c>
      <c r="R25" s="96">
        <v>10084</v>
      </c>
      <c r="S25" s="102">
        <f t="shared" si="3"/>
        <v>10084</v>
      </c>
      <c r="T25" s="95">
        <f t="shared" si="4"/>
        <v>1915.96</v>
      </c>
      <c r="U25" s="109">
        <f t="shared" si="5"/>
        <v>11999.96</v>
      </c>
      <c r="V25" s="110">
        <f t="shared" si="6"/>
        <v>11999.96</v>
      </c>
      <c r="W25" s="100"/>
      <c r="X25" s="100"/>
    </row>
    <row r="26" spans="1:24" ht="25.5" hidden="1" customHeight="1">
      <c r="A26" s="1"/>
      <c r="B26" s="1"/>
      <c r="C26" s="23"/>
      <c r="D26" s="13"/>
      <c r="E26" s="13"/>
      <c r="F26" s="14"/>
      <c r="G26" s="15"/>
      <c r="H26" s="33"/>
      <c r="I26" s="23"/>
      <c r="J26" s="25"/>
      <c r="K26" s="25"/>
      <c r="L26" s="27"/>
      <c r="M26" s="121"/>
      <c r="N26" s="95">
        <v>0</v>
      </c>
      <c r="O26" s="108">
        <f t="shared" si="0"/>
        <v>0</v>
      </c>
      <c r="P26" s="108">
        <f t="shared" si="1"/>
        <v>0</v>
      </c>
      <c r="Q26" s="108">
        <f t="shared" si="2"/>
        <v>0</v>
      </c>
      <c r="R26" s="96">
        <v>0</v>
      </c>
      <c r="S26" s="102">
        <f t="shared" si="3"/>
        <v>0</v>
      </c>
      <c r="T26" s="95">
        <f t="shared" si="4"/>
        <v>0</v>
      </c>
      <c r="U26" s="109">
        <f t="shared" si="5"/>
        <v>0</v>
      </c>
      <c r="V26" s="110">
        <f t="shared" si="6"/>
        <v>0</v>
      </c>
      <c r="W26" s="100"/>
      <c r="X26" s="100"/>
    </row>
    <row r="27" spans="1:24" ht="25.5" hidden="1" customHeight="1">
      <c r="A27" s="1"/>
      <c r="B27" s="1"/>
      <c r="C27" s="23"/>
      <c r="D27" s="13"/>
      <c r="E27" s="13"/>
      <c r="F27" s="14"/>
      <c r="G27" s="15"/>
      <c r="H27" s="33">
        <v>18665</v>
      </c>
      <c r="I27" s="23">
        <v>43025</v>
      </c>
      <c r="J27" s="25" t="s">
        <v>64</v>
      </c>
      <c r="K27" s="25" t="s">
        <v>61</v>
      </c>
      <c r="L27" s="27" t="s">
        <v>65</v>
      </c>
      <c r="M27" s="121">
        <v>2</v>
      </c>
      <c r="N27" s="95">
        <v>29700</v>
      </c>
      <c r="O27" s="108">
        <f t="shared" si="0"/>
        <v>59400</v>
      </c>
      <c r="P27" s="108">
        <f t="shared" si="1"/>
        <v>11286</v>
      </c>
      <c r="Q27" s="108">
        <f t="shared" si="2"/>
        <v>70686</v>
      </c>
      <c r="R27" s="96">
        <v>0</v>
      </c>
      <c r="S27" s="102">
        <f t="shared" si="3"/>
        <v>0</v>
      </c>
      <c r="T27" s="95">
        <f t="shared" si="4"/>
        <v>0</v>
      </c>
      <c r="U27" s="109">
        <f t="shared" si="5"/>
        <v>0</v>
      </c>
      <c r="V27" s="110">
        <f t="shared" si="6"/>
        <v>70686</v>
      </c>
      <c r="W27" s="100"/>
      <c r="X27" s="100"/>
    </row>
    <row r="28" spans="1:24" ht="25.5" hidden="1" customHeight="1">
      <c r="A28" s="1"/>
      <c r="B28" s="1"/>
      <c r="C28" s="23"/>
      <c r="D28" s="13"/>
      <c r="E28" s="13"/>
      <c r="F28" s="14"/>
      <c r="G28" s="15"/>
      <c r="H28" s="33">
        <v>18665</v>
      </c>
      <c r="I28" s="23">
        <v>43025</v>
      </c>
      <c r="J28" s="25" t="s">
        <v>64</v>
      </c>
      <c r="K28" s="25" t="s">
        <v>61</v>
      </c>
      <c r="L28" s="27" t="s">
        <v>66</v>
      </c>
      <c r="M28" s="121">
        <v>1</v>
      </c>
      <c r="N28" s="95">
        <v>27500</v>
      </c>
      <c r="O28" s="108">
        <f t="shared" si="0"/>
        <v>27500</v>
      </c>
      <c r="P28" s="108">
        <f t="shared" si="1"/>
        <v>5225</v>
      </c>
      <c r="Q28" s="108">
        <f t="shared" si="2"/>
        <v>32725</v>
      </c>
      <c r="R28" s="96">
        <v>0</v>
      </c>
      <c r="S28" s="102">
        <f t="shared" si="3"/>
        <v>0</v>
      </c>
      <c r="T28" s="95">
        <f t="shared" si="4"/>
        <v>0</v>
      </c>
      <c r="U28" s="109">
        <f t="shared" si="5"/>
        <v>0</v>
      </c>
      <c r="V28" s="110">
        <f t="shared" si="6"/>
        <v>32725</v>
      </c>
      <c r="W28" s="100"/>
      <c r="X28" s="100"/>
    </row>
    <row r="29" spans="1:24" ht="25.5" hidden="1" customHeight="1">
      <c r="A29" s="1"/>
      <c r="B29" s="1"/>
      <c r="C29" s="23"/>
      <c r="D29" s="13"/>
      <c r="E29" s="13"/>
      <c r="F29" s="14"/>
      <c r="G29" s="15"/>
      <c r="H29" s="33"/>
      <c r="I29" s="23"/>
      <c r="J29" s="25"/>
      <c r="K29" s="25"/>
      <c r="L29" s="27"/>
      <c r="M29" s="121"/>
      <c r="N29" s="95">
        <v>0</v>
      </c>
      <c r="O29" s="108">
        <f t="shared" si="0"/>
        <v>0</v>
      </c>
      <c r="P29" s="108">
        <f t="shared" si="1"/>
        <v>0</v>
      </c>
      <c r="Q29" s="108">
        <f t="shared" si="2"/>
        <v>0</v>
      </c>
      <c r="R29" s="96">
        <v>0</v>
      </c>
      <c r="S29" s="102">
        <f t="shared" si="3"/>
        <v>0</v>
      </c>
      <c r="T29" s="95">
        <f t="shared" si="4"/>
        <v>0</v>
      </c>
      <c r="U29" s="109">
        <f t="shared" si="5"/>
        <v>0</v>
      </c>
      <c r="V29" s="110">
        <f t="shared" si="6"/>
        <v>0</v>
      </c>
      <c r="W29" s="100"/>
      <c r="X29" s="100"/>
    </row>
    <row r="30" spans="1:24" ht="25.5" hidden="1" customHeight="1">
      <c r="A30" s="1"/>
      <c r="B30" s="1"/>
      <c r="C30" s="23"/>
      <c r="D30" s="13"/>
      <c r="E30" s="13"/>
      <c r="F30" s="14"/>
      <c r="G30" s="15"/>
      <c r="H30" s="33">
        <v>19855</v>
      </c>
      <c r="I30" s="23">
        <v>43054</v>
      </c>
      <c r="J30" s="25">
        <v>7415</v>
      </c>
      <c r="K30" s="25" t="s">
        <v>61</v>
      </c>
      <c r="L30" s="27" t="s">
        <v>62</v>
      </c>
      <c r="M30" s="121">
        <v>1</v>
      </c>
      <c r="N30" s="95">
        <v>0</v>
      </c>
      <c r="O30" s="108">
        <f t="shared" si="0"/>
        <v>0</v>
      </c>
      <c r="P30" s="108">
        <f t="shared" si="1"/>
        <v>0</v>
      </c>
      <c r="Q30" s="108">
        <f t="shared" si="2"/>
        <v>0</v>
      </c>
      <c r="R30" s="96">
        <v>25210</v>
      </c>
      <c r="S30" s="102">
        <f t="shared" si="3"/>
        <v>25210</v>
      </c>
      <c r="T30" s="95">
        <f t="shared" si="4"/>
        <v>4789.8999999999996</v>
      </c>
      <c r="U30" s="109">
        <f t="shared" si="5"/>
        <v>29999.9</v>
      </c>
      <c r="V30" s="110">
        <f t="shared" si="6"/>
        <v>29999.9</v>
      </c>
      <c r="W30" s="100"/>
      <c r="X30" s="100"/>
    </row>
    <row r="31" spans="1:24" ht="25.5" hidden="1" customHeight="1">
      <c r="A31" s="1"/>
      <c r="B31" s="1"/>
      <c r="C31" s="23"/>
      <c r="D31" s="13"/>
      <c r="E31" s="13"/>
      <c r="F31" s="14"/>
      <c r="G31" s="15"/>
      <c r="H31" s="33">
        <v>21475</v>
      </c>
      <c r="I31" s="23">
        <v>43054</v>
      </c>
      <c r="J31" s="25">
        <v>7432</v>
      </c>
      <c r="K31" s="25" t="s">
        <v>61</v>
      </c>
      <c r="L31" s="27" t="s">
        <v>62</v>
      </c>
      <c r="M31" s="121">
        <v>1</v>
      </c>
      <c r="N31" s="95">
        <v>0</v>
      </c>
      <c r="O31" s="108">
        <f t="shared" si="0"/>
        <v>0</v>
      </c>
      <c r="P31" s="108">
        <f t="shared" si="1"/>
        <v>0</v>
      </c>
      <c r="Q31" s="108">
        <f t="shared" si="2"/>
        <v>0</v>
      </c>
      <c r="R31" s="96">
        <v>25210</v>
      </c>
      <c r="S31" s="102">
        <f t="shared" si="3"/>
        <v>25210</v>
      </c>
      <c r="T31" s="95">
        <f t="shared" si="4"/>
        <v>4789.8999999999996</v>
      </c>
      <c r="U31" s="109">
        <f t="shared" si="5"/>
        <v>29999.9</v>
      </c>
      <c r="V31" s="110">
        <f t="shared" si="6"/>
        <v>29999.9</v>
      </c>
      <c r="W31" s="100"/>
      <c r="X31" s="100"/>
    </row>
    <row r="32" spans="1:24" ht="25.5" hidden="1" customHeight="1">
      <c r="A32" s="1"/>
      <c r="B32" s="1"/>
      <c r="C32" s="23"/>
      <c r="D32" s="13"/>
      <c r="E32" s="13"/>
      <c r="F32" s="14"/>
      <c r="G32" s="15"/>
      <c r="H32" s="33">
        <v>18665</v>
      </c>
      <c r="I32" s="23">
        <v>43054</v>
      </c>
      <c r="J32" s="25">
        <v>7405</v>
      </c>
      <c r="K32" s="25" t="s">
        <v>61</v>
      </c>
      <c r="L32" s="27" t="s">
        <v>63</v>
      </c>
      <c r="M32" s="121">
        <v>1</v>
      </c>
      <c r="N32" s="95">
        <v>0</v>
      </c>
      <c r="O32" s="108">
        <f t="shared" si="0"/>
        <v>0</v>
      </c>
      <c r="P32" s="108">
        <f t="shared" si="1"/>
        <v>0</v>
      </c>
      <c r="Q32" s="108">
        <f t="shared" si="2"/>
        <v>0</v>
      </c>
      <c r="R32" s="96">
        <v>10084</v>
      </c>
      <c r="S32" s="102">
        <f t="shared" si="3"/>
        <v>10084</v>
      </c>
      <c r="T32" s="95">
        <f t="shared" si="4"/>
        <v>1915.96</v>
      </c>
      <c r="U32" s="109">
        <f t="shared" si="5"/>
        <v>11999.96</v>
      </c>
      <c r="V32" s="110">
        <f t="shared" si="6"/>
        <v>11999.96</v>
      </c>
      <c r="W32" s="100"/>
      <c r="X32" s="100"/>
    </row>
    <row r="33" spans="1:24" ht="25.5" hidden="1" customHeight="1">
      <c r="A33" s="1"/>
      <c r="B33" s="1"/>
      <c r="C33" s="23"/>
      <c r="D33" s="13"/>
      <c r="E33" s="13"/>
      <c r="F33" s="14"/>
      <c r="G33" s="15"/>
      <c r="H33" s="33">
        <v>19045</v>
      </c>
      <c r="I33" s="23">
        <v>43054</v>
      </c>
      <c r="J33" s="25">
        <v>7399</v>
      </c>
      <c r="K33" s="25" t="s">
        <v>61</v>
      </c>
      <c r="L33" s="27" t="s">
        <v>63</v>
      </c>
      <c r="M33" s="121">
        <v>1</v>
      </c>
      <c r="N33" s="95">
        <v>0</v>
      </c>
      <c r="O33" s="108">
        <f t="shared" si="0"/>
        <v>0</v>
      </c>
      <c r="P33" s="108">
        <f t="shared" si="1"/>
        <v>0</v>
      </c>
      <c r="Q33" s="108">
        <f t="shared" si="2"/>
        <v>0</v>
      </c>
      <c r="R33" s="96">
        <v>10084</v>
      </c>
      <c r="S33" s="102">
        <f t="shared" si="3"/>
        <v>10084</v>
      </c>
      <c r="T33" s="95">
        <f t="shared" si="4"/>
        <v>1915.96</v>
      </c>
      <c r="U33" s="109">
        <f t="shared" si="5"/>
        <v>11999.96</v>
      </c>
      <c r="V33" s="110">
        <f t="shared" si="6"/>
        <v>11999.96</v>
      </c>
      <c r="W33" s="100"/>
      <c r="X33" s="100"/>
    </row>
    <row r="34" spans="1:24" ht="25.5" hidden="1" customHeight="1">
      <c r="A34" s="1"/>
      <c r="B34" s="1"/>
      <c r="C34" s="23"/>
      <c r="D34" s="13"/>
      <c r="E34" s="13"/>
      <c r="F34" s="14"/>
      <c r="G34" s="15"/>
      <c r="H34" s="33">
        <v>19045</v>
      </c>
      <c r="I34" s="23">
        <v>43054</v>
      </c>
      <c r="J34" s="25">
        <v>7399</v>
      </c>
      <c r="K34" s="25" t="s">
        <v>61</v>
      </c>
      <c r="L34" s="28" t="s">
        <v>67</v>
      </c>
      <c r="M34" s="122">
        <v>1</v>
      </c>
      <c r="N34" s="96">
        <v>0</v>
      </c>
      <c r="O34" s="108">
        <f t="shared" si="0"/>
        <v>0</v>
      </c>
      <c r="P34" s="108">
        <f t="shared" si="1"/>
        <v>0</v>
      </c>
      <c r="Q34" s="108">
        <f t="shared" si="2"/>
        <v>0</v>
      </c>
      <c r="R34" s="96">
        <v>12605</v>
      </c>
      <c r="S34" s="102">
        <f t="shared" si="3"/>
        <v>12605</v>
      </c>
      <c r="T34" s="95">
        <f t="shared" si="4"/>
        <v>2394.9499999999998</v>
      </c>
      <c r="U34" s="109">
        <f t="shared" si="5"/>
        <v>14999.95</v>
      </c>
      <c r="V34" s="110">
        <f t="shared" si="6"/>
        <v>14999.95</v>
      </c>
      <c r="W34" s="100"/>
      <c r="X34" s="100"/>
    </row>
    <row r="35" spans="1:24" ht="25.5" hidden="1" customHeight="1">
      <c r="A35" s="1"/>
      <c r="B35" s="1"/>
      <c r="C35" s="23"/>
      <c r="D35" s="13"/>
      <c r="E35" s="13"/>
      <c r="F35" s="14"/>
      <c r="G35" s="15"/>
      <c r="H35" s="33">
        <v>23112</v>
      </c>
      <c r="I35" s="23">
        <v>43082</v>
      </c>
      <c r="J35" s="25">
        <v>7470</v>
      </c>
      <c r="K35" s="25" t="s">
        <v>61</v>
      </c>
      <c r="L35" s="27" t="s">
        <v>62</v>
      </c>
      <c r="M35" s="121">
        <v>1</v>
      </c>
      <c r="N35" s="95">
        <v>0</v>
      </c>
      <c r="O35" s="108">
        <f t="shared" si="0"/>
        <v>0</v>
      </c>
      <c r="P35" s="108">
        <f t="shared" si="1"/>
        <v>0</v>
      </c>
      <c r="Q35" s="108">
        <f t="shared" si="2"/>
        <v>0</v>
      </c>
      <c r="R35" s="96">
        <v>25210</v>
      </c>
      <c r="S35" s="102">
        <f t="shared" si="3"/>
        <v>25210</v>
      </c>
      <c r="T35" s="95">
        <f t="shared" si="4"/>
        <v>4789.8999999999996</v>
      </c>
      <c r="U35" s="109">
        <f t="shared" si="5"/>
        <v>29999.9</v>
      </c>
      <c r="V35" s="110">
        <f t="shared" si="6"/>
        <v>29999.9</v>
      </c>
      <c r="W35" s="100"/>
      <c r="X35" s="100"/>
    </row>
    <row r="36" spans="1:24" ht="25.5" hidden="1" customHeight="1">
      <c r="A36" s="1"/>
      <c r="B36" s="1"/>
      <c r="C36" s="23"/>
      <c r="D36" s="13"/>
      <c r="E36" s="13"/>
      <c r="F36" s="14"/>
      <c r="G36" s="15"/>
      <c r="H36" s="33">
        <v>24000</v>
      </c>
      <c r="I36" s="23">
        <v>43070</v>
      </c>
      <c r="J36" s="25">
        <v>7463</v>
      </c>
      <c r="K36" s="25" t="s">
        <v>61</v>
      </c>
      <c r="L36" s="27" t="s">
        <v>62</v>
      </c>
      <c r="M36" s="121">
        <v>1</v>
      </c>
      <c r="N36" s="95">
        <v>0</v>
      </c>
      <c r="O36" s="108">
        <f t="shared" si="0"/>
        <v>0</v>
      </c>
      <c r="P36" s="108">
        <f t="shared" si="1"/>
        <v>0</v>
      </c>
      <c r="Q36" s="108">
        <f t="shared" si="2"/>
        <v>0</v>
      </c>
      <c r="R36" s="96">
        <v>25210</v>
      </c>
      <c r="S36" s="102">
        <f t="shared" si="3"/>
        <v>25210</v>
      </c>
      <c r="T36" s="95">
        <f t="shared" si="4"/>
        <v>4789.8999999999996</v>
      </c>
      <c r="U36" s="109">
        <f t="shared" si="5"/>
        <v>29999.9</v>
      </c>
      <c r="V36" s="110">
        <f t="shared" si="6"/>
        <v>29999.9</v>
      </c>
      <c r="W36" s="100"/>
      <c r="X36" s="100"/>
    </row>
    <row r="37" spans="1:24" ht="25.5" hidden="1" customHeight="1">
      <c r="A37" s="1"/>
      <c r="B37" s="1"/>
      <c r="C37" s="23"/>
      <c r="D37" s="13"/>
      <c r="E37" s="13"/>
      <c r="F37" s="14"/>
      <c r="G37" s="15"/>
      <c r="H37" s="33">
        <v>26396</v>
      </c>
      <c r="I37" s="23">
        <v>43150</v>
      </c>
      <c r="J37" s="25">
        <v>7639</v>
      </c>
      <c r="K37" s="25" t="s">
        <v>61</v>
      </c>
      <c r="L37" s="27" t="s">
        <v>68</v>
      </c>
      <c r="M37" s="121">
        <v>1</v>
      </c>
      <c r="N37" s="95">
        <v>0</v>
      </c>
      <c r="O37" s="108">
        <f t="shared" si="0"/>
        <v>0</v>
      </c>
      <c r="P37" s="108">
        <f t="shared" si="1"/>
        <v>0</v>
      </c>
      <c r="Q37" s="108">
        <f t="shared" si="2"/>
        <v>0</v>
      </c>
      <c r="R37" s="96">
        <v>33613</v>
      </c>
      <c r="S37" s="102">
        <f t="shared" si="3"/>
        <v>33613</v>
      </c>
      <c r="T37" s="95">
        <f t="shared" si="4"/>
        <v>6386.47</v>
      </c>
      <c r="U37" s="109">
        <f t="shared" si="5"/>
        <v>39999.47</v>
      </c>
      <c r="V37" s="110">
        <f t="shared" si="6"/>
        <v>39999.47</v>
      </c>
      <c r="W37" s="100"/>
      <c r="X37" s="100"/>
    </row>
    <row r="38" spans="1:24" ht="25.5" hidden="1" customHeight="1">
      <c r="A38" s="1"/>
      <c r="B38" s="1"/>
      <c r="C38" s="23"/>
      <c r="D38" s="13"/>
      <c r="E38" s="13"/>
      <c r="F38" s="14"/>
      <c r="G38" s="15"/>
      <c r="H38" s="33">
        <v>26249</v>
      </c>
      <c r="I38" s="23">
        <v>43150</v>
      </c>
      <c r="J38" s="25">
        <v>7635</v>
      </c>
      <c r="K38" s="25" t="s">
        <v>61</v>
      </c>
      <c r="L38" s="27" t="s">
        <v>63</v>
      </c>
      <c r="M38" s="121">
        <v>1</v>
      </c>
      <c r="N38" s="95">
        <v>0</v>
      </c>
      <c r="O38" s="108">
        <f t="shared" si="0"/>
        <v>0</v>
      </c>
      <c r="P38" s="108">
        <f t="shared" si="1"/>
        <v>0</v>
      </c>
      <c r="Q38" s="108">
        <f t="shared" si="2"/>
        <v>0</v>
      </c>
      <c r="R38" s="96">
        <v>10084</v>
      </c>
      <c r="S38" s="102">
        <f t="shared" si="3"/>
        <v>10084</v>
      </c>
      <c r="T38" s="95">
        <f t="shared" si="4"/>
        <v>1915.96</v>
      </c>
      <c r="U38" s="109">
        <f t="shared" si="5"/>
        <v>11999.96</v>
      </c>
      <c r="V38" s="110">
        <f t="shared" si="6"/>
        <v>11999.96</v>
      </c>
      <c r="W38" s="100"/>
      <c r="X38" s="100"/>
    </row>
    <row r="39" spans="1:24" ht="25.5" hidden="1" customHeight="1">
      <c r="A39" s="1"/>
      <c r="B39" s="1"/>
      <c r="C39" s="23"/>
      <c r="D39" s="13"/>
      <c r="E39" s="13"/>
      <c r="F39" s="14"/>
      <c r="G39" s="15"/>
      <c r="H39" s="33">
        <v>29969</v>
      </c>
      <c r="I39" s="23">
        <v>43220</v>
      </c>
      <c r="J39" s="25">
        <v>7668</v>
      </c>
      <c r="K39" s="25" t="s">
        <v>61</v>
      </c>
      <c r="L39" s="27" t="s">
        <v>63</v>
      </c>
      <c r="M39" s="121">
        <v>1</v>
      </c>
      <c r="N39" s="95">
        <v>0</v>
      </c>
      <c r="O39" s="108">
        <f t="shared" si="0"/>
        <v>0</v>
      </c>
      <c r="P39" s="108">
        <f t="shared" si="1"/>
        <v>0</v>
      </c>
      <c r="Q39" s="108">
        <f t="shared" si="2"/>
        <v>0</v>
      </c>
      <c r="R39" s="96">
        <v>10084</v>
      </c>
      <c r="S39" s="102">
        <f t="shared" si="3"/>
        <v>10084</v>
      </c>
      <c r="T39" s="95">
        <f t="shared" si="4"/>
        <v>1915.96</v>
      </c>
      <c r="U39" s="109">
        <f t="shared" si="5"/>
        <v>11999.96</v>
      </c>
      <c r="V39" s="110">
        <f t="shared" si="6"/>
        <v>11999.96</v>
      </c>
      <c r="W39" s="100"/>
      <c r="X39" s="100"/>
    </row>
    <row r="40" spans="1:24" ht="25.5" hidden="1" customHeight="1">
      <c r="A40" s="1"/>
      <c r="B40" s="1"/>
      <c r="C40" s="23"/>
      <c r="D40" s="13"/>
      <c r="E40" s="13"/>
      <c r="F40" s="14"/>
      <c r="G40" s="15"/>
      <c r="H40" s="33">
        <v>26749</v>
      </c>
      <c r="I40" s="23">
        <v>43220</v>
      </c>
      <c r="J40" s="25">
        <v>7681</v>
      </c>
      <c r="K40" s="25" t="s">
        <v>61</v>
      </c>
      <c r="L40" s="27" t="s">
        <v>69</v>
      </c>
      <c r="M40" s="121">
        <v>1</v>
      </c>
      <c r="N40" s="95">
        <v>0</v>
      </c>
      <c r="O40" s="108">
        <f t="shared" si="0"/>
        <v>0</v>
      </c>
      <c r="P40" s="108">
        <f t="shared" si="1"/>
        <v>0</v>
      </c>
      <c r="Q40" s="108">
        <f t="shared" si="2"/>
        <v>0</v>
      </c>
      <c r="R40" s="96">
        <v>15126</v>
      </c>
      <c r="S40" s="102">
        <f t="shared" si="3"/>
        <v>15126</v>
      </c>
      <c r="T40" s="95">
        <f t="shared" si="4"/>
        <v>2873.94</v>
      </c>
      <c r="U40" s="109">
        <f t="shared" si="5"/>
        <v>17999.939999999999</v>
      </c>
      <c r="V40" s="110">
        <f t="shared" si="6"/>
        <v>17999.939999999999</v>
      </c>
      <c r="W40" s="100"/>
      <c r="X40" s="100"/>
    </row>
    <row r="41" spans="1:24" ht="25.5" hidden="1" customHeight="1">
      <c r="A41" s="1"/>
      <c r="B41" s="1"/>
      <c r="C41" s="23"/>
      <c r="D41" s="13"/>
      <c r="E41" s="13"/>
      <c r="F41" s="14"/>
      <c r="G41" s="15"/>
      <c r="H41" s="33">
        <v>31828</v>
      </c>
      <c r="I41" s="23">
        <v>43220</v>
      </c>
      <c r="J41" s="25">
        <v>7685</v>
      </c>
      <c r="K41" s="25" t="s">
        <v>61</v>
      </c>
      <c r="L41" s="27" t="s">
        <v>63</v>
      </c>
      <c r="M41" s="121">
        <v>1</v>
      </c>
      <c r="N41" s="95">
        <v>0</v>
      </c>
      <c r="O41" s="108">
        <f t="shared" si="0"/>
        <v>0</v>
      </c>
      <c r="P41" s="108">
        <f t="shared" si="1"/>
        <v>0</v>
      </c>
      <c r="Q41" s="108">
        <f t="shared" si="2"/>
        <v>0</v>
      </c>
      <c r="R41" s="96">
        <v>10084</v>
      </c>
      <c r="S41" s="102">
        <f t="shared" si="3"/>
        <v>10084</v>
      </c>
      <c r="T41" s="95">
        <f t="shared" si="4"/>
        <v>1915.96</v>
      </c>
      <c r="U41" s="109">
        <f t="shared" si="5"/>
        <v>11999.96</v>
      </c>
      <c r="V41" s="110">
        <f t="shared" si="6"/>
        <v>11999.96</v>
      </c>
      <c r="W41" s="100"/>
      <c r="X41" s="100"/>
    </row>
    <row r="42" spans="1:24" ht="25.5" hidden="1" customHeight="1">
      <c r="A42" s="1"/>
      <c r="B42" s="1"/>
      <c r="C42" s="23"/>
      <c r="D42" s="13"/>
      <c r="E42" s="13"/>
      <c r="F42" s="14"/>
      <c r="G42" s="15"/>
      <c r="H42" s="33">
        <v>29467</v>
      </c>
      <c r="I42" s="23">
        <v>43194</v>
      </c>
      <c r="J42" s="25">
        <v>7691</v>
      </c>
      <c r="K42" s="25" t="s">
        <v>61</v>
      </c>
      <c r="L42" s="27" t="s">
        <v>63</v>
      </c>
      <c r="M42" s="121">
        <v>1</v>
      </c>
      <c r="N42" s="95">
        <v>0</v>
      </c>
      <c r="O42" s="108">
        <f t="shared" si="0"/>
        <v>0</v>
      </c>
      <c r="P42" s="108">
        <f t="shared" si="1"/>
        <v>0</v>
      </c>
      <c r="Q42" s="108">
        <f t="shared" si="2"/>
        <v>0</v>
      </c>
      <c r="R42" s="96">
        <v>10084</v>
      </c>
      <c r="S42" s="102">
        <f t="shared" si="3"/>
        <v>10084</v>
      </c>
      <c r="T42" s="95">
        <f t="shared" si="4"/>
        <v>1915.96</v>
      </c>
      <c r="U42" s="109">
        <f t="shared" si="5"/>
        <v>11999.96</v>
      </c>
      <c r="V42" s="110">
        <f t="shared" si="6"/>
        <v>11999.96</v>
      </c>
      <c r="W42" s="100"/>
      <c r="X42" s="100"/>
    </row>
    <row r="43" spans="1:24" ht="25.5" hidden="1" customHeight="1">
      <c r="A43" s="1"/>
      <c r="B43" s="1"/>
      <c r="C43" s="23"/>
      <c r="D43" s="13"/>
      <c r="E43" s="13"/>
      <c r="F43" s="14"/>
      <c r="G43" s="15"/>
      <c r="H43" s="33">
        <v>29202</v>
      </c>
      <c r="I43" s="23">
        <v>43220</v>
      </c>
      <c r="J43" s="25">
        <v>7727</v>
      </c>
      <c r="K43" s="25" t="s">
        <v>61</v>
      </c>
      <c r="L43" s="27" t="s">
        <v>63</v>
      </c>
      <c r="M43" s="121">
        <v>1</v>
      </c>
      <c r="N43" s="95">
        <v>0</v>
      </c>
      <c r="O43" s="108">
        <f t="shared" si="0"/>
        <v>0</v>
      </c>
      <c r="P43" s="108">
        <f t="shared" si="1"/>
        <v>0</v>
      </c>
      <c r="Q43" s="108">
        <f t="shared" si="2"/>
        <v>0</v>
      </c>
      <c r="R43" s="96">
        <v>10084</v>
      </c>
      <c r="S43" s="102">
        <f t="shared" si="3"/>
        <v>10084</v>
      </c>
      <c r="T43" s="95">
        <f t="shared" si="4"/>
        <v>1915.96</v>
      </c>
      <c r="U43" s="109">
        <f t="shared" si="5"/>
        <v>11999.96</v>
      </c>
      <c r="V43" s="110">
        <f t="shared" si="6"/>
        <v>11999.96</v>
      </c>
      <c r="W43" s="100"/>
      <c r="X43" s="100"/>
    </row>
    <row r="44" spans="1:24" ht="25.5" hidden="1" customHeight="1">
      <c r="A44" s="1"/>
      <c r="B44" s="1"/>
      <c r="C44" s="23"/>
      <c r="D44" s="13"/>
      <c r="E44" s="13"/>
      <c r="F44" s="14"/>
      <c r="G44" s="15"/>
      <c r="H44" s="33">
        <v>28445</v>
      </c>
      <c r="I44" s="23">
        <v>43220</v>
      </c>
      <c r="J44" s="25">
        <v>7732</v>
      </c>
      <c r="K44" s="25" t="s">
        <v>61</v>
      </c>
      <c r="L44" s="27" t="s">
        <v>63</v>
      </c>
      <c r="M44" s="121">
        <v>1</v>
      </c>
      <c r="N44" s="95">
        <v>0</v>
      </c>
      <c r="O44" s="108">
        <f t="shared" si="0"/>
        <v>0</v>
      </c>
      <c r="P44" s="108">
        <f t="shared" si="1"/>
        <v>0</v>
      </c>
      <c r="Q44" s="108">
        <f t="shared" si="2"/>
        <v>0</v>
      </c>
      <c r="R44" s="96">
        <v>10084</v>
      </c>
      <c r="S44" s="102">
        <f t="shared" si="3"/>
        <v>10084</v>
      </c>
      <c r="T44" s="95">
        <f t="shared" si="4"/>
        <v>1915.96</v>
      </c>
      <c r="U44" s="109">
        <f t="shared" si="5"/>
        <v>11999.96</v>
      </c>
      <c r="V44" s="110">
        <f t="shared" si="6"/>
        <v>11999.96</v>
      </c>
      <c r="W44" s="100"/>
      <c r="X44" s="100"/>
    </row>
    <row r="45" spans="1:24" ht="25.5" hidden="1" customHeight="1">
      <c r="A45" s="1"/>
      <c r="B45" s="1"/>
      <c r="C45" s="23"/>
      <c r="D45" s="13"/>
      <c r="E45" s="13"/>
      <c r="F45" s="14"/>
      <c r="G45" s="15"/>
      <c r="H45" s="33">
        <v>29969</v>
      </c>
      <c r="I45" s="23">
        <v>43220</v>
      </c>
      <c r="J45" s="25">
        <v>7734</v>
      </c>
      <c r="K45" s="25" t="s">
        <v>61</v>
      </c>
      <c r="L45" s="27" t="s">
        <v>63</v>
      </c>
      <c r="M45" s="121">
        <v>1</v>
      </c>
      <c r="N45" s="95">
        <v>0</v>
      </c>
      <c r="O45" s="108">
        <f t="shared" si="0"/>
        <v>0</v>
      </c>
      <c r="P45" s="108">
        <f t="shared" si="1"/>
        <v>0</v>
      </c>
      <c r="Q45" s="108">
        <f t="shared" si="2"/>
        <v>0</v>
      </c>
      <c r="R45" s="96">
        <v>10084</v>
      </c>
      <c r="S45" s="102">
        <f t="shared" si="3"/>
        <v>10084</v>
      </c>
      <c r="T45" s="95">
        <f t="shared" si="4"/>
        <v>1915.96</v>
      </c>
      <c r="U45" s="109">
        <f t="shared" si="5"/>
        <v>11999.96</v>
      </c>
      <c r="V45" s="110">
        <f t="shared" si="6"/>
        <v>11999.96</v>
      </c>
      <c r="W45" s="100"/>
      <c r="X45" s="100"/>
    </row>
    <row r="46" spans="1:24" ht="25.5" hidden="1" customHeight="1">
      <c r="A46" s="1"/>
      <c r="B46" s="1"/>
      <c r="C46" s="23"/>
      <c r="D46" s="13"/>
      <c r="E46" s="13"/>
      <c r="F46" s="14"/>
      <c r="G46" s="15"/>
      <c r="H46" s="33">
        <v>33830</v>
      </c>
      <c r="I46" s="23">
        <v>43266</v>
      </c>
      <c r="J46" s="25">
        <v>7770</v>
      </c>
      <c r="K46" s="25" t="s">
        <v>61</v>
      </c>
      <c r="L46" s="27" t="s">
        <v>63</v>
      </c>
      <c r="M46" s="121">
        <v>1</v>
      </c>
      <c r="N46" s="95">
        <v>0</v>
      </c>
      <c r="O46" s="108">
        <f t="shared" si="0"/>
        <v>0</v>
      </c>
      <c r="P46" s="108">
        <f t="shared" si="1"/>
        <v>0</v>
      </c>
      <c r="Q46" s="108">
        <f t="shared" si="2"/>
        <v>0</v>
      </c>
      <c r="R46" s="96">
        <v>10084</v>
      </c>
      <c r="S46" s="102">
        <f t="shared" si="3"/>
        <v>10084</v>
      </c>
      <c r="T46" s="95">
        <f t="shared" si="4"/>
        <v>1915.96</v>
      </c>
      <c r="U46" s="109">
        <f t="shared" si="5"/>
        <v>11999.96</v>
      </c>
      <c r="V46" s="110">
        <f t="shared" si="6"/>
        <v>11999.96</v>
      </c>
      <c r="W46" s="100"/>
      <c r="X46" s="100"/>
    </row>
    <row r="47" spans="1:24" ht="25.5" hidden="1" customHeight="1">
      <c r="A47" s="1"/>
      <c r="B47" s="1"/>
      <c r="C47" s="23"/>
      <c r="D47" s="13"/>
      <c r="E47" s="13"/>
      <c r="F47" s="14"/>
      <c r="G47" s="15"/>
      <c r="H47" s="33">
        <v>50049</v>
      </c>
      <c r="I47" s="23">
        <v>43556</v>
      </c>
      <c r="J47" s="25" t="s">
        <v>70</v>
      </c>
      <c r="K47" s="25" t="s">
        <v>71</v>
      </c>
      <c r="L47" s="27" t="s">
        <v>72</v>
      </c>
      <c r="M47" s="121">
        <v>1</v>
      </c>
      <c r="N47" s="95">
        <v>142941</v>
      </c>
      <c r="O47" s="108">
        <f t="shared" si="0"/>
        <v>142941</v>
      </c>
      <c r="P47" s="108">
        <f t="shared" si="1"/>
        <v>27158.79</v>
      </c>
      <c r="Q47" s="108">
        <f t="shared" si="2"/>
        <v>170099.79</v>
      </c>
      <c r="R47" s="96">
        <v>0</v>
      </c>
      <c r="S47" s="102">
        <f t="shared" si="3"/>
        <v>0</v>
      </c>
      <c r="T47" s="95">
        <f t="shared" si="4"/>
        <v>0</v>
      </c>
      <c r="U47" s="109">
        <f t="shared" si="5"/>
        <v>0</v>
      </c>
      <c r="V47" s="110">
        <f t="shared" si="6"/>
        <v>170099.79</v>
      </c>
      <c r="W47" s="100"/>
      <c r="X47" s="100"/>
    </row>
    <row r="48" spans="1:24" ht="25.5" hidden="1" customHeight="1">
      <c r="A48" s="1"/>
      <c r="B48" s="1"/>
      <c r="C48" s="23"/>
      <c r="D48" s="13"/>
      <c r="E48" s="13"/>
      <c r="F48" s="14"/>
      <c r="G48" s="15"/>
      <c r="H48" s="33">
        <v>50049</v>
      </c>
      <c r="I48" s="23">
        <v>43556</v>
      </c>
      <c r="J48" s="25" t="s">
        <v>70</v>
      </c>
      <c r="K48" s="25" t="s">
        <v>71</v>
      </c>
      <c r="L48" s="27" t="s">
        <v>73</v>
      </c>
      <c r="M48" s="121">
        <v>1</v>
      </c>
      <c r="N48" s="95">
        <v>174328</v>
      </c>
      <c r="O48" s="108">
        <f t="shared" si="0"/>
        <v>174328</v>
      </c>
      <c r="P48" s="108">
        <f t="shared" si="1"/>
        <v>33122.32</v>
      </c>
      <c r="Q48" s="108">
        <f t="shared" si="2"/>
        <v>207450.32</v>
      </c>
      <c r="R48" s="96">
        <v>0</v>
      </c>
      <c r="S48" s="102">
        <f t="shared" si="3"/>
        <v>0</v>
      </c>
      <c r="T48" s="95">
        <f t="shared" si="4"/>
        <v>0</v>
      </c>
      <c r="U48" s="109">
        <f t="shared" si="5"/>
        <v>0</v>
      </c>
      <c r="V48" s="110">
        <f t="shared" si="6"/>
        <v>207450.32</v>
      </c>
      <c r="W48" s="100"/>
      <c r="X48" s="100"/>
    </row>
    <row r="49" spans="1:24" ht="25.5" hidden="1" customHeight="1">
      <c r="A49" s="1"/>
      <c r="B49" s="1"/>
      <c r="C49" s="23"/>
      <c r="D49" s="13"/>
      <c r="E49" s="13"/>
      <c r="F49" s="14"/>
      <c r="G49" s="15"/>
      <c r="H49" s="33">
        <v>50049</v>
      </c>
      <c r="I49" s="23">
        <v>43556</v>
      </c>
      <c r="J49" s="25" t="s">
        <v>70</v>
      </c>
      <c r="K49" s="25" t="s">
        <v>71</v>
      </c>
      <c r="L49" s="27" t="s">
        <v>74</v>
      </c>
      <c r="M49" s="121">
        <v>1</v>
      </c>
      <c r="N49" s="95">
        <v>30000</v>
      </c>
      <c r="O49" s="108">
        <f t="shared" si="0"/>
        <v>30000</v>
      </c>
      <c r="P49" s="108">
        <f t="shared" si="1"/>
        <v>5700</v>
      </c>
      <c r="Q49" s="108">
        <f t="shared" si="2"/>
        <v>35700</v>
      </c>
      <c r="R49" s="96">
        <v>0</v>
      </c>
      <c r="S49" s="102">
        <f t="shared" si="3"/>
        <v>0</v>
      </c>
      <c r="T49" s="95">
        <f t="shared" si="4"/>
        <v>0</v>
      </c>
      <c r="U49" s="109">
        <f t="shared" si="5"/>
        <v>0</v>
      </c>
      <c r="V49" s="110">
        <f t="shared" si="6"/>
        <v>35700</v>
      </c>
      <c r="W49" s="100"/>
      <c r="X49" s="100"/>
    </row>
    <row r="50" spans="1:24" ht="25.5" hidden="1" customHeight="1">
      <c r="A50" s="1"/>
      <c r="B50" s="1"/>
      <c r="C50" s="23"/>
      <c r="D50" s="13"/>
      <c r="E50" s="13"/>
      <c r="F50" s="14"/>
      <c r="G50" s="15"/>
      <c r="H50" s="33">
        <v>50049</v>
      </c>
      <c r="I50" s="23">
        <v>43556</v>
      </c>
      <c r="J50" s="25" t="s">
        <v>70</v>
      </c>
      <c r="K50" s="25" t="s">
        <v>61</v>
      </c>
      <c r="L50" s="27" t="s">
        <v>75</v>
      </c>
      <c r="M50" s="121">
        <v>1</v>
      </c>
      <c r="N50" s="95">
        <v>25412</v>
      </c>
      <c r="O50" s="108">
        <f t="shared" si="0"/>
        <v>25412</v>
      </c>
      <c r="P50" s="108">
        <f t="shared" si="1"/>
        <v>4828.28</v>
      </c>
      <c r="Q50" s="108">
        <f t="shared" si="2"/>
        <v>30240.28</v>
      </c>
      <c r="R50" s="96">
        <v>0</v>
      </c>
      <c r="S50" s="102">
        <f t="shared" si="3"/>
        <v>0</v>
      </c>
      <c r="T50" s="95">
        <f t="shared" si="4"/>
        <v>0</v>
      </c>
      <c r="U50" s="109">
        <f t="shared" si="5"/>
        <v>0</v>
      </c>
      <c r="V50" s="110">
        <f t="shared" si="6"/>
        <v>30240.28</v>
      </c>
      <c r="W50" s="100"/>
      <c r="X50" s="100"/>
    </row>
    <row r="51" spans="1:24" ht="25.5" hidden="1" customHeight="1">
      <c r="A51" s="1"/>
      <c r="B51" s="1"/>
      <c r="C51" s="23"/>
      <c r="D51" s="13"/>
      <c r="E51" s="13"/>
      <c r="F51" s="14"/>
      <c r="G51" s="15"/>
      <c r="H51" s="33">
        <v>50049</v>
      </c>
      <c r="I51" s="23">
        <v>43556</v>
      </c>
      <c r="J51" s="25" t="s">
        <v>70</v>
      </c>
      <c r="K51" s="25" t="s">
        <v>61</v>
      </c>
      <c r="L51" s="27" t="s">
        <v>76</v>
      </c>
      <c r="M51" s="121">
        <v>1</v>
      </c>
      <c r="N51" s="95">
        <v>36303</v>
      </c>
      <c r="O51" s="108">
        <f t="shared" si="0"/>
        <v>36303</v>
      </c>
      <c r="P51" s="108">
        <f t="shared" si="1"/>
        <v>6897.57</v>
      </c>
      <c r="Q51" s="108">
        <f t="shared" si="2"/>
        <v>43200.57</v>
      </c>
      <c r="R51" s="96">
        <v>0</v>
      </c>
      <c r="S51" s="102">
        <f t="shared" si="3"/>
        <v>0</v>
      </c>
      <c r="T51" s="95">
        <f t="shared" si="4"/>
        <v>0</v>
      </c>
      <c r="U51" s="109">
        <f t="shared" si="5"/>
        <v>0</v>
      </c>
      <c r="V51" s="110">
        <f t="shared" si="6"/>
        <v>43200.57</v>
      </c>
      <c r="W51" s="100"/>
      <c r="X51" s="100"/>
    </row>
    <row r="52" spans="1:24" ht="25.5" hidden="1" customHeight="1">
      <c r="A52" s="1"/>
      <c r="B52" s="1"/>
      <c r="C52" s="23"/>
      <c r="D52" s="13"/>
      <c r="E52" s="13"/>
      <c r="F52" s="14"/>
      <c r="G52" s="15"/>
      <c r="H52" s="33">
        <v>50049</v>
      </c>
      <c r="I52" s="23">
        <v>43556</v>
      </c>
      <c r="J52" s="25" t="s">
        <v>70</v>
      </c>
      <c r="K52" s="25" t="s">
        <v>71</v>
      </c>
      <c r="L52" s="27" t="s">
        <v>77</v>
      </c>
      <c r="M52" s="121">
        <v>6</v>
      </c>
      <c r="N52" s="95">
        <v>34560</v>
      </c>
      <c r="O52" s="108">
        <f t="shared" si="0"/>
        <v>207360</v>
      </c>
      <c r="P52" s="108">
        <f t="shared" si="1"/>
        <v>39398.400000000001</v>
      </c>
      <c r="Q52" s="108">
        <f t="shared" si="2"/>
        <v>246758.39999999999</v>
      </c>
      <c r="R52" s="96">
        <v>0</v>
      </c>
      <c r="S52" s="102">
        <f t="shared" si="3"/>
        <v>0</v>
      </c>
      <c r="T52" s="95">
        <f t="shared" si="4"/>
        <v>0</v>
      </c>
      <c r="U52" s="109">
        <f t="shared" si="5"/>
        <v>0</v>
      </c>
      <c r="V52" s="110">
        <f t="shared" si="6"/>
        <v>246758.39999999999</v>
      </c>
      <c r="W52" s="100"/>
      <c r="X52" s="100"/>
    </row>
    <row r="53" spans="1:24" ht="25.5" hidden="1" customHeight="1">
      <c r="A53" s="1"/>
      <c r="B53" s="1"/>
      <c r="C53" s="23"/>
      <c r="D53" s="13"/>
      <c r="E53" s="13"/>
      <c r="F53" s="14"/>
      <c r="G53" s="15"/>
      <c r="H53" s="33">
        <v>50049</v>
      </c>
      <c r="I53" s="23">
        <v>43556</v>
      </c>
      <c r="J53" s="25" t="s">
        <v>70</v>
      </c>
      <c r="K53" s="25" t="s">
        <v>61</v>
      </c>
      <c r="L53" s="27" t="s">
        <v>78</v>
      </c>
      <c r="M53" s="121">
        <v>1</v>
      </c>
      <c r="N53" s="95">
        <v>34622</v>
      </c>
      <c r="O53" s="108">
        <f t="shared" si="0"/>
        <v>34622</v>
      </c>
      <c r="P53" s="108">
        <f t="shared" si="1"/>
        <v>6578.18</v>
      </c>
      <c r="Q53" s="108">
        <f t="shared" si="2"/>
        <v>41200.18</v>
      </c>
      <c r="R53" s="96">
        <v>0</v>
      </c>
      <c r="S53" s="102">
        <f t="shared" si="3"/>
        <v>0</v>
      </c>
      <c r="T53" s="95">
        <f t="shared" si="4"/>
        <v>0</v>
      </c>
      <c r="U53" s="109">
        <f t="shared" si="5"/>
        <v>0</v>
      </c>
      <c r="V53" s="110">
        <f t="shared" si="6"/>
        <v>41200.18</v>
      </c>
      <c r="W53" s="100"/>
      <c r="X53" s="100"/>
    </row>
    <row r="54" spans="1:24" ht="25.5" hidden="1" customHeight="1">
      <c r="A54" s="1"/>
      <c r="B54" s="1"/>
      <c r="C54" s="23"/>
      <c r="D54" s="13"/>
      <c r="E54" s="13"/>
      <c r="F54" s="14"/>
      <c r="G54" s="15"/>
      <c r="H54" s="33">
        <v>50049</v>
      </c>
      <c r="I54" s="23">
        <v>43556</v>
      </c>
      <c r="J54" s="25" t="s">
        <v>70</v>
      </c>
      <c r="K54" s="25" t="s">
        <v>71</v>
      </c>
      <c r="L54" s="27" t="s">
        <v>79</v>
      </c>
      <c r="M54" s="121">
        <v>30</v>
      </c>
      <c r="N54" s="95">
        <v>250</v>
      </c>
      <c r="O54" s="108">
        <f t="shared" si="0"/>
        <v>7500</v>
      </c>
      <c r="P54" s="108">
        <f t="shared" si="1"/>
        <v>1425</v>
      </c>
      <c r="Q54" s="108">
        <f t="shared" si="2"/>
        <v>8925</v>
      </c>
      <c r="R54" s="96">
        <v>0</v>
      </c>
      <c r="S54" s="102">
        <f t="shared" si="3"/>
        <v>0</v>
      </c>
      <c r="T54" s="95">
        <f t="shared" si="4"/>
        <v>0</v>
      </c>
      <c r="U54" s="109">
        <f t="shared" si="5"/>
        <v>0</v>
      </c>
      <c r="V54" s="110">
        <f t="shared" si="6"/>
        <v>8925</v>
      </c>
      <c r="W54" s="100"/>
      <c r="X54" s="100"/>
    </row>
    <row r="55" spans="1:24" ht="25.5" hidden="1" customHeight="1">
      <c r="A55" s="1"/>
      <c r="B55" s="1"/>
      <c r="C55" s="23"/>
      <c r="D55" s="13"/>
      <c r="E55" s="13"/>
      <c r="F55" s="14"/>
      <c r="G55" s="15"/>
      <c r="H55" s="33">
        <v>50049</v>
      </c>
      <c r="I55" s="23">
        <v>43556</v>
      </c>
      <c r="J55" s="25" t="s">
        <v>70</v>
      </c>
      <c r="K55" s="25" t="s">
        <v>71</v>
      </c>
      <c r="L55" s="27" t="s">
        <v>80</v>
      </c>
      <c r="M55" s="121">
        <v>2</v>
      </c>
      <c r="N55" s="95">
        <v>26040</v>
      </c>
      <c r="O55" s="108">
        <f t="shared" si="0"/>
        <v>52080</v>
      </c>
      <c r="P55" s="108">
        <f t="shared" si="1"/>
        <v>9895.2000000000007</v>
      </c>
      <c r="Q55" s="108">
        <f t="shared" si="2"/>
        <v>61975.199999999997</v>
      </c>
      <c r="R55" s="96">
        <v>0</v>
      </c>
      <c r="S55" s="102">
        <f t="shared" si="3"/>
        <v>0</v>
      </c>
      <c r="T55" s="95">
        <f t="shared" si="4"/>
        <v>0</v>
      </c>
      <c r="U55" s="109">
        <f t="shared" si="5"/>
        <v>0</v>
      </c>
      <c r="V55" s="110">
        <f t="shared" si="6"/>
        <v>61975.199999999997</v>
      </c>
      <c r="W55" s="100"/>
      <c r="X55" s="100"/>
    </row>
    <row r="56" spans="1:24" ht="25.5" hidden="1" customHeight="1">
      <c r="A56" s="1"/>
      <c r="B56" s="1"/>
      <c r="C56" s="23"/>
      <c r="D56" s="13"/>
      <c r="E56" s="13"/>
      <c r="F56" s="14"/>
      <c r="G56" s="15"/>
      <c r="H56" s="33">
        <v>50049</v>
      </c>
      <c r="I56" s="23">
        <v>43556</v>
      </c>
      <c r="J56" s="25" t="s">
        <v>70</v>
      </c>
      <c r="K56" s="25" t="s">
        <v>71</v>
      </c>
      <c r="L56" s="27" t="s">
        <v>81</v>
      </c>
      <c r="M56" s="121">
        <v>1</v>
      </c>
      <c r="N56" s="95">
        <v>11345</v>
      </c>
      <c r="O56" s="108">
        <f t="shared" si="0"/>
        <v>11345</v>
      </c>
      <c r="P56" s="108">
        <f t="shared" si="1"/>
        <v>2155.5500000000002</v>
      </c>
      <c r="Q56" s="108">
        <f t="shared" si="2"/>
        <v>13500.55</v>
      </c>
      <c r="R56" s="96">
        <v>0</v>
      </c>
      <c r="S56" s="102">
        <f t="shared" si="3"/>
        <v>0</v>
      </c>
      <c r="T56" s="95">
        <f t="shared" si="4"/>
        <v>0</v>
      </c>
      <c r="U56" s="109">
        <f t="shared" si="5"/>
        <v>0</v>
      </c>
      <c r="V56" s="110">
        <f t="shared" si="6"/>
        <v>13500.55</v>
      </c>
      <c r="W56" s="100"/>
      <c r="X56" s="100"/>
    </row>
    <row r="57" spans="1:24" ht="25.5" hidden="1" customHeight="1">
      <c r="A57" s="1"/>
      <c r="B57" s="1"/>
      <c r="C57" s="23"/>
      <c r="D57" s="13"/>
      <c r="E57" s="13"/>
      <c r="F57" s="14"/>
      <c r="G57" s="15"/>
      <c r="H57" s="33">
        <v>50049</v>
      </c>
      <c r="I57" s="23">
        <v>43556</v>
      </c>
      <c r="J57" s="25" t="s">
        <v>70</v>
      </c>
      <c r="K57" s="25" t="s">
        <v>61</v>
      </c>
      <c r="L57" s="27" t="s">
        <v>82</v>
      </c>
      <c r="M57" s="121">
        <v>1</v>
      </c>
      <c r="N57" s="95">
        <v>0</v>
      </c>
      <c r="O57" s="108">
        <f t="shared" si="0"/>
        <v>0</v>
      </c>
      <c r="P57" s="108">
        <f t="shared" si="1"/>
        <v>0</v>
      </c>
      <c r="Q57" s="108">
        <f t="shared" si="2"/>
        <v>0</v>
      </c>
      <c r="R57" s="96">
        <v>13801</v>
      </c>
      <c r="S57" s="102">
        <f t="shared" si="3"/>
        <v>13801</v>
      </c>
      <c r="T57" s="95">
        <f t="shared" si="4"/>
        <v>2622.19</v>
      </c>
      <c r="U57" s="109">
        <f t="shared" si="5"/>
        <v>16423.189999999999</v>
      </c>
      <c r="V57" s="110">
        <f t="shared" si="6"/>
        <v>16423.189999999999</v>
      </c>
      <c r="W57" s="100"/>
      <c r="X57" s="100"/>
    </row>
    <row r="58" spans="1:24" ht="25.5" hidden="1" customHeight="1">
      <c r="A58" s="1"/>
      <c r="B58" s="1"/>
      <c r="C58" s="23"/>
      <c r="D58" s="13"/>
      <c r="E58" s="13"/>
      <c r="F58" s="14"/>
      <c r="G58" s="15"/>
      <c r="H58" s="33">
        <v>50049</v>
      </c>
      <c r="I58" s="23">
        <v>43556</v>
      </c>
      <c r="J58" s="25" t="s">
        <v>70</v>
      </c>
      <c r="K58" s="25" t="s">
        <v>71</v>
      </c>
      <c r="L58" s="27" t="s">
        <v>83</v>
      </c>
      <c r="M58" s="121">
        <v>1</v>
      </c>
      <c r="N58" s="95">
        <v>0</v>
      </c>
      <c r="O58" s="108">
        <f t="shared" si="0"/>
        <v>0</v>
      </c>
      <c r="P58" s="108">
        <f t="shared" si="1"/>
        <v>0</v>
      </c>
      <c r="Q58" s="108">
        <f t="shared" si="2"/>
        <v>0</v>
      </c>
      <c r="R58" s="96">
        <v>13801</v>
      </c>
      <c r="S58" s="102">
        <f t="shared" si="3"/>
        <v>13801</v>
      </c>
      <c r="T58" s="95">
        <f t="shared" si="4"/>
        <v>2622.19</v>
      </c>
      <c r="U58" s="109">
        <f t="shared" si="5"/>
        <v>16423.189999999999</v>
      </c>
      <c r="V58" s="110">
        <f t="shared" si="6"/>
        <v>16423.189999999999</v>
      </c>
      <c r="W58" s="100"/>
      <c r="X58" s="100"/>
    </row>
    <row r="59" spans="1:24" ht="25.5" hidden="1" customHeight="1">
      <c r="A59" s="1"/>
      <c r="B59" s="1"/>
      <c r="C59" s="23"/>
      <c r="D59" s="13"/>
      <c r="E59" s="13"/>
      <c r="F59" s="14"/>
      <c r="G59" s="15"/>
      <c r="H59" s="33">
        <v>50049</v>
      </c>
      <c r="I59" s="23">
        <v>43556</v>
      </c>
      <c r="J59" s="25" t="s">
        <v>70</v>
      </c>
      <c r="K59" s="25" t="s">
        <v>71</v>
      </c>
      <c r="L59" s="27" t="s">
        <v>84</v>
      </c>
      <c r="M59" s="121">
        <v>1</v>
      </c>
      <c r="N59" s="95">
        <v>0</v>
      </c>
      <c r="O59" s="108">
        <f t="shared" si="0"/>
        <v>0</v>
      </c>
      <c r="P59" s="108">
        <f t="shared" si="1"/>
        <v>0</v>
      </c>
      <c r="Q59" s="108">
        <f t="shared" si="2"/>
        <v>0</v>
      </c>
      <c r="R59" s="96">
        <v>20000</v>
      </c>
      <c r="S59" s="102">
        <f t="shared" si="3"/>
        <v>20000</v>
      </c>
      <c r="T59" s="95">
        <f t="shared" si="4"/>
        <v>3800</v>
      </c>
      <c r="U59" s="109">
        <f t="shared" si="5"/>
        <v>23800</v>
      </c>
      <c r="V59" s="110">
        <f t="shared" si="6"/>
        <v>23800</v>
      </c>
      <c r="W59" s="100"/>
      <c r="X59" s="100"/>
    </row>
    <row r="60" spans="1:24" ht="25.5" hidden="1" customHeight="1">
      <c r="A60" s="1"/>
      <c r="B60" s="1"/>
      <c r="C60" s="23"/>
      <c r="D60" s="13"/>
      <c r="E60" s="13"/>
      <c r="F60" s="14"/>
      <c r="G60" s="15"/>
      <c r="H60" s="33">
        <v>50049</v>
      </c>
      <c r="I60" s="23">
        <v>43556</v>
      </c>
      <c r="J60" s="25" t="s">
        <v>70</v>
      </c>
      <c r="K60" s="25" t="s">
        <v>71</v>
      </c>
      <c r="L60" s="27" t="s">
        <v>85</v>
      </c>
      <c r="M60" s="121">
        <v>1</v>
      </c>
      <c r="N60" s="95">
        <v>0</v>
      </c>
      <c r="O60" s="108">
        <f t="shared" si="0"/>
        <v>0</v>
      </c>
      <c r="P60" s="108">
        <f t="shared" si="1"/>
        <v>0</v>
      </c>
      <c r="Q60" s="108">
        <f t="shared" si="2"/>
        <v>0</v>
      </c>
      <c r="R60" s="96">
        <v>61984</v>
      </c>
      <c r="S60" s="102">
        <f t="shared" si="3"/>
        <v>61984</v>
      </c>
      <c r="T60" s="95">
        <f t="shared" si="4"/>
        <v>11776.960000000001</v>
      </c>
      <c r="U60" s="109">
        <f t="shared" si="5"/>
        <v>73760.960000000006</v>
      </c>
      <c r="V60" s="110">
        <f t="shared" si="6"/>
        <v>73760.960000000006</v>
      </c>
      <c r="W60" s="100"/>
      <c r="X60" s="100"/>
    </row>
    <row r="61" spans="1:24" ht="25.5" hidden="1" customHeight="1">
      <c r="A61" s="1"/>
      <c r="B61" s="1"/>
      <c r="C61" s="23"/>
      <c r="D61" s="13"/>
      <c r="E61" s="13"/>
      <c r="F61" s="14"/>
      <c r="G61" s="15"/>
      <c r="H61" s="33">
        <v>50049</v>
      </c>
      <c r="I61" s="23">
        <v>43556</v>
      </c>
      <c r="J61" s="25" t="s">
        <v>70</v>
      </c>
      <c r="K61" s="25" t="s">
        <v>71</v>
      </c>
      <c r="L61" s="27" t="s">
        <v>86</v>
      </c>
      <c r="M61" s="121">
        <v>1</v>
      </c>
      <c r="N61" s="95">
        <v>0</v>
      </c>
      <c r="O61" s="108">
        <f t="shared" si="0"/>
        <v>0</v>
      </c>
      <c r="P61" s="108">
        <f t="shared" si="1"/>
        <v>0</v>
      </c>
      <c r="Q61" s="108">
        <f t="shared" si="2"/>
        <v>0</v>
      </c>
      <c r="R61" s="96">
        <v>51559</v>
      </c>
      <c r="S61" s="102">
        <f t="shared" si="3"/>
        <v>51559</v>
      </c>
      <c r="T61" s="95">
        <f t="shared" si="4"/>
        <v>9796.2100000000009</v>
      </c>
      <c r="U61" s="109">
        <f t="shared" si="5"/>
        <v>61355.21</v>
      </c>
      <c r="V61" s="110">
        <f t="shared" si="6"/>
        <v>61355.21</v>
      </c>
      <c r="W61" s="100"/>
      <c r="X61" s="100"/>
    </row>
    <row r="62" spans="1:24" ht="25.5" hidden="1" customHeight="1">
      <c r="A62" s="1"/>
      <c r="B62" s="1"/>
      <c r="C62" s="23"/>
      <c r="D62" s="13"/>
      <c r="E62" s="13"/>
      <c r="F62" s="14"/>
      <c r="G62" s="15"/>
      <c r="H62" s="33">
        <v>50049</v>
      </c>
      <c r="I62" s="23">
        <v>43556</v>
      </c>
      <c r="J62" s="25" t="s">
        <v>70</v>
      </c>
      <c r="K62" s="25" t="s">
        <v>71</v>
      </c>
      <c r="L62" s="27" t="s">
        <v>87</v>
      </c>
      <c r="M62" s="121">
        <v>1</v>
      </c>
      <c r="N62" s="95">
        <v>0</v>
      </c>
      <c r="O62" s="108">
        <f t="shared" si="0"/>
        <v>0</v>
      </c>
      <c r="P62" s="108">
        <f t="shared" si="1"/>
        <v>0</v>
      </c>
      <c r="Q62" s="108">
        <f t="shared" si="2"/>
        <v>0</v>
      </c>
      <c r="R62" s="96">
        <v>20701</v>
      </c>
      <c r="S62" s="102">
        <f t="shared" si="3"/>
        <v>20701</v>
      </c>
      <c r="T62" s="95">
        <f t="shared" si="4"/>
        <v>3933.19</v>
      </c>
      <c r="U62" s="109">
        <f t="shared" si="5"/>
        <v>24634.19</v>
      </c>
      <c r="V62" s="110">
        <f t="shared" si="6"/>
        <v>24634.19</v>
      </c>
      <c r="W62" s="100"/>
      <c r="X62" s="100"/>
    </row>
    <row r="63" spans="1:24" ht="25.5" hidden="1" customHeight="1">
      <c r="A63" s="1"/>
      <c r="B63" s="1"/>
      <c r="C63" s="23"/>
      <c r="D63" s="13"/>
      <c r="E63" s="13"/>
      <c r="F63" s="14"/>
      <c r="G63" s="15"/>
      <c r="H63" s="33">
        <v>50049</v>
      </c>
      <c r="I63" s="23">
        <v>43556</v>
      </c>
      <c r="J63" s="25" t="s">
        <v>70</v>
      </c>
      <c r="K63" s="25" t="s">
        <v>71</v>
      </c>
      <c r="L63" s="27" t="s">
        <v>88</v>
      </c>
      <c r="M63" s="121">
        <v>1</v>
      </c>
      <c r="N63" s="95">
        <v>0</v>
      </c>
      <c r="O63" s="108">
        <f t="shared" si="0"/>
        <v>0</v>
      </c>
      <c r="P63" s="108">
        <f t="shared" si="1"/>
        <v>0</v>
      </c>
      <c r="Q63" s="108">
        <f t="shared" si="2"/>
        <v>0</v>
      </c>
      <c r="R63" s="96">
        <v>80000</v>
      </c>
      <c r="S63" s="102">
        <f t="shared" si="3"/>
        <v>80000</v>
      </c>
      <c r="T63" s="95">
        <f t="shared" si="4"/>
        <v>15200</v>
      </c>
      <c r="U63" s="109">
        <f t="shared" si="5"/>
        <v>95200</v>
      </c>
      <c r="V63" s="110">
        <f t="shared" si="6"/>
        <v>95200</v>
      </c>
      <c r="W63" s="100"/>
      <c r="X63" s="100"/>
    </row>
    <row r="64" spans="1:24" ht="25.5" hidden="1" customHeight="1">
      <c r="A64" s="1"/>
      <c r="B64" s="1"/>
      <c r="C64" s="23"/>
      <c r="D64" s="13"/>
      <c r="E64" s="13"/>
      <c r="F64" s="14"/>
      <c r="G64" s="15"/>
      <c r="H64" s="33"/>
      <c r="I64" s="24">
        <v>43395</v>
      </c>
      <c r="J64" s="25" t="s">
        <v>89</v>
      </c>
      <c r="K64" s="25" t="s">
        <v>61</v>
      </c>
      <c r="L64" s="27" t="s">
        <v>90</v>
      </c>
      <c r="M64" s="121">
        <v>1</v>
      </c>
      <c r="N64" s="95">
        <v>0</v>
      </c>
      <c r="O64" s="108">
        <f t="shared" si="0"/>
        <v>0</v>
      </c>
      <c r="P64" s="108">
        <f t="shared" si="1"/>
        <v>0</v>
      </c>
      <c r="Q64" s="108">
        <f t="shared" si="2"/>
        <v>0</v>
      </c>
      <c r="R64" s="96">
        <v>49160</v>
      </c>
      <c r="S64" s="102">
        <f t="shared" si="3"/>
        <v>49160</v>
      </c>
      <c r="T64" s="95">
        <f t="shared" si="4"/>
        <v>9340.4</v>
      </c>
      <c r="U64" s="109">
        <f t="shared" si="5"/>
        <v>58500.4</v>
      </c>
      <c r="V64" s="110">
        <f t="shared" si="6"/>
        <v>58500.4</v>
      </c>
      <c r="W64" s="100"/>
      <c r="X64" s="100"/>
    </row>
    <row r="65" spans="1:24" ht="25.5" hidden="1" customHeight="1">
      <c r="A65" s="1"/>
      <c r="B65" s="1"/>
      <c r="C65" s="23"/>
      <c r="D65" s="13"/>
      <c r="E65" s="13"/>
      <c r="F65" s="14"/>
      <c r="G65" s="15"/>
      <c r="H65" s="33"/>
      <c r="I65" s="24">
        <v>43395</v>
      </c>
      <c r="J65" s="25" t="s">
        <v>89</v>
      </c>
      <c r="K65" s="25" t="s">
        <v>61</v>
      </c>
      <c r="L65" s="27" t="s">
        <v>90</v>
      </c>
      <c r="M65" s="121">
        <v>1</v>
      </c>
      <c r="N65" s="95">
        <v>0</v>
      </c>
      <c r="O65" s="108">
        <f t="shared" si="0"/>
        <v>0</v>
      </c>
      <c r="P65" s="108">
        <f t="shared" si="1"/>
        <v>0</v>
      </c>
      <c r="Q65" s="108">
        <f t="shared" si="2"/>
        <v>0</v>
      </c>
      <c r="R65" s="96">
        <v>49160</v>
      </c>
      <c r="S65" s="102">
        <f t="shared" si="3"/>
        <v>49160</v>
      </c>
      <c r="T65" s="95">
        <f t="shared" si="4"/>
        <v>9340.4</v>
      </c>
      <c r="U65" s="109">
        <f t="shared" si="5"/>
        <v>58500.4</v>
      </c>
      <c r="V65" s="110">
        <f t="shared" si="6"/>
        <v>58500.4</v>
      </c>
      <c r="W65" s="100"/>
      <c r="X65" s="100"/>
    </row>
    <row r="66" spans="1:24" ht="25.5" hidden="1" customHeight="1">
      <c r="A66" s="1"/>
      <c r="B66" s="1"/>
      <c r="C66" s="23"/>
      <c r="D66" s="13"/>
      <c r="E66" s="13"/>
      <c r="F66" s="14"/>
      <c r="G66" s="15"/>
      <c r="H66" s="33"/>
      <c r="I66" s="24">
        <v>43610</v>
      </c>
      <c r="J66" s="25" t="s">
        <v>91</v>
      </c>
      <c r="K66" s="25" t="s">
        <v>71</v>
      </c>
      <c r="L66" s="27" t="s">
        <v>92</v>
      </c>
      <c r="M66" s="121">
        <v>1</v>
      </c>
      <c r="N66" s="95">
        <v>150000</v>
      </c>
      <c r="O66" s="108">
        <f t="shared" si="0"/>
        <v>150000</v>
      </c>
      <c r="P66" s="108">
        <f t="shared" si="1"/>
        <v>28500</v>
      </c>
      <c r="Q66" s="108">
        <f t="shared" si="2"/>
        <v>178500</v>
      </c>
      <c r="R66" s="96">
        <v>0</v>
      </c>
      <c r="S66" s="102">
        <f t="shared" si="3"/>
        <v>0</v>
      </c>
      <c r="T66" s="95">
        <f t="shared" si="4"/>
        <v>0</v>
      </c>
      <c r="U66" s="109">
        <f t="shared" si="5"/>
        <v>0</v>
      </c>
      <c r="V66" s="110">
        <f t="shared" si="6"/>
        <v>178500</v>
      </c>
      <c r="W66" s="100"/>
      <c r="X66" s="100"/>
    </row>
    <row r="67" spans="1:24" ht="25.5" hidden="1" customHeight="1">
      <c r="A67" s="1"/>
      <c r="B67" s="1"/>
      <c r="C67" s="23"/>
      <c r="D67" s="13"/>
      <c r="E67" s="13"/>
      <c r="F67" s="14"/>
      <c r="G67" s="15"/>
      <c r="H67" s="33"/>
      <c r="I67" s="24">
        <v>43610</v>
      </c>
      <c r="J67" s="25" t="s">
        <v>93</v>
      </c>
      <c r="K67" s="25" t="s">
        <v>71</v>
      </c>
      <c r="L67" s="27" t="s">
        <v>94</v>
      </c>
      <c r="M67" s="121">
        <v>1</v>
      </c>
      <c r="N67" s="95">
        <v>160639</v>
      </c>
      <c r="O67" s="108">
        <f t="shared" si="0"/>
        <v>160639</v>
      </c>
      <c r="P67" s="108">
        <f t="shared" si="1"/>
        <v>30521.41</v>
      </c>
      <c r="Q67" s="108">
        <f t="shared" si="2"/>
        <v>191160.41</v>
      </c>
      <c r="R67" s="96">
        <v>0</v>
      </c>
      <c r="S67" s="102">
        <f t="shared" si="3"/>
        <v>0</v>
      </c>
      <c r="T67" s="95">
        <f t="shared" si="4"/>
        <v>0</v>
      </c>
      <c r="U67" s="109">
        <f t="shared" si="5"/>
        <v>0</v>
      </c>
      <c r="V67" s="110">
        <f t="shared" si="6"/>
        <v>191160.41</v>
      </c>
      <c r="W67" s="100"/>
      <c r="X67" s="100"/>
    </row>
    <row r="68" spans="1:24" ht="25.5" hidden="1" customHeight="1">
      <c r="A68" s="1"/>
      <c r="B68" s="1"/>
      <c r="C68" s="23"/>
      <c r="D68" s="13"/>
      <c r="E68" s="13"/>
      <c r="F68" s="14"/>
      <c r="G68" s="15"/>
      <c r="H68" s="33"/>
      <c r="I68" s="24">
        <v>43610</v>
      </c>
      <c r="J68" s="25" t="s">
        <v>93</v>
      </c>
      <c r="K68" s="25" t="s">
        <v>71</v>
      </c>
      <c r="L68" s="27" t="s">
        <v>95</v>
      </c>
      <c r="M68" s="121">
        <v>1</v>
      </c>
      <c r="N68" s="95">
        <v>85000</v>
      </c>
      <c r="O68" s="108">
        <f t="shared" si="0"/>
        <v>85000</v>
      </c>
      <c r="P68" s="108">
        <f t="shared" si="1"/>
        <v>16150</v>
      </c>
      <c r="Q68" s="108">
        <f t="shared" si="2"/>
        <v>101150</v>
      </c>
      <c r="R68" s="96">
        <v>0</v>
      </c>
      <c r="S68" s="102">
        <f t="shared" si="3"/>
        <v>0</v>
      </c>
      <c r="T68" s="95">
        <f t="shared" si="4"/>
        <v>0</v>
      </c>
      <c r="U68" s="109">
        <f t="shared" si="5"/>
        <v>0</v>
      </c>
      <c r="V68" s="110">
        <f t="shared" si="6"/>
        <v>101150</v>
      </c>
      <c r="W68" s="100"/>
      <c r="X68" s="100"/>
    </row>
    <row r="69" spans="1:24" ht="25.5" hidden="1" customHeight="1">
      <c r="A69" s="1"/>
      <c r="B69" s="1"/>
      <c r="C69" s="23"/>
      <c r="D69" s="13"/>
      <c r="E69" s="13"/>
      <c r="F69" s="14"/>
      <c r="G69" s="15"/>
      <c r="H69" s="33"/>
      <c r="I69" s="24">
        <v>43610</v>
      </c>
      <c r="J69" s="25" t="s">
        <v>93</v>
      </c>
      <c r="K69" s="25" t="s">
        <v>71</v>
      </c>
      <c r="L69" s="27" t="s">
        <v>96</v>
      </c>
      <c r="M69" s="121">
        <v>1</v>
      </c>
      <c r="N69" s="95">
        <v>60000</v>
      </c>
      <c r="O69" s="108">
        <f t="shared" si="0"/>
        <v>60000</v>
      </c>
      <c r="P69" s="108">
        <f t="shared" si="1"/>
        <v>11400</v>
      </c>
      <c r="Q69" s="108">
        <f t="shared" si="2"/>
        <v>71400</v>
      </c>
      <c r="R69" s="96">
        <v>0</v>
      </c>
      <c r="S69" s="102">
        <f t="shared" si="3"/>
        <v>0</v>
      </c>
      <c r="T69" s="95">
        <f t="shared" si="4"/>
        <v>0</v>
      </c>
      <c r="U69" s="109">
        <f t="shared" si="5"/>
        <v>0</v>
      </c>
      <c r="V69" s="110">
        <f t="shared" si="6"/>
        <v>71400</v>
      </c>
      <c r="W69" s="100"/>
      <c r="X69" s="100"/>
    </row>
    <row r="70" spans="1:24" ht="25.5" hidden="1" customHeight="1">
      <c r="A70" s="1"/>
      <c r="B70" s="1"/>
      <c r="C70" s="23"/>
      <c r="D70" s="13"/>
      <c r="E70" s="13"/>
      <c r="F70" s="14"/>
      <c r="G70" s="15"/>
      <c r="H70" s="33"/>
      <c r="I70" s="24">
        <v>43610</v>
      </c>
      <c r="J70" s="25" t="s">
        <v>93</v>
      </c>
      <c r="K70" s="25" t="s">
        <v>71</v>
      </c>
      <c r="L70" s="27" t="s">
        <v>97</v>
      </c>
      <c r="M70" s="121">
        <v>1</v>
      </c>
      <c r="N70" s="95">
        <v>0</v>
      </c>
      <c r="O70" s="108">
        <f t="shared" si="0"/>
        <v>0</v>
      </c>
      <c r="P70" s="108">
        <f t="shared" si="1"/>
        <v>0</v>
      </c>
      <c r="Q70" s="108">
        <f t="shared" si="2"/>
        <v>0</v>
      </c>
      <c r="R70" s="96">
        <v>280000</v>
      </c>
      <c r="S70" s="102">
        <f t="shared" si="3"/>
        <v>280000</v>
      </c>
      <c r="T70" s="95">
        <f t="shared" si="4"/>
        <v>53200</v>
      </c>
      <c r="U70" s="109">
        <f t="shared" si="5"/>
        <v>333200</v>
      </c>
      <c r="V70" s="110">
        <f t="shared" si="6"/>
        <v>333200</v>
      </c>
      <c r="W70" s="100"/>
      <c r="X70" s="100"/>
    </row>
    <row r="71" spans="1:24" ht="25.5" hidden="1" customHeight="1">
      <c r="A71" s="1"/>
      <c r="B71" s="1"/>
      <c r="C71" s="23"/>
      <c r="D71" s="13"/>
      <c r="E71" s="13"/>
      <c r="F71" s="14"/>
      <c r="G71" s="15"/>
      <c r="H71" s="33"/>
      <c r="I71" s="24">
        <v>43610</v>
      </c>
      <c r="J71" s="25" t="s">
        <v>93</v>
      </c>
      <c r="K71" s="25" t="s">
        <v>71</v>
      </c>
      <c r="L71" s="27" t="s">
        <v>98</v>
      </c>
      <c r="M71" s="121">
        <v>1</v>
      </c>
      <c r="N71" s="95">
        <v>0</v>
      </c>
      <c r="O71" s="108">
        <f t="shared" si="0"/>
        <v>0</v>
      </c>
      <c r="P71" s="108">
        <f t="shared" si="1"/>
        <v>0</v>
      </c>
      <c r="Q71" s="108">
        <f t="shared" si="2"/>
        <v>0</v>
      </c>
      <c r="R71" s="96">
        <v>500000</v>
      </c>
      <c r="S71" s="102">
        <f t="shared" si="3"/>
        <v>500000</v>
      </c>
      <c r="T71" s="95">
        <f t="shared" si="4"/>
        <v>95000</v>
      </c>
      <c r="U71" s="109">
        <f t="shared" si="5"/>
        <v>595000</v>
      </c>
      <c r="V71" s="110">
        <f t="shared" si="6"/>
        <v>595000</v>
      </c>
      <c r="W71" s="100"/>
      <c r="X71" s="100"/>
    </row>
    <row r="72" spans="1:24" ht="25.5" hidden="1" customHeight="1">
      <c r="A72" s="1"/>
      <c r="B72" s="1"/>
      <c r="C72" s="23"/>
      <c r="D72" s="13"/>
      <c r="E72" s="13"/>
      <c r="F72" s="14"/>
      <c r="G72" s="15"/>
      <c r="H72" s="33"/>
      <c r="I72" s="24">
        <v>43610</v>
      </c>
      <c r="J72" s="25" t="s">
        <v>99</v>
      </c>
      <c r="K72" s="25" t="s">
        <v>61</v>
      </c>
      <c r="L72" s="27" t="s">
        <v>75</v>
      </c>
      <c r="M72" s="121">
        <v>1</v>
      </c>
      <c r="N72" s="95">
        <v>25412</v>
      </c>
      <c r="O72" s="108">
        <f t="shared" si="0"/>
        <v>25412</v>
      </c>
      <c r="P72" s="108">
        <f t="shared" si="1"/>
        <v>4828.28</v>
      </c>
      <c r="Q72" s="108">
        <f t="shared" si="2"/>
        <v>30240.28</v>
      </c>
      <c r="R72" s="96">
        <v>0</v>
      </c>
      <c r="S72" s="102">
        <f t="shared" si="3"/>
        <v>0</v>
      </c>
      <c r="T72" s="95">
        <f t="shared" si="4"/>
        <v>0</v>
      </c>
      <c r="U72" s="109">
        <f t="shared" si="5"/>
        <v>0</v>
      </c>
      <c r="V72" s="110">
        <f t="shared" si="6"/>
        <v>30240.28</v>
      </c>
      <c r="W72" s="100"/>
      <c r="X72" s="100"/>
    </row>
    <row r="73" spans="1:24" ht="25.5" hidden="1" customHeight="1">
      <c r="A73" s="1"/>
      <c r="B73" s="1"/>
      <c r="C73" s="23"/>
      <c r="D73" s="13"/>
      <c r="E73" s="13"/>
      <c r="F73" s="14"/>
      <c r="G73" s="15"/>
      <c r="H73" s="33"/>
      <c r="I73" s="24">
        <v>43610</v>
      </c>
      <c r="J73" s="25" t="s">
        <v>99</v>
      </c>
      <c r="K73" s="25" t="s">
        <v>61</v>
      </c>
      <c r="L73" s="27" t="s">
        <v>78</v>
      </c>
      <c r="M73" s="121">
        <v>1</v>
      </c>
      <c r="N73" s="95">
        <v>34622</v>
      </c>
      <c r="O73" s="108">
        <f t="shared" si="0"/>
        <v>34622</v>
      </c>
      <c r="P73" s="108">
        <f t="shared" si="1"/>
        <v>6578.18</v>
      </c>
      <c r="Q73" s="108">
        <f t="shared" si="2"/>
        <v>41200.18</v>
      </c>
      <c r="R73" s="96">
        <v>0</v>
      </c>
      <c r="S73" s="102">
        <f t="shared" si="3"/>
        <v>0</v>
      </c>
      <c r="T73" s="95">
        <f t="shared" si="4"/>
        <v>0</v>
      </c>
      <c r="U73" s="109">
        <f t="shared" si="5"/>
        <v>0</v>
      </c>
      <c r="V73" s="110">
        <f t="shared" si="6"/>
        <v>41200.18</v>
      </c>
      <c r="W73" s="100"/>
      <c r="X73" s="100"/>
    </row>
    <row r="74" spans="1:24" ht="25.5" hidden="1" customHeight="1">
      <c r="A74" s="1"/>
      <c r="B74" s="1"/>
      <c r="C74" s="23"/>
      <c r="D74" s="13"/>
      <c r="E74" s="13"/>
      <c r="F74" s="14"/>
      <c r="G74" s="15"/>
      <c r="H74" s="33"/>
      <c r="I74" s="24">
        <v>43610</v>
      </c>
      <c r="J74" s="25" t="s">
        <v>99</v>
      </c>
      <c r="K74" s="25" t="s">
        <v>61</v>
      </c>
      <c r="L74" s="27" t="s">
        <v>76</v>
      </c>
      <c r="M74" s="121">
        <v>1</v>
      </c>
      <c r="N74" s="95">
        <v>36303</v>
      </c>
      <c r="O74" s="108">
        <f t="shared" si="0"/>
        <v>36303</v>
      </c>
      <c r="P74" s="108">
        <f t="shared" si="1"/>
        <v>6897.57</v>
      </c>
      <c r="Q74" s="108">
        <f t="shared" si="2"/>
        <v>43200.57</v>
      </c>
      <c r="R74" s="96">
        <v>0</v>
      </c>
      <c r="S74" s="102">
        <f t="shared" si="3"/>
        <v>0</v>
      </c>
      <c r="T74" s="95">
        <f t="shared" si="4"/>
        <v>0</v>
      </c>
      <c r="U74" s="109">
        <f t="shared" si="5"/>
        <v>0</v>
      </c>
      <c r="V74" s="110">
        <f t="shared" si="6"/>
        <v>43200.57</v>
      </c>
      <c r="W74" s="100"/>
      <c r="X74" s="100"/>
    </row>
    <row r="75" spans="1:24" ht="25.5" hidden="1" customHeight="1">
      <c r="A75" s="1"/>
      <c r="B75" s="1"/>
      <c r="C75" s="23"/>
      <c r="D75" s="13"/>
      <c r="E75" s="13"/>
      <c r="F75" s="14"/>
      <c r="G75" s="15"/>
      <c r="H75" s="33"/>
      <c r="I75" s="24">
        <v>43610</v>
      </c>
      <c r="J75" s="25" t="s">
        <v>99</v>
      </c>
      <c r="K75" s="25" t="s">
        <v>71</v>
      </c>
      <c r="L75" s="27" t="s">
        <v>100</v>
      </c>
      <c r="M75" s="121">
        <v>1</v>
      </c>
      <c r="N75" s="95">
        <v>100800</v>
      </c>
      <c r="O75" s="108">
        <f t="shared" si="0"/>
        <v>100800</v>
      </c>
      <c r="P75" s="108">
        <f t="shared" si="1"/>
        <v>19152</v>
      </c>
      <c r="Q75" s="108">
        <f t="shared" si="2"/>
        <v>119952</v>
      </c>
      <c r="R75" s="96">
        <v>0</v>
      </c>
      <c r="S75" s="102">
        <f t="shared" si="3"/>
        <v>0</v>
      </c>
      <c r="T75" s="95">
        <f t="shared" si="4"/>
        <v>0</v>
      </c>
      <c r="U75" s="109">
        <f t="shared" si="5"/>
        <v>0</v>
      </c>
      <c r="V75" s="110">
        <f t="shared" si="6"/>
        <v>119952</v>
      </c>
      <c r="W75" s="100"/>
      <c r="X75" s="100"/>
    </row>
    <row r="76" spans="1:24" ht="25.5" hidden="1" customHeight="1">
      <c r="A76" s="1"/>
      <c r="B76" s="1"/>
      <c r="C76" s="23"/>
      <c r="D76" s="13"/>
      <c r="E76" s="13"/>
      <c r="F76" s="14"/>
      <c r="G76" s="15"/>
      <c r="H76" s="33"/>
      <c r="I76" s="24">
        <v>43610</v>
      </c>
      <c r="J76" s="25" t="s">
        <v>99</v>
      </c>
      <c r="K76" s="25" t="s">
        <v>71</v>
      </c>
      <c r="L76" s="27" t="s">
        <v>101</v>
      </c>
      <c r="M76" s="121">
        <v>30</v>
      </c>
      <c r="N76" s="95">
        <v>400</v>
      </c>
      <c r="O76" s="108">
        <f t="shared" si="0"/>
        <v>12000</v>
      </c>
      <c r="P76" s="108">
        <f t="shared" si="1"/>
        <v>2280</v>
      </c>
      <c r="Q76" s="108">
        <f t="shared" si="2"/>
        <v>14280</v>
      </c>
      <c r="R76" s="96">
        <v>0</v>
      </c>
      <c r="S76" s="102">
        <f t="shared" si="3"/>
        <v>0</v>
      </c>
      <c r="T76" s="95">
        <f t="shared" si="4"/>
        <v>0</v>
      </c>
      <c r="U76" s="109">
        <f t="shared" si="5"/>
        <v>0</v>
      </c>
      <c r="V76" s="110">
        <f t="shared" si="6"/>
        <v>14280</v>
      </c>
      <c r="W76" s="100"/>
      <c r="X76" s="100"/>
    </row>
    <row r="77" spans="1:24" ht="25.5" hidden="1" customHeight="1">
      <c r="A77" s="1"/>
      <c r="B77" s="1"/>
      <c r="C77" s="23"/>
      <c r="D77" s="13"/>
      <c r="E77" s="13"/>
      <c r="F77" s="14"/>
      <c r="G77" s="15"/>
      <c r="H77" s="33"/>
      <c r="I77" s="24">
        <v>43610</v>
      </c>
      <c r="J77" s="25" t="s">
        <v>99</v>
      </c>
      <c r="K77" s="25" t="s">
        <v>61</v>
      </c>
      <c r="L77" s="27" t="s">
        <v>102</v>
      </c>
      <c r="M77" s="121">
        <v>6</v>
      </c>
      <c r="N77" s="95">
        <v>34560</v>
      </c>
      <c r="O77" s="108">
        <f t="shared" si="0"/>
        <v>207360</v>
      </c>
      <c r="P77" s="108">
        <f t="shared" si="1"/>
        <v>39398.400000000001</v>
      </c>
      <c r="Q77" s="108">
        <f t="shared" si="2"/>
        <v>246758.39999999999</v>
      </c>
      <c r="R77" s="96">
        <v>0</v>
      </c>
      <c r="S77" s="102">
        <f t="shared" si="3"/>
        <v>0</v>
      </c>
      <c r="T77" s="95">
        <f t="shared" si="4"/>
        <v>0</v>
      </c>
      <c r="U77" s="109">
        <f t="shared" si="5"/>
        <v>0</v>
      </c>
      <c r="V77" s="110">
        <f t="shared" si="6"/>
        <v>246758.39999999999</v>
      </c>
      <c r="W77" s="100"/>
      <c r="X77" s="100"/>
    </row>
    <row r="78" spans="1:24" ht="25.5" hidden="1" customHeight="1">
      <c r="A78" s="1"/>
      <c r="B78" s="1"/>
      <c r="C78" s="23"/>
      <c r="D78" s="13"/>
      <c r="E78" s="13"/>
      <c r="F78" s="14"/>
      <c r="G78" s="15"/>
      <c r="H78" s="33"/>
      <c r="I78" s="24">
        <v>43610</v>
      </c>
      <c r="J78" s="25" t="s">
        <v>99</v>
      </c>
      <c r="K78" s="25" t="s">
        <v>61</v>
      </c>
      <c r="L78" s="27" t="s">
        <v>103</v>
      </c>
      <c r="M78" s="121">
        <v>1</v>
      </c>
      <c r="N78" s="95">
        <v>0</v>
      </c>
      <c r="O78" s="108">
        <f t="shared" si="0"/>
        <v>0</v>
      </c>
      <c r="P78" s="108">
        <f t="shared" si="1"/>
        <v>0</v>
      </c>
      <c r="Q78" s="108">
        <f t="shared" si="2"/>
        <v>0</v>
      </c>
      <c r="R78" s="96">
        <v>13801</v>
      </c>
      <c r="S78" s="102">
        <f t="shared" si="3"/>
        <v>13801</v>
      </c>
      <c r="T78" s="95">
        <f t="shared" si="4"/>
        <v>2622.19</v>
      </c>
      <c r="U78" s="109">
        <f t="shared" si="5"/>
        <v>16423.189999999999</v>
      </c>
      <c r="V78" s="110">
        <f t="shared" si="6"/>
        <v>16423.189999999999</v>
      </c>
      <c r="W78" s="100"/>
      <c r="X78" s="100"/>
    </row>
    <row r="79" spans="1:24" ht="25.5" hidden="1" customHeight="1">
      <c r="A79" s="1"/>
      <c r="B79" s="1"/>
      <c r="C79" s="23"/>
      <c r="D79" s="13"/>
      <c r="E79" s="13"/>
      <c r="F79" s="14"/>
      <c r="G79" s="15"/>
      <c r="H79" s="33"/>
      <c r="I79" s="24">
        <v>43610</v>
      </c>
      <c r="J79" s="25" t="s">
        <v>99</v>
      </c>
      <c r="K79" s="25" t="s">
        <v>61</v>
      </c>
      <c r="L79" s="27" t="s">
        <v>104</v>
      </c>
      <c r="M79" s="121">
        <v>1</v>
      </c>
      <c r="N79" s="95">
        <v>0</v>
      </c>
      <c r="O79" s="108">
        <f t="shared" si="0"/>
        <v>0</v>
      </c>
      <c r="P79" s="108">
        <f t="shared" si="1"/>
        <v>0</v>
      </c>
      <c r="Q79" s="108">
        <f t="shared" si="2"/>
        <v>0</v>
      </c>
      <c r="R79" s="96">
        <v>13801</v>
      </c>
      <c r="S79" s="102">
        <f t="shared" si="3"/>
        <v>13801</v>
      </c>
      <c r="T79" s="95">
        <f t="shared" si="4"/>
        <v>2622.19</v>
      </c>
      <c r="U79" s="109">
        <f t="shared" si="5"/>
        <v>16423.189999999999</v>
      </c>
      <c r="V79" s="110">
        <f t="shared" si="6"/>
        <v>16423.189999999999</v>
      </c>
      <c r="W79" s="100"/>
      <c r="X79" s="100"/>
    </row>
    <row r="80" spans="1:24" ht="25.5" hidden="1" customHeight="1">
      <c r="A80" s="1"/>
      <c r="B80" s="1"/>
      <c r="C80" s="23"/>
      <c r="D80" s="13"/>
      <c r="E80" s="13"/>
      <c r="F80" s="14"/>
      <c r="G80" s="15"/>
      <c r="H80" s="33"/>
      <c r="I80" s="24">
        <v>43610</v>
      </c>
      <c r="J80" s="25" t="s">
        <v>99</v>
      </c>
      <c r="K80" s="25" t="s">
        <v>61</v>
      </c>
      <c r="L80" s="27" t="s">
        <v>84</v>
      </c>
      <c r="M80" s="121">
        <v>1</v>
      </c>
      <c r="N80" s="95">
        <v>0</v>
      </c>
      <c r="O80" s="108">
        <f t="shared" si="0"/>
        <v>0</v>
      </c>
      <c r="P80" s="108">
        <f t="shared" si="1"/>
        <v>0</v>
      </c>
      <c r="Q80" s="108">
        <f t="shared" si="2"/>
        <v>0</v>
      </c>
      <c r="R80" s="96">
        <v>20000</v>
      </c>
      <c r="S80" s="102">
        <f t="shared" si="3"/>
        <v>20000</v>
      </c>
      <c r="T80" s="95">
        <f t="shared" si="4"/>
        <v>3800</v>
      </c>
      <c r="U80" s="109">
        <f t="shared" si="5"/>
        <v>23800</v>
      </c>
      <c r="V80" s="110">
        <f t="shared" si="6"/>
        <v>23800</v>
      </c>
      <c r="W80" s="100"/>
      <c r="X80" s="100"/>
    </row>
    <row r="81" spans="1:24" ht="25.5" hidden="1" customHeight="1">
      <c r="A81" s="1"/>
      <c r="B81" s="1"/>
      <c r="C81" s="23"/>
      <c r="D81" s="13"/>
      <c r="E81" s="13"/>
      <c r="F81" s="14"/>
      <c r="G81" s="15"/>
      <c r="H81" s="33"/>
      <c r="I81" s="24">
        <v>43610</v>
      </c>
      <c r="J81" s="25" t="s">
        <v>99</v>
      </c>
      <c r="K81" s="25" t="s">
        <v>71</v>
      </c>
      <c r="L81" s="27" t="s">
        <v>105</v>
      </c>
      <c r="M81" s="121">
        <v>1</v>
      </c>
      <c r="N81" s="95">
        <v>0</v>
      </c>
      <c r="O81" s="108">
        <f t="shared" si="0"/>
        <v>0</v>
      </c>
      <c r="P81" s="108">
        <f t="shared" si="1"/>
        <v>0</v>
      </c>
      <c r="Q81" s="108">
        <f t="shared" si="2"/>
        <v>0</v>
      </c>
      <c r="R81" s="96">
        <v>140000</v>
      </c>
      <c r="S81" s="102">
        <f t="shared" si="3"/>
        <v>140000</v>
      </c>
      <c r="T81" s="95">
        <f t="shared" si="4"/>
        <v>26600</v>
      </c>
      <c r="U81" s="109">
        <f t="shared" si="5"/>
        <v>166600</v>
      </c>
      <c r="V81" s="110">
        <f t="shared" si="6"/>
        <v>166600</v>
      </c>
      <c r="W81" s="100"/>
      <c r="X81" s="100"/>
    </row>
    <row r="82" spans="1:24" ht="25.5" hidden="1" customHeight="1">
      <c r="A82" s="1"/>
      <c r="B82" s="1"/>
      <c r="C82" s="23"/>
      <c r="D82" s="13"/>
      <c r="E82" s="13"/>
      <c r="F82" s="14"/>
      <c r="G82" s="15"/>
      <c r="H82" s="33"/>
      <c r="I82" s="24">
        <v>43610</v>
      </c>
      <c r="J82" s="25" t="s">
        <v>106</v>
      </c>
      <c r="K82" s="25" t="s">
        <v>61</v>
      </c>
      <c r="L82" s="27" t="s">
        <v>63</v>
      </c>
      <c r="M82" s="121">
        <v>1</v>
      </c>
      <c r="N82" s="95">
        <v>0</v>
      </c>
      <c r="O82" s="108">
        <f t="shared" si="0"/>
        <v>0</v>
      </c>
      <c r="P82" s="108">
        <f t="shared" si="1"/>
        <v>0</v>
      </c>
      <c r="Q82" s="108">
        <f t="shared" si="2"/>
        <v>0</v>
      </c>
      <c r="R82" s="96">
        <v>18908</v>
      </c>
      <c r="S82" s="102">
        <f t="shared" si="3"/>
        <v>18908</v>
      </c>
      <c r="T82" s="95">
        <f t="shared" si="4"/>
        <v>3592.52</v>
      </c>
      <c r="U82" s="109">
        <f t="shared" si="5"/>
        <v>22500.52</v>
      </c>
      <c r="V82" s="110">
        <f t="shared" si="6"/>
        <v>22500.52</v>
      </c>
      <c r="W82" s="100"/>
      <c r="X82" s="100"/>
    </row>
    <row r="83" spans="1:24" ht="25.5" hidden="1" customHeight="1">
      <c r="A83" s="1"/>
      <c r="B83" s="1"/>
      <c r="C83" s="23"/>
      <c r="D83" s="13"/>
      <c r="E83" s="13"/>
      <c r="F83" s="14"/>
      <c r="G83" s="15"/>
      <c r="H83" s="33"/>
      <c r="I83" s="24">
        <v>43610</v>
      </c>
      <c r="J83" s="25" t="s">
        <v>107</v>
      </c>
      <c r="K83" s="25" t="s">
        <v>61</v>
      </c>
      <c r="L83" s="27" t="s">
        <v>108</v>
      </c>
      <c r="M83" s="121">
        <v>1</v>
      </c>
      <c r="N83" s="95">
        <v>0</v>
      </c>
      <c r="O83" s="108">
        <f t="shared" si="0"/>
        <v>0</v>
      </c>
      <c r="P83" s="108">
        <f t="shared" si="1"/>
        <v>0</v>
      </c>
      <c r="Q83" s="108">
        <f t="shared" si="2"/>
        <v>0</v>
      </c>
      <c r="R83" s="96">
        <v>164285</v>
      </c>
      <c r="S83" s="102">
        <f t="shared" si="3"/>
        <v>164285</v>
      </c>
      <c r="T83" s="95">
        <f t="shared" si="4"/>
        <v>31214.15</v>
      </c>
      <c r="U83" s="109">
        <f t="shared" si="5"/>
        <v>195499.15</v>
      </c>
      <c r="V83" s="110">
        <f t="shared" si="6"/>
        <v>195499.15</v>
      </c>
      <c r="W83" s="100"/>
      <c r="X83" s="100"/>
    </row>
    <row r="84" spans="1:24" ht="25.5" hidden="1" customHeight="1">
      <c r="A84" s="1"/>
      <c r="B84" s="1"/>
      <c r="C84" s="23"/>
      <c r="D84" s="13"/>
      <c r="E84" s="13"/>
      <c r="F84" s="14"/>
      <c r="G84" s="15"/>
      <c r="H84" s="33"/>
      <c r="I84" s="24">
        <v>43651</v>
      </c>
      <c r="J84" s="25" t="s">
        <v>109</v>
      </c>
      <c r="K84" s="25" t="s">
        <v>61</v>
      </c>
      <c r="L84" s="27" t="s">
        <v>63</v>
      </c>
      <c r="M84" s="121">
        <v>1</v>
      </c>
      <c r="N84" s="95">
        <v>0</v>
      </c>
      <c r="O84" s="108">
        <f t="shared" ref="O84:O98" si="7">+N84*M84</f>
        <v>0</v>
      </c>
      <c r="P84" s="108">
        <f t="shared" ref="P84:P98" si="8">+O84*0.19</f>
        <v>0</v>
      </c>
      <c r="Q84" s="108">
        <f t="shared" ref="Q84:Q98" si="9">+P84+O84</f>
        <v>0</v>
      </c>
      <c r="R84" s="96">
        <v>18908</v>
      </c>
      <c r="S84" s="102">
        <f t="shared" ref="S84:S98" si="10">+R84*M84</f>
        <v>18908</v>
      </c>
      <c r="T84" s="95">
        <f t="shared" ref="T84:T98" si="11">+S84*0.19</f>
        <v>3592.52</v>
      </c>
      <c r="U84" s="109">
        <f t="shared" ref="U84:U98" si="12">+T84+S84</f>
        <v>22500.52</v>
      </c>
      <c r="V84" s="110">
        <f t="shared" ref="V84:V98" si="13">+U84+Q84</f>
        <v>22500.52</v>
      </c>
      <c r="W84" s="100"/>
      <c r="X84" s="100"/>
    </row>
    <row r="85" spans="1:24" ht="25.5" hidden="1" customHeight="1">
      <c r="A85" s="1"/>
      <c r="B85" s="1"/>
      <c r="C85" s="23"/>
      <c r="D85" s="13"/>
      <c r="E85" s="13"/>
      <c r="F85" s="14"/>
      <c r="G85" s="15"/>
      <c r="H85" s="33">
        <v>56759</v>
      </c>
      <c r="I85" s="24">
        <v>43668</v>
      </c>
      <c r="J85" s="25" t="s">
        <v>110</v>
      </c>
      <c r="K85" s="25" t="s">
        <v>61</v>
      </c>
      <c r="L85" s="27" t="s">
        <v>67</v>
      </c>
      <c r="M85" s="121">
        <v>1</v>
      </c>
      <c r="N85" s="95">
        <v>0</v>
      </c>
      <c r="O85" s="108">
        <f t="shared" si="7"/>
        <v>0</v>
      </c>
      <c r="P85" s="108">
        <f t="shared" si="8"/>
        <v>0</v>
      </c>
      <c r="Q85" s="108">
        <f t="shared" si="9"/>
        <v>0</v>
      </c>
      <c r="R85" s="96">
        <v>16639</v>
      </c>
      <c r="S85" s="102">
        <f t="shared" si="10"/>
        <v>16639</v>
      </c>
      <c r="T85" s="95">
        <f t="shared" si="11"/>
        <v>3161.41</v>
      </c>
      <c r="U85" s="109">
        <f t="shared" si="12"/>
        <v>19800.41</v>
      </c>
      <c r="V85" s="110">
        <f t="shared" si="13"/>
        <v>19800.41</v>
      </c>
      <c r="W85" s="100"/>
      <c r="X85" s="100"/>
    </row>
    <row r="86" spans="1:24" ht="25.5" hidden="1" customHeight="1">
      <c r="A86" s="1"/>
      <c r="B86" s="1"/>
      <c r="C86" s="23"/>
      <c r="D86" s="13"/>
      <c r="E86" s="13"/>
      <c r="F86" s="14"/>
      <c r="G86" s="15"/>
      <c r="H86" s="33"/>
      <c r="I86" s="25"/>
      <c r="J86" s="25"/>
      <c r="K86" s="25"/>
      <c r="L86" s="27"/>
      <c r="M86" s="121">
        <v>0</v>
      </c>
      <c r="N86" s="95">
        <v>0</v>
      </c>
      <c r="O86" s="108">
        <f t="shared" si="7"/>
        <v>0</v>
      </c>
      <c r="P86" s="108">
        <f t="shared" si="8"/>
        <v>0</v>
      </c>
      <c r="Q86" s="108">
        <f t="shared" si="9"/>
        <v>0</v>
      </c>
      <c r="R86" s="96">
        <v>0</v>
      </c>
      <c r="S86" s="102">
        <f t="shared" si="10"/>
        <v>0</v>
      </c>
      <c r="T86" s="95">
        <f t="shared" si="11"/>
        <v>0</v>
      </c>
      <c r="U86" s="109">
        <f t="shared" si="12"/>
        <v>0</v>
      </c>
      <c r="V86" s="110">
        <f t="shared" si="13"/>
        <v>0</v>
      </c>
      <c r="W86" s="100"/>
      <c r="X86" s="100"/>
    </row>
    <row r="87" spans="1:24" ht="25.5" hidden="1" customHeight="1">
      <c r="A87" s="1"/>
      <c r="B87" s="1"/>
      <c r="C87" s="23">
        <v>43852</v>
      </c>
      <c r="D87" s="13"/>
      <c r="E87" s="13"/>
      <c r="F87" s="14"/>
      <c r="G87" s="15"/>
      <c r="H87" s="33">
        <v>71311</v>
      </c>
      <c r="I87" s="24">
        <v>43852</v>
      </c>
      <c r="J87" s="25" t="s">
        <v>111</v>
      </c>
      <c r="K87" s="25" t="s">
        <v>61</v>
      </c>
      <c r="L87" s="27" t="s">
        <v>82</v>
      </c>
      <c r="M87" s="121">
        <v>6</v>
      </c>
      <c r="N87" s="95">
        <v>29042</v>
      </c>
      <c r="O87" s="108">
        <f t="shared" si="7"/>
        <v>174252</v>
      </c>
      <c r="P87" s="108">
        <f t="shared" si="8"/>
        <v>33107.879999999997</v>
      </c>
      <c r="Q87" s="108">
        <f t="shared" si="9"/>
        <v>207359.88</v>
      </c>
      <c r="R87" s="96">
        <v>17941</v>
      </c>
      <c r="S87" s="102">
        <f t="shared" si="10"/>
        <v>107646</v>
      </c>
      <c r="T87" s="95">
        <f t="shared" si="11"/>
        <v>20452.740000000002</v>
      </c>
      <c r="U87" s="109">
        <f t="shared" si="12"/>
        <v>128098.74</v>
      </c>
      <c r="V87" s="110">
        <f t="shared" si="13"/>
        <v>335458.62</v>
      </c>
      <c r="W87" s="100"/>
      <c r="X87" s="100"/>
    </row>
    <row r="88" spans="1:24" ht="25.5" hidden="1" customHeight="1">
      <c r="A88" s="1"/>
      <c r="B88" s="1"/>
      <c r="C88" s="23">
        <v>43852</v>
      </c>
      <c r="D88" s="13"/>
      <c r="E88" s="13"/>
      <c r="F88" s="14"/>
      <c r="G88" s="15"/>
      <c r="H88" s="33">
        <v>71311</v>
      </c>
      <c r="I88" s="24">
        <v>43852</v>
      </c>
      <c r="J88" s="25" t="s">
        <v>111</v>
      </c>
      <c r="K88" s="25" t="s">
        <v>61</v>
      </c>
      <c r="L88" s="27" t="s">
        <v>76</v>
      </c>
      <c r="M88" s="121">
        <v>1</v>
      </c>
      <c r="N88" s="95">
        <v>36303</v>
      </c>
      <c r="O88" s="108">
        <f t="shared" si="7"/>
        <v>36303</v>
      </c>
      <c r="P88" s="108">
        <f t="shared" si="8"/>
        <v>6897.57</v>
      </c>
      <c r="Q88" s="108">
        <f t="shared" si="9"/>
        <v>43200.57</v>
      </c>
      <c r="R88" s="96">
        <v>13801</v>
      </c>
      <c r="S88" s="102">
        <f t="shared" si="10"/>
        <v>13801</v>
      </c>
      <c r="T88" s="95">
        <f t="shared" si="11"/>
        <v>2622.19</v>
      </c>
      <c r="U88" s="109">
        <f t="shared" si="12"/>
        <v>16423.189999999999</v>
      </c>
      <c r="V88" s="110">
        <f t="shared" si="13"/>
        <v>59623.759999999995</v>
      </c>
      <c r="W88" s="100"/>
      <c r="X88" s="100"/>
    </row>
    <row r="89" spans="1:24" ht="25.5" hidden="1" customHeight="1">
      <c r="A89" s="1"/>
      <c r="B89" s="1"/>
      <c r="C89" s="23">
        <v>43852</v>
      </c>
      <c r="D89" s="13"/>
      <c r="E89" s="13"/>
      <c r="F89" s="14"/>
      <c r="G89" s="15"/>
      <c r="H89" s="33">
        <v>71311</v>
      </c>
      <c r="I89" s="24">
        <v>43852</v>
      </c>
      <c r="J89" s="25" t="s">
        <v>111</v>
      </c>
      <c r="K89" s="25" t="s">
        <v>61</v>
      </c>
      <c r="L89" s="27" t="s">
        <v>75</v>
      </c>
      <c r="M89" s="121">
        <v>1</v>
      </c>
      <c r="N89" s="95">
        <v>25412</v>
      </c>
      <c r="O89" s="108">
        <f t="shared" si="7"/>
        <v>25412</v>
      </c>
      <c r="P89" s="108">
        <f t="shared" si="8"/>
        <v>4828.28</v>
      </c>
      <c r="Q89" s="108">
        <f t="shared" si="9"/>
        <v>30240.28</v>
      </c>
      <c r="R89" s="96">
        <v>0</v>
      </c>
      <c r="S89" s="102">
        <f t="shared" si="10"/>
        <v>0</v>
      </c>
      <c r="T89" s="95">
        <f t="shared" si="11"/>
        <v>0</v>
      </c>
      <c r="U89" s="109">
        <f t="shared" si="12"/>
        <v>0</v>
      </c>
      <c r="V89" s="110">
        <f t="shared" si="13"/>
        <v>30240.28</v>
      </c>
      <c r="W89" s="100"/>
      <c r="X89" s="100"/>
    </row>
    <row r="90" spans="1:24" ht="25.5" hidden="1" customHeight="1">
      <c r="A90" s="1"/>
      <c r="B90" s="1"/>
      <c r="C90" s="23"/>
      <c r="D90" s="13"/>
      <c r="E90" s="13"/>
      <c r="F90" s="14"/>
      <c r="G90" s="15"/>
      <c r="H90" s="33"/>
      <c r="I90" s="25"/>
      <c r="J90" s="25"/>
      <c r="K90" s="25"/>
      <c r="L90" s="27"/>
      <c r="M90" s="121"/>
      <c r="N90" s="95">
        <v>0</v>
      </c>
      <c r="O90" s="108">
        <f t="shared" si="7"/>
        <v>0</v>
      </c>
      <c r="P90" s="108">
        <f t="shared" si="8"/>
        <v>0</v>
      </c>
      <c r="Q90" s="108">
        <f t="shared" si="9"/>
        <v>0</v>
      </c>
      <c r="R90" s="96">
        <v>0</v>
      </c>
      <c r="S90" s="102">
        <f t="shared" si="10"/>
        <v>0</v>
      </c>
      <c r="T90" s="95">
        <f t="shared" si="11"/>
        <v>0</v>
      </c>
      <c r="U90" s="109">
        <f t="shared" si="12"/>
        <v>0</v>
      </c>
      <c r="V90" s="110">
        <f t="shared" si="13"/>
        <v>0</v>
      </c>
      <c r="W90" s="100"/>
      <c r="X90" s="100"/>
    </row>
    <row r="91" spans="1:24" ht="25.5" hidden="1" customHeight="1">
      <c r="A91" s="1"/>
      <c r="B91" s="1"/>
      <c r="C91" s="24">
        <v>43852</v>
      </c>
      <c r="D91" s="13"/>
      <c r="E91" s="13"/>
      <c r="F91" s="14"/>
      <c r="G91" s="15"/>
      <c r="H91" s="33">
        <v>68262</v>
      </c>
      <c r="I91" s="25" t="s">
        <v>112</v>
      </c>
      <c r="J91" s="26" t="s">
        <v>113</v>
      </c>
      <c r="K91" s="25" t="s">
        <v>61</v>
      </c>
      <c r="L91" s="25" t="s">
        <v>114</v>
      </c>
      <c r="M91" s="121">
        <v>1</v>
      </c>
      <c r="N91" s="95">
        <v>49160</v>
      </c>
      <c r="O91" s="108">
        <f t="shared" si="7"/>
        <v>49160</v>
      </c>
      <c r="P91" s="108">
        <f t="shared" si="8"/>
        <v>9340.4</v>
      </c>
      <c r="Q91" s="108">
        <f t="shared" si="9"/>
        <v>58500.4</v>
      </c>
      <c r="R91" s="96">
        <v>0</v>
      </c>
      <c r="S91" s="102">
        <f t="shared" si="10"/>
        <v>0</v>
      </c>
      <c r="T91" s="95">
        <f t="shared" si="11"/>
        <v>0</v>
      </c>
      <c r="U91" s="109">
        <f t="shared" si="12"/>
        <v>0</v>
      </c>
      <c r="V91" s="110">
        <f t="shared" si="13"/>
        <v>58500.4</v>
      </c>
      <c r="W91" s="100"/>
      <c r="X91" s="100"/>
    </row>
    <row r="92" spans="1:24" ht="25.5" hidden="1" customHeight="1">
      <c r="A92" s="1"/>
      <c r="B92" s="1"/>
      <c r="C92" s="23"/>
      <c r="D92" s="13"/>
      <c r="E92" s="13"/>
      <c r="F92" s="14"/>
      <c r="G92" s="15"/>
      <c r="H92" s="33"/>
      <c r="I92" s="25"/>
      <c r="J92" s="25"/>
      <c r="K92" s="25"/>
      <c r="L92" s="27"/>
      <c r="M92" s="121"/>
      <c r="N92" s="95">
        <v>0</v>
      </c>
      <c r="O92" s="108">
        <f t="shared" si="7"/>
        <v>0</v>
      </c>
      <c r="P92" s="108">
        <f t="shared" si="8"/>
        <v>0</v>
      </c>
      <c r="Q92" s="108">
        <f t="shared" si="9"/>
        <v>0</v>
      </c>
      <c r="R92" s="96">
        <v>0</v>
      </c>
      <c r="S92" s="102">
        <f t="shared" si="10"/>
        <v>0</v>
      </c>
      <c r="T92" s="95">
        <f t="shared" si="11"/>
        <v>0</v>
      </c>
      <c r="U92" s="109">
        <f t="shared" si="12"/>
        <v>0</v>
      </c>
      <c r="V92" s="110">
        <f t="shared" si="13"/>
        <v>0</v>
      </c>
      <c r="W92" s="100"/>
      <c r="X92" s="100"/>
    </row>
    <row r="93" spans="1:24" ht="25.5" hidden="1" customHeight="1">
      <c r="A93" s="1"/>
      <c r="B93" s="1"/>
      <c r="C93" s="23"/>
      <c r="D93" s="13"/>
      <c r="E93" s="13"/>
      <c r="F93" s="14"/>
      <c r="G93" s="15"/>
      <c r="H93" s="33">
        <v>76050</v>
      </c>
      <c r="I93" s="24">
        <v>43944</v>
      </c>
      <c r="J93" s="25" t="s">
        <v>115</v>
      </c>
      <c r="K93" s="25" t="s">
        <v>71</v>
      </c>
      <c r="L93" s="27" t="s">
        <v>116</v>
      </c>
      <c r="M93" s="121">
        <v>1</v>
      </c>
      <c r="N93" s="95">
        <v>301197</v>
      </c>
      <c r="O93" s="108">
        <f t="shared" si="7"/>
        <v>301197</v>
      </c>
      <c r="P93" s="108">
        <f t="shared" si="8"/>
        <v>57227.43</v>
      </c>
      <c r="Q93" s="108">
        <f t="shared" si="9"/>
        <v>358424.43</v>
      </c>
      <c r="R93" s="96">
        <v>0</v>
      </c>
      <c r="S93" s="102">
        <f t="shared" si="10"/>
        <v>0</v>
      </c>
      <c r="T93" s="95">
        <f t="shared" si="11"/>
        <v>0</v>
      </c>
      <c r="U93" s="109">
        <f t="shared" si="12"/>
        <v>0</v>
      </c>
      <c r="V93" s="110">
        <f t="shared" si="13"/>
        <v>358424.43</v>
      </c>
      <c r="W93" s="100"/>
      <c r="X93" s="100"/>
    </row>
    <row r="94" spans="1:24" ht="25.5" hidden="1" customHeight="1">
      <c r="A94" s="1"/>
      <c r="B94" s="1"/>
      <c r="C94" s="23"/>
      <c r="D94" s="13"/>
      <c r="E94" s="13"/>
      <c r="F94" s="14"/>
      <c r="G94" s="15"/>
      <c r="H94" s="33"/>
      <c r="I94" s="25"/>
      <c r="J94" s="25" t="s">
        <v>115</v>
      </c>
      <c r="K94" s="25" t="s">
        <v>71</v>
      </c>
      <c r="L94" s="27" t="s">
        <v>117</v>
      </c>
      <c r="M94" s="121">
        <v>1</v>
      </c>
      <c r="N94" s="95">
        <v>0</v>
      </c>
      <c r="O94" s="108">
        <f t="shared" si="7"/>
        <v>0</v>
      </c>
      <c r="P94" s="108">
        <f t="shared" si="8"/>
        <v>0</v>
      </c>
      <c r="Q94" s="108">
        <f t="shared" si="9"/>
        <v>0</v>
      </c>
      <c r="R94" s="96">
        <v>17647</v>
      </c>
      <c r="S94" s="102">
        <f t="shared" si="10"/>
        <v>17647</v>
      </c>
      <c r="T94" s="95">
        <f t="shared" si="11"/>
        <v>3352.93</v>
      </c>
      <c r="U94" s="109">
        <f t="shared" si="12"/>
        <v>20999.93</v>
      </c>
      <c r="V94" s="110">
        <f t="shared" si="13"/>
        <v>20999.93</v>
      </c>
      <c r="W94" s="100"/>
      <c r="X94" s="100"/>
    </row>
    <row r="95" spans="1:24" ht="25.5" hidden="1" customHeight="1">
      <c r="A95" s="1"/>
      <c r="B95" s="1"/>
      <c r="C95" s="23"/>
      <c r="D95" s="13"/>
      <c r="E95" s="13"/>
      <c r="F95" s="14"/>
      <c r="G95" s="15"/>
      <c r="H95" s="33"/>
      <c r="I95" s="25"/>
      <c r="J95" s="25" t="s">
        <v>115</v>
      </c>
      <c r="K95" s="25" t="s">
        <v>61</v>
      </c>
      <c r="L95" s="27" t="s">
        <v>118</v>
      </c>
      <c r="M95" s="121">
        <v>1</v>
      </c>
      <c r="N95" s="95">
        <v>0</v>
      </c>
      <c r="O95" s="108">
        <f t="shared" si="7"/>
        <v>0</v>
      </c>
      <c r="P95" s="108">
        <f t="shared" si="8"/>
        <v>0</v>
      </c>
      <c r="Q95" s="108">
        <f t="shared" si="9"/>
        <v>0</v>
      </c>
      <c r="R95" s="96">
        <v>34818</v>
      </c>
      <c r="S95" s="102">
        <f t="shared" si="10"/>
        <v>34818</v>
      </c>
      <c r="T95" s="95">
        <f t="shared" si="11"/>
        <v>6615.42</v>
      </c>
      <c r="U95" s="109">
        <f t="shared" si="12"/>
        <v>41433.42</v>
      </c>
      <c r="V95" s="110">
        <f t="shared" si="13"/>
        <v>41433.42</v>
      </c>
      <c r="W95" s="100"/>
      <c r="X95" s="100"/>
    </row>
    <row r="96" spans="1:24" ht="25.5" hidden="1" customHeight="1">
      <c r="A96" s="1"/>
      <c r="B96" s="1"/>
      <c r="C96" s="23"/>
      <c r="D96" s="13"/>
      <c r="E96" s="13"/>
      <c r="F96" s="14"/>
      <c r="G96" s="15"/>
      <c r="H96" s="33">
        <v>74449</v>
      </c>
      <c r="I96" s="24">
        <v>43944</v>
      </c>
      <c r="J96" s="25" t="s">
        <v>119</v>
      </c>
      <c r="K96" s="25" t="s">
        <v>61</v>
      </c>
      <c r="L96" s="27" t="s">
        <v>120</v>
      </c>
      <c r="M96" s="121">
        <v>1</v>
      </c>
      <c r="N96" s="95">
        <v>0</v>
      </c>
      <c r="O96" s="108">
        <f t="shared" si="7"/>
        <v>0</v>
      </c>
      <c r="P96" s="108">
        <f t="shared" si="8"/>
        <v>0</v>
      </c>
      <c r="Q96" s="108">
        <f t="shared" si="9"/>
        <v>0</v>
      </c>
      <c r="R96" s="96">
        <v>49160</v>
      </c>
      <c r="S96" s="102">
        <f t="shared" si="10"/>
        <v>49160</v>
      </c>
      <c r="T96" s="95">
        <f t="shared" si="11"/>
        <v>9340.4</v>
      </c>
      <c r="U96" s="109">
        <f t="shared" si="12"/>
        <v>58500.4</v>
      </c>
      <c r="V96" s="110">
        <f t="shared" si="13"/>
        <v>58500.4</v>
      </c>
      <c r="W96" s="100"/>
      <c r="X96" s="100"/>
    </row>
    <row r="97" spans="1:24" s="68" customFormat="1" ht="25.5" hidden="1" customHeight="1">
      <c r="A97" s="59"/>
      <c r="B97" s="59"/>
      <c r="C97" s="60"/>
      <c r="D97" s="61"/>
      <c r="E97" s="61"/>
      <c r="F97" s="62"/>
      <c r="G97" s="27" t="s">
        <v>121</v>
      </c>
      <c r="H97" s="64">
        <v>84714</v>
      </c>
      <c r="I97" s="65">
        <v>44095</v>
      </c>
      <c r="J97" s="66" t="s">
        <v>122</v>
      </c>
      <c r="K97" s="66" t="s">
        <v>71</v>
      </c>
      <c r="L97" s="67" t="s">
        <v>123</v>
      </c>
      <c r="M97" s="123">
        <v>2</v>
      </c>
      <c r="N97" s="111">
        <v>72000</v>
      </c>
      <c r="O97" s="112">
        <f t="shared" si="7"/>
        <v>144000</v>
      </c>
      <c r="P97" s="112">
        <f t="shared" si="8"/>
        <v>27360</v>
      </c>
      <c r="Q97" s="112">
        <f t="shared" si="9"/>
        <v>171360</v>
      </c>
      <c r="R97" s="113">
        <v>70000</v>
      </c>
      <c r="S97" s="114">
        <f t="shared" si="10"/>
        <v>140000</v>
      </c>
      <c r="T97" s="111">
        <f t="shared" si="11"/>
        <v>26600</v>
      </c>
      <c r="U97" s="112">
        <f t="shared" si="12"/>
        <v>166600</v>
      </c>
      <c r="V97" s="115">
        <f t="shared" si="13"/>
        <v>337960</v>
      </c>
      <c r="W97" s="116"/>
      <c r="X97" s="116"/>
    </row>
    <row r="98" spans="1:24" ht="25.5" hidden="1" customHeight="1">
      <c r="A98" s="1"/>
      <c r="B98" s="1"/>
      <c r="C98" s="23"/>
      <c r="D98" s="13"/>
      <c r="E98" s="13"/>
      <c r="F98" s="14"/>
      <c r="G98" s="27" t="s">
        <v>121</v>
      </c>
      <c r="H98" s="64">
        <v>84714</v>
      </c>
      <c r="I98" s="65">
        <v>44095</v>
      </c>
      <c r="J98" s="25" t="s">
        <v>122</v>
      </c>
      <c r="K98" s="13" t="s">
        <v>61</v>
      </c>
      <c r="L98" s="13" t="s">
        <v>124</v>
      </c>
      <c r="M98" s="124">
        <v>1</v>
      </c>
      <c r="N98" s="95">
        <v>96690</v>
      </c>
      <c r="O98" s="108">
        <f t="shared" si="7"/>
        <v>96690</v>
      </c>
      <c r="P98" s="108">
        <f t="shared" si="8"/>
        <v>18371.099999999999</v>
      </c>
      <c r="Q98" s="108">
        <f t="shared" si="9"/>
        <v>115061.1</v>
      </c>
      <c r="R98" s="113">
        <v>86074</v>
      </c>
      <c r="S98" s="102">
        <f t="shared" si="10"/>
        <v>86074</v>
      </c>
      <c r="T98" s="95">
        <f t="shared" si="11"/>
        <v>16354.06</v>
      </c>
      <c r="U98" s="109">
        <f t="shared" si="12"/>
        <v>102428.06</v>
      </c>
      <c r="V98" s="110">
        <f t="shared" si="13"/>
        <v>217489.16</v>
      </c>
      <c r="W98" s="100"/>
      <c r="X98" s="100"/>
    </row>
    <row r="99" spans="1:24" ht="25.5" hidden="1" customHeight="1">
      <c r="A99" s="1"/>
      <c r="B99" s="1"/>
      <c r="C99" s="13"/>
      <c r="D99" s="13"/>
      <c r="E99" s="13"/>
      <c r="F99" s="14"/>
      <c r="G99" s="27" t="s">
        <v>121</v>
      </c>
      <c r="H99" s="64">
        <v>84714</v>
      </c>
      <c r="I99" s="65">
        <v>44095</v>
      </c>
      <c r="J99" s="25" t="s">
        <v>122</v>
      </c>
      <c r="K99" s="13" t="s">
        <v>61</v>
      </c>
      <c r="L99" s="13" t="s">
        <v>125</v>
      </c>
      <c r="M99" s="124">
        <v>1</v>
      </c>
      <c r="N99" s="95">
        <v>21216</v>
      </c>
      <c r="O99" s="108">
        <f t="shared" ref="O99:O162" si="14">+N99*M99</f>
        <v>21216</v>
      </c>
      <c r="P99" s="108">
        <f t="shared" ref="P99:P162" si="15">+O99*0.19</f>
        <v>4031.04</v>
      </c>
      <c r="Q99" s="108">
        <f t="shared" ref="Q99:Q162" si="16">+P99+O99</f>
        <v>25247.040000000001</v>
      </c>
      <c r="R99" s="113">
        <v>11965</v>
      </c>
      <c r="S99" s="102">
        <f t="shared" ref="S99:S162" si="17">+R99*M99</f>
        <v>11965</v>
      </c>
      <c r="T99" s="95">
        <f t="shared" ref="T99:T162" si="18">+S99*0.19</f>
        <v>2273.35</v>
      </c>
      <c r="U99" s="109">
        <f t="shared" ref="U99:U162" si="19">+T99+S99</f>
        <v>14238.35</v>
      </c>
      <c r="V99" s="110">
        <f t="shared" ref="V99:V162" si="20">+U99+Q99</f>
        <v>39485.39</v>
      </c>
      <c r="W99" s="100"/>
      <c r="X99" s="100"/>
    </row>
    <row r="100" spans="1:24" ht="25.5" hidden="1" customHeight="1">
      <c r="A100" s="1"/>
      <c r="B100" s="1"/>
      <c r="C100" s="13"/>
      <c r="D100" s="13"/>
      <c r="E100" s="13"/>
      <c r="F100" s="14"/>
      <c r="G100" s="27" t="s">
        <v>121</v>
      </c>
      <c r="H100" s="64">
        <v>84714</v>
      </c>
      <c r="I100" s="65">
        <v>44095</v>
      </c>
      <c r="J100" s="25" t="s">
        <v>122</v>
      </c>
      <c r="K100" s="13" t="s">
        <v>61</v>
      </c>
      <c r="L100" s="13" t="s">
        <v>126</v>
      </c>
      <c r="M100" s="124">
        <v>1</v>
      </c>
      <c r="N100" s="95">
        <v>30207</v>
      </c>
      <c r="O100" s="108">
        <f t="shared" si="14"/>
        <v>30207</v>
      </c>
      <c r="P100" s="108">
        <f t="shared" si="15"/>
        <v>5739.33</v>
      </c>
      <c r="Q100" s="108">
        <f t="shared" si="16"/>
        <v>35946.33</v>
      </c>
      <c r="R100" s="113">
        <v>10243</v>
      </c>
      <c r="S100" s="102">
        <f t="shared" si="17"/>
        <v>10243</v>
      </c>
      <c r="T100" s="95">
        <f t="shared" si="18"/>
        <v>1946.17</v>
      </c>
      <c r="U100" s="109">
        <f t="shared" si="19"/>
        <v>12189.17</v>
      </c>
      <c r="V100" s="110">
        <f t="shared" si="20"/>
        <v>48135.5</v>
      </c>
      <c r="W100" s="100"/>
      <c r="X100" s="100"/>
    </row>
    <row r="101" spans="1:24" ht="25.5" hidden="1" customHeight="1">
      <c r="A101" s="1"/>
      <c r="B101" s="1"/>
      <c r="C101" s="13"/>
      <c r="D101" s="13"/>
      <c r="E101" s="13"/>
      <c r="F101" s="14"/>
      <c r="G101" s="27" t="s">
        <v>121</v>
      </c>
      <c r="H101" s="64">
        <v>84714</v>
      </c>
      <c r="I101" s="65">
        <v>44095</v>
      </c>
      <c r="J101" s="25" t="s">
        <v>122</v>
      </c>
      <c r="K101" s="13" t="s">
        <v>61</v>
      </c>
      <c r="L101" s="13" t="s">
        <v>81</v>
      </c>
      <c r="M101" s="124">
        <v>2</v>
      </c>
      <c r="N101" s="95">
        <v>16074</v>
      </c>
      <c r="O101" s="108">
        <f t="shared" si="14"/>
        <v>32148</v>
      </c>
      <c r="P101" s="108">
        <f t="shared" si="15"/>
        <v>6108.12</v>
      </c>
      <c r="Q101" s="108">
        <f t="shared" si="16"/>
        <v>38256.120000000003</v>
      </c>
      <c r="R101" s="96">
        <v>0</v>
      </c>
      <c r="S101" s="102">
        <f t="shared" si="17"/>
        <v>0</v>
      </c>
      <c r="T101" s="95">
        <f t="shared" si="18"/>
        <v>0</v>
      </c>
      <c r="U101" s="109">
        <f t="shared" si="19"/>
        <v>0</v>
      </c>
      <c r="V101" s="110">
        <f t="shared" si="20"/>
        <v>38256.120000000003</v>
      </c>
      <c r="W101" s="100"/>
      <c r="X101" s="100"/>
    </row>
    <row r="102" spans="1:24" ht="25.5" hidden="1" customHeight="1">
      <c r="A102" s="1"/>
      <c r="B102" s="1"/>
      <c r="C102" s="13"/>
      <c r="D102" s="13"/>
      <c r="E102" s="13"/>
      <c r="F102" s="14"/>
      <c r="G102" s="27" t="s">
        <v>121</v>
      </c>
      <c r="H102" s="64">
        <v>84714</v>
      </c>
      <c r="I102" s="65">
        <v>44095</v>
      </c>
      <c r="J102" s="25" t="s">
        <v>122</v>
      </c>
      <c r="K102" s="13" t="s">
        <v>61</v>
      </c>
      <c r="L102" s="29" t="s">
        <v>127</v>
      </c>
      <c r="M102" s="124">
        <v>1</v>
      </c>
      <c r="N102" s="95">
        <v>19469</v>
      </c>
      <c r="O102" s="108">
        <f t="shared" si="14"/>
        <v>19469</v>
      </c>
      <c r="P102" s="108">
        <f t="shared" si="15"/>
        <v>3699.11</v>
      </c>
      <c r="Q102" s="108">
        <f t="shared" si="16"/>
        <v>23168.11</v>
      </c>
      <c r="R102" s="96">
        <v>0</v>
      </c>
      <c r="S102" s="102">
        <f t="shared" si="17"/>
        <v>0</v>
      </c>
      <c r="T102" s="95">
        <f t="shared" si="18"/>
        <v>0</v>
      </c>
      <c r="U102" s="109">
        <f t="shared" si="19"/>
        <v>0</v>
      </c>
      <c r="V102" s="110">
        <f t="shared" si="20"/>
        <v>23168.11</v>
      </c>
      <c r="W102" s="100"/>
      <c r="X102" s="100"/>
    </row>
    <row r="103" spans="1:24" ht="25.5" hidden="1" customHeight="1">
      <c r="A103" s="1"/>
      <c r="B103" s="1"/>
      <c r="C103" s="13"/>
      <c r="D103" s="13"/>
      <c r="E103" s="13"/>
      <c r="F103" s="14"/>
      <c r="G103" s="27" t="s">
        <v>121</v>
      </c>
      <c r="H103" s="64">
        <v>84714</v>
      </c>
      <c r="I103" s="65">
        <v>44095</v>
      </c>
      <c r="J103" s="25" t="s">
        <v>122</v>
      </c>
      <c r="K103" s="13" t="s">
        <v>71</v>
      </c>
      <c r="L103" s="29" t="s">
        <v>128</v>
      </c>
      <c r="M103" s="124">
        <v>2</v>
      </c>
      <c r="N103" s="95">
        <v>18200</v>
      </c>
      <c r="O103" s="108">
        <f t="shared" si="14"/>
        <v>36400</v>
      </c>
      <c r="P103" s="108">
        <f t="shared" si="15"/>
        <v>6916</v>
      </c>
      <c r="Q103" s="108">
        <f t="shared" si="16"/>
        <v>43316</v>
      </c>
      <c r="R103" s="96">
        <v>0</v>
      </c>
      <c r="S103" s="102">
        <f t="shared" si="17"/>
        <v>0</v>
      </c>
      <c r="T103" s="95">
        <f t="shared" si="18"/>
        <v>0</v>
      </c>
      <c r="U103" s="109">
        <f t="shared" si="19"/>
        <v>0</v>
      </c>
      <c r="V103" s="110">
        <f t="shared" si="20"/>
        <v>43316</v>
      </c>
      <c r="W103" s="100"/>
      <c r="X103" s="100"/>
    </row>
    <row r="104" spans="1:24" ht="25.5" hidden="1" customHeight="1">
      <c r="A104" s="1"/>
      <c r="B104" s="1"/>
      <c r="C104" s="13"/>
      <c r="D104" s="13"/>
      <c r="E104" s="13"/>
      <c r="F104" s="14"/>
      <c r="G104" s="27" t="s">
        <v>121</v>
      </c>
      <c r="H104" s="64">
        <v>84714</v>
      </c>
      <c r="I104" s="65">
        <v>44095</v>
      </c>
      <c r="J104" s="25" t="s">
        <v>122</v>
      </c>
      <c r="K104" s="13" t="s">
        <v>71</v>
      </c>
      <c r="L104" s="13" t="s">
        <v>129</v>
      </c>
      <c r="M104" s="124">
        <v>1</v>
      </c>
      <c r="N104" s="95">
        <v>25365</v>
      </c>
      <c r="O104" s="108">
        <f t="shared" si="14"/>
        <v>25365</v>
      </c>
      <c r="P104" s="108">
        <f t="shared" si="15"/>
        <v>4819.3500000000004</v>
      </c>
      <c r="Q104" s="108">
        <f t="shared" si="16"/>
        <v>30184.35</v>
      </c>
      <c r="R104" s="96">
        <v>0</v>
      </c>
      <c r="S104" s="102">
        <f t="shared" si="17"/>
        <v>0</v>
      </c>
      <c r="T104" s="95">
        <f t="shared" si="18"/>
        <v>0</v>
      </c>
      <c r="U104" s="109">
        <f t="shared" si="19"/>
        <v>0</v>
      </c>
      <c r="V104" s="110">
        <f t="shared" si="20"/>
        <v>30184.35</v>
      </c>
      <c r="W104" s="100"/>
      <c r="X104" s="100"/>
    </row>
    <row r="105" spans="1:24" ht="25.5" hidden="1" customHeight="1">
      <c r="A105" s="1"/>
      <c r="B105" s="1"/>
      <c r="C105" s="13"/>
      <c r="D105" s="13"/>
      <c r="E105" s="13"/>
      <c r="F105" s="14"/>
      <c r="G105" s="27" t="s">
        <v>121</v>
      </c>
      <c r="H105" s="64">
        <v>84714</v>
      </c>
      <c r="I105" s="65">
        <v>44095</v>
      </c>
      <c r="J105" s="25" t="s">
        <v>122</v>
      </c>
      <c r="K105" s="13" t="s">
        <v>71</v>
      </c>
      <c r="L105" s="29" t="s">
        <v>130</v>
      </c>
      <c r="M105" s="124">
        <v>1</v>
      </c>
      <c r="N105" s="95">
        <v>198261</v>
      </c>
      <c r="O105" s="108">
        <f t="shared" si="14"/>
        <v>198261</v>
      </c>
      <c r="P105" s="108">
        <f t="shared" si="15"/>
        <v>37669.590000000004</v>
      </c>
      <c r="Q105" s="108">
        <f t="shared" si="16"/>
        <v>235930.59</v>
      </c>
      <c r="R105" s="96">
        <v>0</v>
      </c>
      <c r="S105" s="102">
        <f t="shared" si="17"/>
        <v>0</v>
      </c>
      <c r="T105" s="95">
        <f t="shared" si="18"/>
        <v>0</v>
      </c>
      <c r="U105" s="109">
        <f t="shared" si="19"/>
        <v>0</v>
      </c>
      <c r="V105" s="110">
        <f t="shared" si="20"/>
        <v>235930.59</v>
      </c>
      <c r="W105" s="100"/>
      <c r="X105" s="100"/>
    </row>
    <row r="106" spans="1:24" ht="25.5" hidden="1" customHeight="1">
      <c r="A106" s="1"/>
      <c r="B106" s="1"/>
      <c r="C106" s="13"/>
      <c r="D106" s="13"/>
      <c r="E106" s="13"/>
      <c r="F106" s="14"/>
      <c r="G106" s="27" t="s">
        <v>121</v>
      </c>
      <c r="H106" s="64">
        <v>84714</v>
      </c>
      <c r="I106" s="65">
        <v>44095</v>
      </c>
      <c r="J106" s="25" t="s">
        <v>122</v>
      </c>
      <c r="K106" s="13" t="s">
        <v>71</v>
      </c>
      <c r="L106" s="13" t="s">
        <v>131</v>
      </c>
      <c r="M106" s="124">
        <v>1</v>
      </c>
      <c r="N106" s="95">
        <v>22000</v>
      </c>
      <c r="O106" s="108">
        <f t="shared" si="14"/>
        <v>22000</v>
      </c>
      <c r="P106" s="108">
        <f t="shared" si="15"/>
        <v>4180</v>
      </c>
      <c r="Q106" s="108">
        <f t="shared" si="16"/>
        <v>26180</v>
      </c>
      <c r="R106" s="96">
        <v>0</v>
      </c>
      <c r="S106" s="102">
        <f t="shared" si="17"/>
        <v>0</v>
      </c>
      <c r="T106" s="95">
        <f t="shared" si="18"/>
        <v>0</v>
      </c>
      <c r="U106" s="109">
        <f t="shared" si="19"/>
        <v>0</v>
      </c>
      <c r="V106" s="110">
        <f t="shared" si="20"/>
        <v>26180</v>
      </c>
      <c r="W106" s="100"/>
      <c r="X106" s="100"/>
    </row>
    <row r="107" spans="1:24" ht="25.5" hidden="1" customHeight="1">
      <c r="A107" s="1"/>
      <c r="B107" s="1"/>
      <c r="C107" s="13"/>
      <c r="D107" s="13"/>
      <c r="E107" s="13"/>
      <c r="F107" s="14"/>
      <c r="G107" s="27" t="s">
        <v>121</v>
      </c>
      <c r="H107" s="64">
        <v>84714</v>
      </c>
      <c r="I107" s="65">
        <v>44095</v>
      </c>
      <c r="J107" s="25" t="s">
        <v>122</v>
      </c>
      <c r="K107" s="13" t="s">
        <v>71</v>
      </c>
      <c r="L107" s="13" t="s">
        <v>132</v>
      </c>
      <c r="M107" s="124">
        <v>1</v>
      </c>
      <c r="N107" s="95">
        <v>190000</v>
      </c>
      <c r="O107" s="108">
        <f t="shared" si="14"/>
        <v>190000</v>
      </c>
      <c r="P107" s="108">
        <f t="shared" si="15"/>
        <v>36100</v>
      </c>
      <c r="Q107" s="108">
        <f t="shared" si="16"/>
        <v>226100</v>
      </c>
      <c r="R107" s="113">
        <v>90000</v>
      </c>
      <c r="S107" s="102">
        <f t="shared" si="17"/>
        <v>90000</v>
      </c>
      <c r="T107" s="95">
        <f t="shared" si="18"/>
        <v>17100</v>
      </c>
      <c r="U107" s="109">
        <f t="shared" si="19"/>
        <v>107100</v>
      </c>
      <c r="V107" s="110">
        <f t="shared" si="20"/>
        <v>333200</v>
      </c>
      <c r="W107" s="100"/>
      <c r="X107" s="100"/>
    </row>
    <row r="108" spans="1:24" ht="25.5" hidden="1" customHeight="1">
      <c r="A108" s="1"/>
      <c r="B108" s="1"/>
      <c r="C108" s="13"/>
      <c r="D108" s="13"/>
      <c r="E108" s="13"/>
      <c r="F108" s="14"/>
      <c r="G108" s="27" t="s">
        <v>121</v>
      </c>
      <c r="H108" s="64">
        <v>84714</v>
      </c>
      <c r="I108" s="65">
        <v>44095</v>
      </c>
      <c r="J108" s="25" t="s">
        <v>122</v>
      </c>
      <c r="K108" s="13" t="s">
        <v>71</v>
      </c>
      <c r="L108" s="13" t="s">
        <v>133</v>
      </c>
      <c r="M108" s="124">
        <v>1</v>
      </c>
      <c r="N108" s="95">
        <v>50000</v>
      </c>
      <c r="O108" s="108">
        <f t="shared" si="14"/>
        <v>50000</v>
      </c>
      <c r="P108" s="108">
        <f t="shared" si="15"/>
        <v>9500</v>
      </c>
      <c r="Q108" s="108">
        <f t="shared" si="16"/>
        <v>59500</v>
      </c>
      <c r="R108" s="96">
        <v>0</v>
      </c>
      <c r="S108" s="102">
        <f t="shared" si="17"/>
        <v>0</v>
      </c>
      <c r="T108" s="95">
        <f t="shared" si="18"/>
        <v>0</v>
      </c>
      <c r="U108" s="109">
        <f t="shared" si="19"/>
        <v>0</v>
      </c>
      <c r="V108" s="110">
        <f t="shared" si="20"/>
        <v>59500</v>
      </c>
      <c r="W108" s="100"/>
      <c r="X108" s="100"/>
    </row>
    <row r="109" spans="1:24" ht="25.5" hidden="1" customHeight="1">
      <c r="A109" s="1"/>
      <c r="B109" s="1"/>
      <c r="C109" s="13"/>
      <c r="D109" s="13"/>
      <c r="E109" s="13"/>
      <c r="F109" s="14"/>
      <c r="G109" s="27" t="s">
        <v>121</v>
      </c>
      <c r="H109" s="64">
        <v>84714</v>
      </c>
      <c r="I109" s="65">
        <v>44095</v>
      </c>
      <c r="J109" s="25" t="s">
        <v>122</v>
      </c>
      <c r="K109" s="13" t="s">
        <v>71</v>
      </c>
      <c r="L109" s="13" t="s">
        <v>134</v>
      </c>
      <c r="M109" s="124">
        <v>1</v>
      </c>
      <c r="N109" s="95">
        <v>63252</v>
      </c>
      <c r="O109" s="108">
        <f t="shared" si="14"/>
        <v>63252</v>
      </c>
      <c r="P109" s="108">
        <f t="shared" si="15"/>
        <v>12017.880000000001</v>
      </c>
      <c r="Q109" s="108">
        <f t="shared" si="16"/>
        <v>75269.88</v>
      </c>
      <c r="R109" s="113">
        <v>124662</v>
      </c>
      <c r="S109" s="102">
        <f t="shared" si="17"/>
        <v>124662</v>
      </c>
      <c r="T109" s="95">
        <f t="shared" si="18"/>
        <v>23685.78</v>
      </c>
      <c r="U109" s="109">
        <f t="shared" si="19"/>
        <v>148347.78</v>
      </c>
      <c r="V109" s="110">
        <f t="shared" si="20"/>
        <v>223617.66</v>
      </c>
      <c r="W109" s="100"/>
      <c r="X109" s="100"/>
    </row>
    <row r="110" spans="1:24" ht="25.5" hidden="1" customHeight="1">
      <c r="A110" s="1"/>
      <c r="B110" s="1"/>
      <c r="C110" s="13"/>
      <c r="D110" s="13"/>
      <c r="E110" s="13"/>
      <c r="F110" s="14"/>
      <c r="G110" s="27" t="s">
        <v>121</v>
      </c>
      <c r="H110" s="64">
        <v>84714</v>
      </c>
      <c r="I110" s="65">
        <v>44095</v>
      </c>
      <c r="J110" s="25" t="s">
        <v>122</v>
      </c>
      <c r="K110" s="13" t="s">
        <v>71</v>
      </c>
      <c r="L110" s="13" t="s">
        <v>135</v>
      </c>
      <c r="M110" s="124">
        <v>2</v>
      </c>
      <c r="N110" s="95">
        <v>335000</v>
      </c>
      <c r="O110" s="108">
        <f t="shared" si="14"/>
        <v>670000</v>
      </c>
      <c r="P110" s="108">
        <f t="shared" si="15"/>
        <v>127300</v>
      </c>
      <c r="Q110" s="108">
        <f t="shared" si="16"/>
        <v>797300</v>
      </c>
      <c r="R110" s="113">
        <v>30000</v>
      </c>
      <c r="S110" s="102">
        <f t="shared" si="17"/>
        <v>60000</v>
      </c>
      <c r="T110" s="95">
        <f t="shared" si="18"/>
        <v>11400</v>
      </c>
      <c r="U110" s="109">
        <f t="shared" si="19"/>
        <v>71400</v>
      </c>
      <c r="V110" s="110">
        <f t="shared" si="20"/>
        <v>868700</v>
      </c>
      <c r="W110" s="100"/>
      <c r="X110" s="100"/>
    </row>
    <row r="111" spans="1:24" ht="25.5" hidden="1" customHeight="1">
      <c r="A111" s="1"/>
      <c r="B111" s="1"/>
      <c r="C111" s="13"/>
      <c r="D111" s="13"/>
      <c r="E111" s="13"/>
      <c r="F111" s="14"/>
      <c r="G111" s="27" t="s">
        <v>121</v>
      </c>
      <c r="H111" s="64">
        <v>84714</v>
      </c>
      <c r="I111" s="65">
        <v>44095</v>
      </c>
      <c r="J111" s="25" t="s">
        <v>122</v>
      </c>
      <c r="K111" s="13" t="s">
        <v>71</v>
      </c>
      <c r="L111" s="13" t="s">
        <v>136</v>
      </c>
      <c r="M111" s="124">
        <v>1</v>
      </c>
      <c r="N111" s="95">
        <v>125700</v>
      </c>
      <c r="O111" s="108">
        <f t="shared" si="14"/>
        <v>125700</v>
      </c>
      <c r="P111" s="108">
        <f t="shared" si="15"/>
        <v>23883</v>
      </c>
      <c r="Q111" s="108">
        <f t="shared" si="16"/>
        <v>149583</v>
      </c>
      <c r="R111" s="96">
        <v>0</v>
      </c>
      <c r="S111" s="102">
        <f t="shared" si="17"/>
        <v>0</v>
      </c>
      <c r="T111" s="95">
        <f t="shared" si="18"/>
        <v>0</v>
      </c>
      <c r="U111" s="109">
        <f t="shared" si="19"/>
        <v>0</v>
      </c>
      <c r="V111" s="110">
        <f t="shared" si="20"/>
        <v>149583</v>
      </c>
      <c r="W111" s="100"/>
      <c r="X111" s="100"/>
    </row>
    <row r="112" spans="1:24" ht="25.5" hidden="1" customHeight="1">
      <c r="A112" s="1"/>
      <c r="B112" s="1"/>
      <c r="C112" s="13"/>
      <c r="D112" s="13"/>
      <c r="E112" s="13"/>
      <c r="F112" s="14"/>
      <c r="G112" s="27" t="s">
        <v>121</v>
      </c>
      <c r="H112" s="64">
        <v>84714</v>
      </c>
      <c r="I112" s="65">
        <v>44095</v>
      </c>
      <c r="J112" s="25" t="s">
        <v>122</v>
      </c>
      <c r="K112" s="13" t="s">
        <v>71</v>
      </c>
      <c r="L112" s="13" t="s">
        <v>137</v>
      </c>
      <c r="M112" s="124">
        <v>1</v>
      </c>
      <c r="N112" s="95">
        <v>28803</v>
      </c>
      <c r="O112" s="108">
        <f t="shared" si="14"/>
        <v>28803</v>
      </c>
      <c r="P112" s="108">
        <f t="shared" si="15"/>
        <v>5472.57</v>
      </c>
      <c r="Q112" s="108">
        <f t="shared" si="16"/>
        <v>34275.57</v>
      </c>
      <c r="R112" s="96">
        <v>0</v>
      </c>
      <c r="S112" s="102">
        <f t="shared" si="17"/>
        <v>0</v>
      </c>
      <c r="T112" s="95">
        <f t="shared" si="18"/>
        <v>0</v>
      </c>
      <c r="U112" s="109">
        <f t="shared" si="19"/>
        <v>0</v>
      </c>
      <c r="V112" s="110">
        <f t="shared" si="20"/>
        <v>34275.57</v>
      </c>
      <c r="W112" s="100"/>
      <c r="X112" s="100"/>
    </row>
    <row r="113" spans="1:24" ht="25.5" hidden="1" customHeight="1">
      <c r="A113" s="1"/>
      <c r="B113" s="1"/>
      <c r="C113" s="13"/>
      <c r="D113" s="13"/>
      <c r="E113" s="13"/>
      <c r="F113" s="14"/>
      <c r="G113" s="27" t="s">
        <v>121</v>
      </c>
      <c r="H113" s="64">
        <v>84714</v>
      </c>
      <c r="I113" s="65">
        <v>44095</v>
      </c>
      <c r="J113" s="25" t="s">
        <v>122</v>
      </c>
      <c r="K113" s="13" t="s">
        <v>71</v>
      </c>
      <c r="L113" s="13" t="s">
        <v>138</v>
      </c>
      <c r="M113" s="124">
        <v>1</v>
      </c>
      <c r="N113" s="95">
        <v>235000</v>
      </c>
      <c r="O113" s="108">
        <f t="shared" si="14"/>
        <v>235000</v>
      </c>
      <c r="P113" s="108">
        <f t="shared" si="15"/>
        <v>44650</v>
      </c>
      <c r="Q113" s="108">
        <f t="shared" si="16"/>
        <v>279650</v>
      </c>
      <c r="R113" s="113">
        <v>90000</v>
      </c>
      <c r="S113" s="102">
        <f t="shared" si="17"/>
        <v>90000</v>
      </c>
      <c r="T113" s="95">
        <f t="shared" si="18"/>
        <v>17100</v>
      </c>
      <c r="U113" s="109">
        <f t="shared" si="19"/>
        <v>107100</v>
      </c>
      <c r="V113" s="110">
        <f t="shared" si="20"/>
        <v>386750</v>
      </c>
      <c r="W113" s="100"/>
      <c r="X113" s="100"/>
    </row>
    <row r="114" spans="1:24" ht="25.5" hidden="1" customHeight="1">
      <c r="A114" s="1"/>
      <c r="B114" s="1"/>
      <c r="C114" s="13"/>
      <c r="D114" s="13"/>
      <c r="E114" s="13"/>
      <c r="F114" s="14"/>
      <c r="G114" s="27" t="s">
        <v>121</v>
      </c>
      <c r="H114" s="64">
        <v>84714</v>
      </c>
      <c r="I114" s="65">
        <v>44095</v>
      </c>
      <c r="J114" s="25" t="s">
        <v>122</v>
      </c>
      <c r="K114" s="13" t="s">
        <v>71</v>
      </c>
      <c r="L114" s="13" t="s">
        <v>139</v>
      </c>
      <c r="M114" s="124">
        <v>1</v>
      </c>
      <c r="N114" s="95">
        <v>195000</v>
      </c>
      <c r="O114" s="108">
        <f t="shared" si="14"/>
        <v>195000</v>
      </c>
      <c r="P114" s="108">
        <f t="shared" si="15"/>
        <v>37050</v>
      </c>
      <c r="Q114" s="108">
        <f t="shared" si="16"/>
        <v>232050</v>
      </c>
      <c r="R114" s="113">
        <v>70000</v>
      </c>
      <c r="S114" s="102">
        <f t="shared" si="17"/>
        <v>70000</v>
      </c>
      <c r="T114" s="95">
        <f t="shared" si="18"/>
        <v>13300</v>
      </c>
      <c r="U114" s="109">
        <f t="shared" si="19"/>
        <v>83300</v>
      </c>
      <c r="V114" s="110">
        <f t="shared" si="20"/>
        <v>315350</v>
      </c>
      <c r="W114" s="100"/>
      <c r="X114" s="100"/>
    </row>
    <row r="115" spans="1:24" ht="25.5" hidden="1" customHeight="1">
      <c r="A115" s="1"/>
      <c r="B115" s="1"/>
      <c r="C115" s="13"/>
      <c r="D115" s="13"/>
      <c r="E115" s="13"/>
      <c r="F115" s="14"/>
      <c r="G115" s="27" t="s">
        <v>121</v>
      </c>
      <c r="H115" s="64">
        <v>84714</v>
      </c>
      <c r="I115" s="65">
        <v>44095</v>
      </c>
      <c r="J115" s="25" t="s">
        <v>122</v>
      </c>
      <c r="K115" s="13" t="s">
        <v>71</v>
      </c>
      <c r="L115" s="13" t="s">
        <v>140</v>
      </c>
      <c r="M115" s="124">
        <v>1</v>
      </c>
      <c r="N115" s="95">
        <v>182000</v>
      </c>
      <c r="O115" s="108">
        <f t="shared" si="14"/>
        <v>182000</v>
      </c>
      <c r="P115" s="108">
        <f t="shared" si="15"/>
        <v>34580</v>
      </c>
      <c r="Q115" s="108">
        <f t="shared" si="16"/>
        <v>216580</v>
      </c>
      <c r="R115" s="113">
        <v>60000</v>
      </c>
      <c r="S115" s="102">
        <f t="shared" si="17"/>
        <v>60000</v>
      </c>
      <c r="T115" s="95">
        <f t="shared" si="18"/>
        <v>11400</v>
      </c>
      <c r="U115" s="109">
        <f t="shared" si="19"/>
        <v>71400</v>
      </c>
      <c r="V115" s="110">
        <f t="shared" si="20"/>
        <v>287980</v>
      </c>
      <c r="W115" s="100"/>
      <c r="X115" s="100"/>
    </row>
    <row r="116" spans="1:24" ht="25.5" hidden="1" customHeight="1">
      <c r="A116" s="1"/>
      <c r="B116" s="1"/>
      <c r="C116" s="13"/>
      <c r="D116" s="13"/>
      <c r="E116" s="13"/>
      <c r="F116" s="14"/>
      <c r="G116" s="27" t="s">
        <v>121</v>
      </c>
      <c r="H116" s="64">
        <v>84714</v>
      </c>
      <c r="I116" s="65">
        <v>44095</v>
      </c>
      <c r="J116" s="25" t="s">
        <v>122</v>
      </c>
      <c r="K116" s="13" t="s">
        <v>71</v>
      </c>
      <c r="L116" s="13" t="s">
        <v>141</v>
      </c>
      <c r="M116" s="124">
        <v>1</v>
      </c>
      <c r="N116" s="95">
        <v>195200</v>
      </c>
      <c r="O116" s="108">
        <f t="shared" si="14"/>
        <v>195200</v>
      </c>
      <c r="P116" s="108">
        <f t="shared" si="15"/>
        <v>37088</v>
      </c>
      <c r="Q116" s="108">
        <f t="shared" si="16"/>
        <v>232288</v>
      </c>
      <c r="R116" s="113">
        <v>80000</v>
      </c>
      <c r="S116" s="102">
        <f t="shared" si="17"/>
        <v>80000</v>
      </c>
      <c r="T116" s="95">
        <f t="shared" si="18"/>
        <v>15200</v>
      </c>
      <c r="U116" s="109">
        <f t="shared" si="19"/>
        <v>95200</v>
      </c>
      <c r="V116" s="110">
        <f t="shared" si="20"/>
        <v>327488</v>
      </c>
      <c r="W116" s="100"/>
      <c r="X116" s="100"/>
    </row>
    <row r="117" spans="1:24" ht="25.5" hidden="1" customHeight="1">
      <c r="A117" s="1"/>
      <c r="B117" s="1"/>
      <c r="C117" s="13"/>
      <c r="D117" s="13"/>
      <c r="E117" s="13"/>
      <c r="F117" s="14"/>
      <c r="G117" s="27" t="s">
        <v>121</v>
      </c>
      <c r="H117" s="64">
        <v>84714</v>
      </c>
      <c r="I117" s="65">
        <v>44095</v>
      </c>
      <c r="J117" s="25" t="s">
        <v>122</v>
      </c>
      <c r="K117" s="13" t="s">
        <v>71</v>
      </c>
      <c r="L117" s="13" t="s">
        <v>142</v>
      </c>
      <c r="M117" s="124">
        <v>1</v>
      </c>
      <c r="N117" s="95">
        <v>300000</v>
      </c>
      <c r="O117" s="108">
        <f t="shared" si="14"/>
        <v>300000</v>
      </c>
      <c r="P117" s="108">
        <f t="shared" si="15"/>
        <v>57000</v>
      </c>
      <c r="Q117" s="108">
        <f t="shared" si="16"/>
        <v>357000</v>
      </c>
      <c r="R117" s="96">
        <v>0</v>
      </c>
      <c r="S117" s="102">
        <f t="shared" si="17"/>
        <v>0</v>
      </c>
      <c r="T117" s="95">
        <f t="shared" si="18"/>
        <v>0</v>
      </c>
      <c r="U117" s="109">
        <f t="shared" si="19"/>
        <v>0</v>
      </c>
      <c r="V117" s="110">
        <f t="shared" si="20"/>
        <v>357000</v>
      </c>
      <c r="W117" s="100"/>
      <c r="X117" s="100"/>
    </row>
    <row r="118" spans="1:24" ht="25.5" hidden="1" customHeight="1">
      <c r="A118" s="1"/>
      <c r="B118" s="1"/>
      <c r="C118" s="13"/>
      <c r="D118" s="13"/>
      <c r="E118" s="13"/>
      <c r="F118" s="14"/>
      <c r="G118" s="27" t="s">
        <v>121</v>
      </c>
      <c r="H118" s="64">
        <v>84714</v>
      </c>
      <c r="I118" s="65">
        <v>44095</v>
      </c>
      <c r="J118" s="25" t="s">
        <v>122</v>
      </c>
      <c r="K118" s="13" t="s">
        <v>71</v>
      </c>
      <c r="L118" s="13" t="s">
        <v>143</v>
      </c>
      <c r="M118" s="124">
        <v>1</v>
      </c>
      <c r="N118" s="95">
        <v>140000</v>
      </c>
      <c r="O118" s="108">
        <f t="shared" si="14"/>
        <v>140000</v>
      </c>
      <c r="P118" s="108">
        <f t="shared" si="15"/>
        <v>26600</v>
      </c>
      <c r="Q118" s="108">
        <f t="shared" si="16"/>
        <v>166600</v>
      </c>
      <c r="R118" s="96">
        <v>0</v>
      </c>
      <c r="S118" s="102">
        <f t="shared" si="17"/>
        <v>0</v>
      </c>
      <c r="T118" s="95">
        <f t="shared" si="18"/>
        <v>0</v>
      </c>
      <c r="U118" s="109">
        <f t="shared" si="19"/>
        <v>0</v>
      </c>
      <c r="V118" s="110">
        <f t="shared" si="20"/>
        <v>166600</v>
      </c>
      <c r="W118" s="100"/>
      <c r="X118" s="100"/>
    </row>
    <row r="119" spans="1:24" ht="25.5" hidden="1" customHeight="1">
      <c r="A119" s="1"/>
      <c r="B119" s="1"/>
      <c r="C119" s="13"/>
      <c r="D119" s="13"/>
      <c r="E119" s="13"/>
      <c r="F119" s="14"/>
      <c r="G119" s="27" t="s">
        <v>121</v>
      </c>
      <c r="H119" s="64">
        <v>84714</v>
      </c>
      <c r="I119" s="65">
        <v>44095</v>
      </c>
      <c r="J119" s="25" t="s">
        <v>122</v>
      </c>
      <c r="K119" s="13"/>
      <c r="L119" s="29" t="s">
        <v>144</v>
      </c>
      <c r="M119" s="124">
        <v>1</v>
      </c>
      <c r="N119" s="95">
        <v>0</v>
      </c>
      <c r="O119" s="108">
        <f t="shared" si="14"/>
        <v>0</v>
      </c>
      <c r="P119" s="108">
        <f t="shared" si="15"/>
        <v>0</v>
      </c>
      <c r="Q119" s="108">
        <f t="shared" si="16"/>
        <v>0</v>
      </c>
      <c r="R119" s="113">
        <v>200000</v>
      </c>
      <c r="S119" s="102">
        <f t="shared" si="17"/>
        <v>200000</v>
      </c>
      <c r="T119" s="95">
        <f t="shared" si="18"/>
        <v>38000</v>
      </c>
      <c r="U119" s="109">
        <f t="shared" si="19"/>
        <v>238000</v>
      </c>
      <c r="V119" s="110">
        <f t="shared" si="20"/>
        <v>238000</v>
      </c>
      <c r="W119" s="100"/>
      <c r="X119" s="100"/>
    </row>
    <row r="120" spans="1:24" ht="25.5" hidden="1" customHeight="1">
      <c r="A120" s="1"/>
      <c r="B120" s="1"/>
      <c r="C120" s="13"/>
      <c r="D120" s="13"/>
      <c r="E120" s="13"/>
      <c r="F120" s="14"/>
      <c r="G120" s="27" t="s">
        <v>121</v>
      </c>
      <c r="H120" s="64">
        <v>84714</v>
      </c>
      <c r="I120" s="65">
        <v>44095</v>
      </c>
      <c r="J120" s="25" t="s">
        <v>122</v>
      </c>
      <c r="K120" s="13"/>
      <c r="L120" s="13" t="s">
        <v>145</v>
      </c>
      <c r="M120" s="124">
        <v>1</v>
      </c>
      <c r="N120" s="95">
        <v>0</v>
      </c>
      <c r="O120" s="108">
        <f t="shared" si="14"/>
        <v>0</v>
      </c>
      <c r="P120" s="108">
        <f t="shared" si="15"/>
        <v>0</v>
      </c>
      <c r="Q120" s="108">
        <f t="shared" si="16"/>
        <v>0</v>
      </c>
      <c r="R120" s="113">
        <v>20690</v>
      </c>
      <c r="S120" s="102">
        <f t="shared" si="17"/>
        <v>20690</v>
      </c>
      <c r="T120" s="95">
        <f t="shared" si="18"/>
        <v>3931.1</v>
      </c>
      <c r="U120" s="109">
        <f t="shared" si="19"/>
        <v>24621.1</v>
      </c>
      <c r="V120" s="110">
        <f t="shared" si="20"/>
        <v>24621.1</v>
      </c>
      <c r="W120" s="100"/>
      <c r="X120" s="100"/>
    </row>
    <row r="121" spans="1:24" ht="25.5" hidden="1" customHeight="1">
      <c r="A121" s="1"/>
      <c r="B121" s="1"/>
      <c r="C121" s="13"/>
      <c r="D121" s="13"/>
      <c r="E121" s="13"/>
      <c r="F121" s="14"/>
      <c r="G121" s="27" t="s">
        <v>121</v>
      </c>
      <c r="H121" s="64">
        <v>84714</v>
      </c>
      <c r="I121" s="65">
        <v>44095</v>
      </c>
      <c r="J121" s="25" t="s">
        <v>122</v>
      </c>
      <c r="K121" s="13"/>
      <c r="L121" s="13" t="s">
        <v>146</v>
      </c>
      <c r="M121" s="124">
        <v>4</v>
      </c>
      <c r="N121" s="95">
        <v>0</v>
      </c>
      <c r="O121" s="108">
        <f t="shared" si="14"/>
        <v>0</v>
      </c>
      <c r="P121" s="108">
        <f t="shared" si="15"/>
        <v>0</v>
      </c>
      <c r="Q121" s="108">
        <f t="shared" si="16"/>
        <v>0</v>
      </c>
      <c r="R121" s="113">
        <v>6501</v>
      </c>
      <c r="S121" s="102">
        <f t="shared" si="17"/>
        <v>26004</v>
      </c>
      <c r="T121" s="95">
        <f t="shared" si="18"/>
        <v>4940.76</v>
      </c>
      <c r="U121" s="109">
        <f t="shared" si="19"/>
        <v>30944.760000000002</v>
      </c>
      <c r="V121" s="110">
        <f t="shared" si="20"/>
        <v>30944.760000000002</v>
      </c>
      <c r="W121" s="100"/>
      <c r="X121" s="100"/>
    </row>
    <row r="122" spans="1:24" ht="25.5" hidden="1" customHeight="1">
      <c r="A122" s="1"/>
      <c r="B122" s="1"/>
      <c r="C122" s="13"/>
      <c r="D122" s="13"/>
      <c r="E122" s="13"/>
      <c r="F122" s="14"/>
      <c r="G122" s="27" t="s">
        <v>121</v>
      </c>
      <c r="H122" s="64">
        <v>84714</v>
      </c>
      <c r="I122" s="65">
        <v>44095</v>
      </c>
      <c r="J122" s="25" t="s">
        <v>122</v>
      </c>
      <c r="K122" s="13"/>
      <c r="L122" s="13" t="s">
        <v>147</v>
      </c>
      <c r="M122" s="124">
        <v>1</v>
      </c>
      <c r="N122" s="95">
        <v>17385</v>
      </c>
      <c r="O122" s="108">
        <f t="shared" si="14"/>
        <v>17385</v>
      </c>
      <c r="P122" s="108">
        <f t="shared" si="15"/>
        <v>3303.15</v>
      </c>
      <c r="Q122" s="108">
        <f t="shared" si="16"/>
        <v>20688.150000000001</v>
      </c>
      <c r="R122" s="96">
        <v>0</v>
      </c>
      <c r="S122" s="102">
        <f t="shared" si="17"/>
        <v>0</v>
      </c>
      <c r="T122" s="95">
        <f t="shared" si="18"/>
        <v>0</v>
      </c>
      <c r="U122" s="109">
        <f t="shared" si="19"/>
        <v>0</v>
      </c>
      <c r="V122" s="110">
        <f t="shared" si="20"/>
        <v>20688.150000000001</v>
      </c>
      <c r="W122" s="100"/>
      <c r="X122" s="100"/>
    </row>
    <row r="123" spans="1:24" ht="25.5" hidden="1" customHeight="1">
      <c r="A123" s="1"/>
      <c r="B123" s="1"/>
      <c r="C123" s="13"/>
      <c r="D123" s="13"/>
      <c r="E123" s="13"/>
      <c r="F123" s="14"/>
      <c r="G123" s="27" t="s">
        <v>121</v>
      </c>
      <c r="H123" s="64">
        <v>84714</v>
      </c>
      <c r="I123" s="65">
        <v>44095</v>
      </c>
      <c r="J123" s="25" t="s">
        <v>122</v>
      </c>
      <c r="K123" s="13"/>
      <c r="L123" s="13" t="s">
        <v>148</v>
      </c>
      <c r="M123" s="124">
        <v>6</v>
      </c>
      <c r="N123" s="95">
        <v>22396</v>
      </c>
      <c r="O123" s="108">
        <f t="shared" si="14"/>
        <v>134376</v>
      </c>
      <c r="P123" s="108">
        <f t="shared" si="15"/>
        <v>25531.439999999999</v>
      </c>
      <c r="Q123" s="108">
        <f t="shared" si="16"/>
        <v>159907.44</v>
      </c>
      <c r="R123" s="96">
        <v>0</v>
      </c>
      <c r="S123" s="102">
        <f t="shared" si="17"/>
        <v>0</v>
      </c>
      <c r="T123" s="95">
        <f t="shared" si="18"/>
        <v>0</v>
      </c>
      <c r="U123" s="109">
        <f t="shared" si="19"/>
        <v>0</v>
      </c>
      <c r="V123" s="110">
        <f t="shared" si="20"/>
        <v>159907.44</v>
      </c>
      <c r="W123" s="100"/>
      <c r="X123" s="100"/>
    </row>
    <row r="124" spans="1:24" ht="25.5" hidden="1" customHeight="1">
      <c r="A124" s="1"/>
      <c r="B124" s="1"/>
      <c r="C124" s="13"/>
      <c r="D124" s="13"/>
      <c r="E124" s="13"/>
      <c r="F124" s="14"/>
      <c r="G124" s="27" t="s">
        <v>121</v>
      </c>
      <c r="H124" s="64">
        <v>84714</v>
      </c>
      <c r="I124" s="65">
        <v>44095</v>
      </c>
      <c r="J124" s="25" t="s">
        <v>122</v>
      </c>
      <c r="K124" s="13"/>
      <c r="L124" s="13" t="s">
        <v>149</v>
      </c>
      <c r="M124" s="124">
        <v>1</v>
      </c>
      <c r="N124" s="95">
        <v>0</v>
      </c>
      <c r="O124" s="108">
        <f t="shared" si="14"/>
        <v>0</v>
      </c>
      <c r="P124" s="108">
        <f t="shared" si="15"/>
        <v>0</v>
      </c>
      <c r="Q124" s="108">
        <f t="shared" si="16"/>
        <v>0</v>
      </c>
      <c r="R124" s="113">
        <v>26139</v>
      </c>
      <c r="S124" s="102">
        <f t="shared" si="17"/>
        <v>26139</v>
      </c>
      <c r="T124" s="95">
        <f t="shared" si="18"/>
        <v>4966.41</v>
      </c>
      <c r="U124" s="109">
        <f t="shared" si="19"/>
        <v>31105.41</v>
      </c>
      <c r="V124" s="110">
        <f t="shared" si="20"/>
        <v>31105.41</v>
      </c>
      <c r="W124" s="100"/>
      <c r="X124" s="100"/>
    </row>
    <row r="125" spans="1:24" ht="25.5" hidden="1" customHeight="1">
      <c r="A125" s="1"/>
      <c r="B125" s="1"/>
      <c r="C125" s="13"/>
      <c r="D125" s="13"/>
      <c r="E125" s="13"/>
      <c r="F125" s="14"/>
      <c r="G125" s="27" t="s">
        <v>121</v>
      </c>
      <c r="H125" s="64">
        <v>84714</v>
      </c>
      <c r="I125" s="65">
        <v>44095</v>
      </c>
      <c r="J125" s="25" t="s">
        <v>122</v>
      </c>
      <c r="K125" s="13"/>
      <c r="L125" s="13" t="s">
        <v>150</v>
      </c>
      <c r="M125" s="124">
        <v>2</v>
      </c>
      <c r="N125" s="95">
        <v>0</v>
      </c>
      <c r="O125" s="108">
        <f t="shared" si="14"/>
        <v>0</v>
      </c>
      <c r="P125" s="108">
        <f t="shared" si="15"/>
        <v>0</v>
      </c>
      <c r="Q125" s="108">
        <f t="shared" si="16"/>
        <v>0</v>
      </c>
      <c r="R125" s="113">
        <v>29039</v>
      </c>
      <c r="S125" s="102">
        <f t="shared" si="17"/>
        <v>58078</v>
      </c>
      <c r="T125" s="95">
        <f t="shared" si="18"/>
        <v>11034.82</v>
      </c>
      <c r="U125" s="109">
        <f t="shared" si="19"/>
        <v>69112.820000000007</v>
      </c>
      <c r="V125" s="110">
        <f t="shared" si="20"/>
        <v>69112.820000000007</v>
      </c>
      <c r="W125" s="100"/>
      <c r="X125" s="100"/>
    </row>
    <row r="126" spans="1:24" ht="25.5" hidden="1" customHeight="1">
      <c r="A126" s="1"/>
      <c r="B126" s="1"/>
      <c r="C126" s="13"/>
      <c r="D126" s="13"/>
      <c r="E126" s="13"/>
      <c r="F126" s="14"/>
      <c r="G126" s="27" t="s">
        <v>121</v>
      </c>
      <c r="H126" s="64">
        <v>84714</v>
      </c>
      <c r="I126" s="65">
        <v>44095</v>
      </c>
      <c r="J126" s="25" t="s">
        <v>122</v>
      </c>
      <c r="K126" s="13"/>
      <c r="L126" s="13" t="s">
        <v>151</v>
      </c>
      <c r="M126" s="124">
        <v>1</v>
      </c>
      <c r="N126" s="95">
        <v>0</v>
      </c>
      <c r="O126" s="108">
        <f t="shared" si="14"/>
        <v>0</v>
      </c>
      <c r="P126" s="108">
        <f t="shared" si="15"/>
        <v>0</v>
      </c>
      <c r="Q126" s="108">
        <f t="shared" si="16"/>
        <v>0</v>
      </c>
      <c r="R126" s="113">
        <v>80000</v>
      </c>
      <c r="S126" s="102">
        <f t="shared" si="17"/>
        <v>80000</v>
      </c>
      <c r="T126" s="95">
        <f t="shared" si="18"/>
        <v>15200</v>
      </c>
      <c r="U126" s="109">
        <f t="shared" si="19"/>
        <v>95200</v>
      </c>
      <c r="V126" s="110">
        <f t="shared" si="20"/>
        <v>95200</v>
      </c>
      <c r="W126" s="100"/>
      <c r="X126" s="100"/>
    </row>
    <row r="127" spans="1:24" ht="25.5" hidden="1" customHeight="1">
      <c r="A127" s="1"/>
      <c r="B127" s="1"/>
      <c r="C127" s="13"/>
      <c r="D127" s="13"/>
      <c r="E127" s="13"/>
      <c r="F127" s="14"/>
      <c r="G127" s="27" t="s">
        <v>121</v>
      </c>
      <c r="H127" s="64">
        <v>84714</v>
      </c>
      <c r="I127" s="65">
        <v>44095</v>
      </c>
      <c r="J127" s="25" t="s">
        <v>122</v>
      </c>
      <c r="K127" s="13"/>
      <c r="L127" s="13" t="s">
        <v>152</v>
      </c>
      <c r="M127" s="124">
        <v>1</v>
      </c>
      <c r="N127" s="95">
        <v>0</v>
      </c>
      <c r="O127" s="108">
        <f t="shared" si="14"/>
        <v>0</v>
      </c>
      <c r="P127" s="108">
        <f t="shared" si="15"/>
        <v>0</v>
      </c>
      <c r="Q127" s="108">
        <f t="shared" si="16"/>
        <v>0</v>
      </c>
      <c r="R127" s="113">
        <v>48710</v>
      </c>
      <c r="S127" s="102">
        <f t="shared" si="17"/>
        <v>48710</v>
      </c>
      <c r="T127" s="95">
        <f t="shared" si="18"/>
        <v>9254.9</v>
      </c>
      <c r="U127" s="109">
        <f t="shared" si="19"/>
        <v>57964.9</v>
      </c>
      <c r="V127" s="110">
        <f t="shared" si="20"/>
        <v>57964.9</v>
      </c>
      <c r="W127" s="117"/>
      <c r="X127" s="100"/>
    </row>
    <row r="128" spans="1:24" ht="25.5" hidden="1" customHeight="1">
      <c r="A128" s="1"/>
      <c r="B128" s="1"/>
      <c r="C128" s="13"/>
      <c r="D128" s="13"/>
      <c r="E128" s="13"/>
      <c r="F128" s="14"/>
      <c r="G128" s="15"/>
      <c r="H128" s="35">
        <v>81479</v>
      </c>
      <c r="I128" s="36">
        <v>43993</v>
      </c>
      <c r="J128" s="37" t="s">
        <v>153</v>
      </c>
      <c r="K128" s="38" t="s">
        <v>61</v>
      </c>
      <c r="L128" s="38" t="s">
        <v>76</v>
      </c>
      <c r="M128" s="125">
        <v>1</v>
      </c>
      <c r="N128" s="95">
        <v>36302</v>
      </c>
      <c r="O128" s="101">
        <f t="shared" si="14"/>
        <v>36302</v>
      </c>
      <c r="P128" s="101">
        <f t="shared" si="15"/>
        <v>6897.38</v>
      </c>
      <c r="Q128" s="101">
        <f t="shared" si="16"/>
        <v>43199.38</v>
      </c>
      <c r="R128" s="96">
        <v>13801</v>
      </c>
      <c r="S128" s="102">
        <f t="shared" si="17"/>
        <v>13801</v>
      </c>
      <c r="T128" s="95">
        <f t="shared" si="18"/>
        <v>2622.19</v>
      </c>
      <c r="U128" s="102">
        <f t="shared" si="19"/>
        <v>16423.189999999999</v>
      </c>
      <c r="V128" s="103">
        <f t="shared" si="20"/>
        <v>59622.569999999992</v>
      </c>
      <c r="W128" s="100"/>
      <c r="X128" s="100"/>
    </row>
    <row r="129" spans="1:24" ht="25.5" hidden="1" customHeight="1">
      <c r="A129" s="1"/>
      <c r="B129" s="1"/>
      <c r="C129" s="13"/>
      <c r="D129" s="13"/>
      <c r="E129" s="13"/>
      <c r="F129" s="14"/>
      <c r="G129" s="15"/>
      <c r="H129" s="35">
        <v>81479</v>
      </c>
      <c r="I129" s="39"/>
      <c r="J129" s="37" t="s">
        <v>153</v>
      </c>
      <c r="K129" s="38" t="s">
        <v>61</v>
      </c>
      <c r="L129" s="38" t="s">
        <v>75</v>
      </c>
      <c r="M129" s="125">
        <v>1</v>
      </c>
      <c r="N129" s="95">
        <v>25412</v>
      </c>
      <c r="O129" s="101">
        <f t="shared" si="14"/>
        <v>25412</v>
      </c>
      <c r="P129" s="101">
        <f t="shared" si="15"/>
        <v>4828.28</v>
      </c>
      <c r="Q129" s="101">
        <f t="shared" si="16"/>
        <v>30240.28</v>
      </c>
      <c r="R129" s="96">
        <v>17941</v>
      </c>
      <c r="S129" s="102">
        <f t="shared" si="17"/>
        <v>17941</v>
      </c>
      <c r="T129" s="95">
        <f t="shared" si="18"/>
        <v>3408.79</v>
      </c>
      <c r="U129" s="102">
        <f t="shared" si="19"/>
        <v>21349.79</v>
      </c>
      <c r="V129" s="103">
        <f t="shared" si="20"/>
        <v>51590.07</v>
      </c>
      <c r="W129" s="100"/>
      <c r="X129" s="100"/>
    </row>
    <row r="130" spans="1:24" ht="25.5" hidden="1" customHeight="1">
      <c r="A130" s="1"/>
      <c r="B130" s="1"/>
      <c r="C130" s="13"/>
      <c r="D130" s="13"/>
      <c r="E130" s="13"/>
      <c r="F130" s="14"/>
      <c r="G130" s="15"/>
      <c r="H130" s="35">
        <v>81479</v>
      </c>
      <c r="I130" s="39"/>
      <c r="J130" s="37" t="s">
        <v>153</v>
      </c>
      <c r="K130" s="38" t="s">
        <v>61</v>
      </c>
      <c r="L130" s="38" t="s">
        <v>154</v>
      </c>
      <c r="M130" s="125">
        <v>1</v>
      </c>
      <c r="N130" s="95">
        <v>142941</v>
      </c>
      <c r="O130" s="101">
        <f t="shared" si="14"/>
        <v>142941</v>
      </c>
      <c r="P130" s="101">
        <f t="shared" si="15"/>
        <v>27158.79</v>
      </c>
      <c r="Q130" s="101">
        <f t="shared" si="16"/>
        <v>170099.79</v>
      </c>
      <c r="R130" s="96">
        <v>61984</v>
      </c>
      <c r="S130" s="102">
        <f t="shared" si="17"/>
        <v>61984</v>
      </c>
      <c r="T130" s="95">
        <f t="shared" si="18"/>
        <v>11776.960000000001</v>
      </c>
      <c r="U130" s="102">
        <f t="shared" si="19"/>
        <v>73760.960000000006</v>
      </c>
      <c r="V130" s="103">
        <f t="shared" si="20"/>
        <v>243860.75</v>
      </c>
      <c r="W130" s="100"/>
      <c r="X130" s="100"/>
    </row>
    <row r="131" spans="1:24" ht="25.5" hidden="1" customHeight="1">
      <c r="A131" s="1"/>
      <c r="B131" s="1"/>
      <c r="C131" s="13"/>
      <c r="D131" s="13"/>
      <c r="E131" s="13"/>
      <c r="F131" s="14"/>
      <c r="G131" s="15"/>
      <c r="H131" s="35">
        <v>81479</v>
      </c>
      <c r="I131" s="39"/>
      <c r="J131" s="37" t="s">
        <v>153</v>
      </c>
      <c r="K131" s="38" t="s">
        <v>71</v>
      </c>
      <c r="L131" s="38" t="s">
        <v>155</v>
      </c>
      <c r="M131" s="125">
        <v>1</v>
      </c>
      <c r="N131" s="95">
        <v>30630</v>
      </c>
      <c r="O131" s="101">
        <f t="shared" si="14"/>
        <v>30630</v>
      </c>
      <c r="P131" s="101">
        <f t="shared" si="15"/>
        <v>5819.7</v>
      </c>
      <c r="Q131" s="101">
        <f t="shared" si="16"/>
        <v>36449.699999999997</v>
      </c>
      <c r="R131" s="96">
        <v>0</v>
      </c>
      <c r="S131" s="102">
        <f t="shared" si="17"/>
        <v>0</v>
      </c>
      <c r="T131" s="95">
        <f t="shared" si="18"/>
        <v>0</v>
      </c>
      <c r="U131" s="102">
        <f t="shared" si="19"/>
        <v>0</v>
      </c>
      <c r="V131" s="103">
        <f t="shared" si="20"/>
        <v>36449.699999999997</v>
      </c>
      <c r="W131" s="100"/>
      <c r="X131" s="100"/>
    </row>
    <row r="132" spans="1:24" ht="25.5" hidden="1" customHeight="1">
      <c r="A132" s="1"/>
      <c r="B132" s="1"/>
      <c r="C132" s="13"/>
      <c r="D132" s="13"/>
      <c r="E132" s="13"/>
      <c r="F132" s="14"/>
      <c r="G132" s="15"/>
      <c r="H132" s="35">
        <v>81479</v>
      </c>
      <c r="I132" s="39"/>
      <c r="J132" s="37" t="s">
        <v>153</v>
      </c>
      <c r="K132" s="38" t="s">
        <v>61</v>
      </c>
      <c r="L132" s="38" t="s">
        <v>148</v>
      </c>
      <c r="M132" s="125">
        <v>6</v>
      </c>
      <c r="N132" s="95">
        <v>29042</v>
      </c>
      <c r="O132" s="101">
        <f t="shared" si="14"/>
        <v>174252</v>
      </c>
      <c r="P132" s="101">
        <f t="shared" si="15"/>
        <v>33107.879999999997</v>
      </c>
      <c r="Q132" s="101">
        <f t="shared" si="16"/>
        <v>207359.88</v>
      </c>
      <c r="R132" s="96">
        <v>0</v>
      </c>
      <c r="S132" s="102">
        <f t="shared" si="17"/>
        <v>0</v>
      </c>
      <c r="T132" s="95">
        <f t="shared" si="18"/>
        <v>0</v>
      </c>
      <c r="U132" s="102">
        <f t="shared" si="19"/>
        <v>0</v>
      </c>
      <c r="V132" s="103">
        <f t="shared" si="20"/>
        <v>207359.88</v>
      </c>
      <c r="W132" s="100"/>
      <c r="X132" s="100"/>
    </row>
    <row r="133" spans="1:24" ht="25.5" hidden="1" customHeight="1">
      <c r="A133" s="1"/>
      <c r="B133" s="1"/>
      <c r="C133" s="13"/>
      <c r="D133" s="13"/>
      <c r="E133" s="13"/>
      <c r="F133" s="14"/>
      <c r="G133" s="15"/>
      <c r="H133" s="35">
        <v>81479</v>
      </c>
      <c r="I133" s="36">
        <v>43993</v>
      </c>
      <c r="J133" s="37" t="s">
        <v>156</v>
      </c>
      <c r="K133" s="38" t="s">
        <v>61</v>
      </c>
      <c r="L133" s="38" t="s">
        <v>157</v>
      </c>
      <c r="M133" s="125">
        <v>1</v>
      </c>
      <c r="N133" s="95">
        <v>18908</v>
      </c>
      <c r="O133" s="101">
        <f t="shared" si="14"/>
        <v>18908</v>
      </c>
      <c r="P133" s="101">
        <f t="shared" si="15"/>
        <v>3592.52</v>
      </c>
      <c r="Q133" s="101">
        <f t="shared" si="16"/>
        <v>22500.52</v>
      </c>
      <c r="R133" s="96">
        <v>0</v>
      </c>
      <c r="S133" s="102">
        <f t="shared" si="17"/>
        <v>0</v>
      </c>
      <c r="T133" s="95">
        <f t="shared" si="18"/>
        <v>0</v>
      </c>
      <c r="U133" s="102">
        <f t="shared" si="19"/>
        <v>0</v>
      </c>
      <c r="V133" s="103">
        <f t="shared" si="20"/>
        <v>22500.52</v>
      </c>
      <c r="W133" s="100"/>
      <c r="X133" s="100"/>
    </row>
    <row r="134" spans="1:24" ht="25.5" hidden="1" customHeight="1">
      <c r="A134" s="1"/>
      <c r="B134" s="1"/>
      <c r="C134" s="13"/>
      <c r="D134" s="13"/>
      <c r="E134" s="13"/>
      <c r="F134" s="14"/>
      <c r="G134" s="15"/>
      <c r="H134" s="35">
        <v>86000</v>
      </c>
      <c r="I134" s="36">
        <v>44179</v>
      </c>
      <c r="J134" s="37" t="s">
        <v>158</v>
      </c>
      <c r="K134" s="38" t="s">
        <v>71</v>
      </c>
      <c r="L134" s="38" t="s">
        <v>159</v>
      </c>
      <c r="M134" s="125">
        <v>2</v>
      </c>
      <c r="N134" s="95">
        <v>196623</v>
      </c>
      <c r="O134" s="101">
        <f t="shared" si="14"/>
        <v>393246</v>
      </c>
      <c r="P134" s="101">
        <f t="shared" si="15"/>
        <v>74716.740000000005</v>
      </c>
      <c r="Q134" s="101">
        <f t="shared" si="16"/>
        <v>467962.74</v>
      </c>
      <c r="R134" s="96">
        <v>7855</v>
      </c>
      <c r="S134" s="102">
        <f t="shared" si="17"/>
        <v>15710</v>
      </c>
      <c r="T134" s="95">
        <f t="shared" si="18"/>
        <v>2984.9</v>
      </c>
      <c r="U134" s="102">
        <f t="shared" si="19"/>
        <v>18694.900000000001</v>
      </c>
      <c r="V134" s="103">
        <f t="shared" si="20"/>
        <v>486657.64</v>
      </c>
      <c r="W134" s="100"/>
      <c r="X134" s="100"/>
    </row>
    <row r="135" spans="1:24" ht="25.5" hidden="1" customHeight="1">
      <c r="A135" s="1"/>
      <c r="B135" s="1"/>
      <c r="C135" s="13"/>
      <c r="D135" s="13"/>
      <c r="E135" s="13"/>
      <c r="F135" s="14"/>
      <c r="G135" s="15"/>
      <c r="H135" s="35">
        <v>86000</v>
      </c>
      <c r="I135" s="36">
        <v>44179</v>
      </c>
      <c r="J135" s="37" t="s">
        <v>158</v>
      </c>
      <c r="K135" s="38" t="s">
        <v>71</v>
      </c>
      <c r="L135" s="38" t="s">
        <v>160</v>
      </c>
      <c r="M135" s="125">
        <v>1</v>
      </c>
      <c r="N135" s="95">
        <v>20690</v>
      </c>
      <c r="O135" s="101">
        <f t="shared" si="14"/>
        <v>20690</v>
      </c>
      <c r="P135" s="101">
        <f t="shared" si="15"/>
        <v>3931.1</v>
      </c>
      <c r="Q135" s="101">
        <f t="shared" si="16"/>
        <v>24621.1</v>
      </c>
      <c r="R135" s="96">
        <v>0</v>
      </c>
      <c r="S135" s="102">
        <f t="shared" si="17"/>
        <v>0</v>
      </c>
      <c r="T135" s="95">
        <f t="shared" si="18"/>
        <v>0</v>
      </c>
      <c r="U135" s="102">
        <f t="shared" si="19"/>
        <v>0</v>
      </c>
      <c r="V135" s="103">
        <f t="shared" si="20"/>
        <v>24621.1</v>
      </c>
      <c r="W135" s="100"/>
      <c r="X135" s="100"/>
    </row>
    <row r="136" spans="1:24" ht="25.5" hidden="1" customHeight="1">
      <c r="A136" s="1"/>
      <c r="B136" s="1"/>
      <c r="C136" s="13"/>
      <c r="D136" s="13"/>
      <c r="E136" s="13"/>
      <c r="F136" s="14"/>
      <c r="G136" s="15"/>
      <c r="H136" s="35">
        <v>86000</v>
      </c>
      <c r="I136" s="36">
        <v>44179</v>
      </c>
      <c r="J136" s="37" t="s">
        <v>158</v>
      </c>
      <c r="K136" s="38" t="s">
        <v>71</v>
      </c>
      <c r="L136" s="38" t="s">
        <v>146</v>
      </c>
      <c r="M136" s="125">
        <v>4</v>
      </c>
      <c r="N136" s="95">
        <v>7259</v>
      </c>
      <c r="O136" s="101">
        <f t="shared" si="14"/>
        <v>29036</v>
      </c>
      <c r="P136" s="101">
        <f t="shared" si="15"/>
        <v>5516.84</v>
      </c>
      <c r="Q136" s="101">
        <f t="shared" si="16"/>
        <v>34552.839999999997</v>
      </c>
      <c r="R136" s="96">
        <v>0</v>
      </c>
      <c r="S136" s="102">
        <f t="shared" si="17"/>
        <v>0</v>
      </c>
      <c r="T136" s="95">
        <f t="shared" si="18"/>
        <v>0</v>
      </c>
      <c r="U136" s="102">
        <f t="shared" si="19"/>
        <v>0</v>
      </c>
      <c r="V136" s="103">
        <f t="shared" si="20"/>
        <v>34552.839999999997</v>
      </c>
      <c r="W136" s="100"/>
      <c r="X136" s="100"/>
    </row>
    <row r="137" spans="1:24" s="68" customFormat="1" ht="25.5" hidden="1" customHeight="1">
      <c r="A137" s="59"/>
      <c r="B137" s="59"/>
      <c r="C137" s="61"/>
      <c r="D137" s="61"/>
      <c r="E137" s="61"/>
      <c r="F137" s="62"/>
      <c r="G137" s="63"/>
      <c r="H137" s="71">
        <v>84714</v>
      </c>
      <c r="I137" s="72">
        <v>44095</v>
      </c>
      <c r="J137" s="80" t="s">
        <v>122</v>
      </c>
      <c r="K137" s="74" t="s">
        <v>71</v>
      </c>
      <c r="L137" s="74" t="s">
        <v>123</v>
      </c>
      <c r="M137" s="126"/>
      <c r="N137" s="111">
        <v>72000</v>
      </c>
      <c r="O137" s="114">
        <f t="shared" si="14"/>
        <v>0</v>
      </c>
      <c r="P137" s="114">
        <f t="shared" si="15"/>
        <v>0</v>
      </c>
      <c r="Q137" s="114">
        <f t="shared" si="16"/>
        <v>0</v>
      </c>
      <c r="R137" s="118">
        <v>70000</v>
      </c>
      <c r="S137" s="114">
        <f t="shared" si="17"/>
        <v>0</v>
      </c>
      <c r="T137" s="111">
        <f t="shared" si="18"/>
        <v>0</v>
      </c>
      <c r="U137" s="114">
        <f t="shared" si="19"/>
        <v>0</v>
      </c>
      <c r="V137" s="119">
        <f t="shared" si="20"/>
        <v>0</v>
      </c>
      <c r="W137" s="100"/>
      <c r="X137" s="116"/>
    </row>
    <row r="138" spans="1:24" ht="25.5" hidden="1" customHeight="1">
      <c r="A138" s="1"/>
      <c r="B138" s="1"/>
      <c r="C138" s="13"/>
      <c r="D138" s="13"/>
      <c r="E138" s="13"/>
      <c r="F138" s="14"/>
      <c r="G138" s="15"/>
      <c r="H138" s="71">
        <v>84714</v>
      </c>
      <c r="I138" s="72">
        <v>44095</v>
      </c>
      <c r="J138" s="80" t="s">
        <v>122</v>
      </c>
      <c r="K138" s="38" t="s">
        <v>71</v>
      </c>
      <c r="L138" s="38" t="s">
        <v>124</v>
      </c>
      <c r="M138" s="125"/>
      <c r="N138" s="95">
        <v>96690</v>
      </c>
      <c r="O138" s="101">
        <f t="shared" si="14"/>
        <v>0</v>
      </c>
      <c r="P138" s="101">
        <f t="shared" si="15"/>
        <v>0</v>
      </c>
      <c r="Q138" s="101">
        <f t="shared" si="16"/>
        <v>0</v>
      </c>
      <c r="R138" s="96">
        <v>86074</v>
      </c>
      <c r="S138" s="102">
        <f t="shared" si="17"/>
        <v>0</v>
      </c>
      <c r="T138" s="95">
        <f t="shared" si="18"/>
        <v>0</v>
      </c>
      <c r="U138" s="102">
        <f t="shared" si="19"/>
        <v>0</v>
      </c>
      <c r="V138" s="103">
        <f t="shared" si="20"/>
        <v>0</v>
      </c>
      <c r="W138" s="100"/>
      <c r="X138" s="100"/>
    </row>
    <row r="139" spans="1:24" ht="25.5" hidden="1" customHeight="1">
      <c r="A139" s="1"/>
      <c r="B139" s="1"/>
      <c r="C139" s="13"/>
      <c r="D139" s="13"/>
      <c r="E139" s="13"/>
      <c r="F139" s="14"/>
      <c r="G139" s="15"/>
      <c r="H139" s="71">
        <v>84714</v>
      </c>
      <c r="I139" s="72">
        <v>44095</v>
      </c>
      <c r="J139" s="80" t="s">
        <v>122</v>
      </c>
      <c r="K139" s="38" t="s">
        <v>71</v>
      </c>
      <c r="L139" s="38" t="s">
        <v>125</v>
      </c>
      <c r="M139" s="125"/>
      <c r="N139" s="95">
        <v>21216</v>
      </c>
      <c r="O139" s="101">
        <f t="shared" si="14"/>
        <v>0</v>
      </c>
      <c r="P139" s="101">
        <f t="shared" si="15"/>
        <v>0</v>
      </c>
      <c r="Q139" s="101">
        <f t="shared" si="16"/>
        <v>0</v>
      </c>
      <c r="R139" s="96">
        <v>11965</v>
      </c>
      <c r="S139" s="102">
        <f t="shared" si="17"/>
        <v>0</v>
      </c>
      <c r="T139" s="95">
        <f t="shared" si="18"/>
        <v>0</v>
      </c>
      <c r="U139" s="102">
        <f t="shared" si="19"/>
        <v>0</v>
      </c>
      <c r="V139" s="103">
        <f t="shared" si="20"/>
        <v>0</v>
      </c>
      <c r="W139" s="100"/>
      <c r="X139" s="100"/>
    </row>
    <row r="140" spans="1:24" ht="25.5" hidden="1" customHeight="1">
      <c r="A140" s="1"/>
      <c r="B140" s="1"/>
      <c r="C140" s="13"/>
      <c r="D140" s="13"/>
      <c r="E140" s="13"/>
      <c r="F140" s="14"/>
      <c r="G140" s="15"/>
      <c r="H140" s="71">
        <v>84714</v>
      </c>
      <c r="I140" s="72">
        <v>44095</v>
      </c>
      <c r="J140" s="80" t="s">
        <v>122</v>
      </c>
      <c r="K140" s="38" t="s">
        <v>71</v>
      </c>
      <c r="L140" s="38" t="s">
        <v>126</v>
      </c>
      <c r="M140" s="125"/>
      <c r="N140" s="95">
        <v>30207</v>
      </c>
      <c r="O140" s="101">
        <f t="shared" si="14"/>
        <v>0</v>
      </c>
      <c r="P140" s="101">
        <f t="shared" si="15"/>
        <v>0</v>
      </c>
      <c r="Q140" s="101">
        <f t="shared" si="16"/>
        <v>0</v>
      </c>
      <c r="R140" s="96">
        <v>10243</v>
      </c>
      <c r="S140" s="102">
        <f t="shared" si="17"/>
        <v>0</v>
      </c>
      <c r="T140" s="95">
        <f t="shared" si="18"/>
        <v>0</v>
      </c>
      <c r="U140" s="102">
        <f t="shared" si="19"/>
        <v>0</v>
      </c>
      <c r="V140" s="103">
        <f t="shared" si="20"/>
        <v>0</v>
      </c>
      <c r="W140" s="100"/>
      <c r="X140" s="100"/>
    </row>
    <row r="141" spans="1:24" ht="25.5" hidden="1" customHeight="1">
      <c r="A141" s="1"/>
      <c r="B141" s="1"/>
      <c r="C141" s="13"/>
      <c r="D141" s="13"/>
      <c r="E141" s="13"/>
      <c r="F141" s="14"/>
      <c r="H141" s="71">
        <v>84714</v>
      </c>
      <c r="I141" s="72">
        <v>44095</v>
      </c>
      <c r="J141" s="80" t="s">
        <v>122</v>
      </c>
      <c r="K141" s="38" t="s">
        <v>71</v>
      </c>
      <c r="L141" s="38" t="s">
        <v>161</v>
      </c>
      <c r="M141" s="125"/>
      <c r="N141" s="95">
        <v>16074</v>
      </c>
      <c r="O141" s="101">
        <f t="shared" si="14"/>
        <v>0</v>
      </c>
      <c r="P141" s="101">
        <f t="shared" si="15"/>
        <v>0</v>
      </c>
      <c r="Q141" s="101">
        <f t="shared" si="16"/>
        <v>0</v>
      </c>
      <c r="R141" s="96">
        <v>13070</v>
      </c>
      <c r="S141" s="102">
        <f t="shared" si="17"/>
        <v>0</v>
      </c>
      <c r="T141" s="95">
        <f t="shared" si="18"/>
        <v>0</v>
      </c>
      <c r="U141" s="102">
        <f t="shared" si="19"/>
        <v>0</v>
      </c>
      <c r="V141" s="103">
        <f t="shared" si="20"/>
        <v>0</v>
      </c>
      <c r="W141" s="100"/>
      <c r="X141" s="100"/>
    </row>
    <row r="142" spans="1:24" ht="25.5" hidden="1" customHeight="1">
      <c r="A142" s="1"/>
      <c r="B142" s="1"/>
      <c r="C142" s="13"/>
      <c r="D142" s="13"/>
      <c r="E142" s="13"/>
      <c r="F142" s="14"/>
      <c r="G142" s="70"/>
      <c r="H142" s="71">
        <v>84714</v>
      </c>
      <c r="I142" s="72">
        <v>44095</v>
      </c>
      <c r="J142" s="80" t="s">
        <v>122</v>
      </c>
      <c r="K142" s="38" t="s">
        <v>71</v>
      </c>
      <c r="L142" s="38" t="s">
        <v>162</v>
      </c>
      <c r="M142" s="125"/>
      <c r="N142" s="95">
        <v>19469</v>
      </c>
      <c r="O142" s="101">
        <f t="shared" si="14"/>
        <v>0</v>
      </c>
      <c r="P142" s="101">
        <f t="shared" si="15"/>
        <v>0</v>
      </c>
      <c r="Q142" s="101">
        <f t="shared" si="16"/>
        <v>0</v>
      </c>
      <c r="R142" s="96">
        <v>0</v>
      </c>
      <c r="S142" s="102">
        <f t="shared" si="17"/>
        <v>0</v>
      </c>
      <c r="T142" s="95">
        <f t="shared" si="18"/>
        <v>0</v>
      </c>
      <c r="U142" s="102">
        <f t="shared" si="19"/>
        <v>0</v>
      </c>
      <c r="V142" s="103">
        <f t="shared" si="20"/>
        <v>0</v>
      </c>
      <c r="W142" s="100"/>
      <c r="X142" s="100"/>
    </row>
    <row r="143" spans="1:24" ht="25.5" hidden="1" customHeight="1">
      <c r="A143" s="1"/>
      <c r="B143" s="1"/>
      <c r="C143" s="13"/>
      <c r="D143" s="13"/>
      <c r="E143" s="13"/>
      <c r="F143" s="14"/>
      <c r="G143" s="15"/>
      <c r="H143" s="71">
        <v>84714</v>
      </c>
      <c r="I143" s="72">
        <v>44095</v>
      </c>
      <c r="J143" s="80" t="s">
        <v>122</v>
      </c>
      <c r="K143" s="38" t="s">
        <v>71</v>
      </c>
      <c r="L143" s="38" t="s">
        <v>163</v>
      </c>
      <c r="M143" s="125"/>
      <c r="N143" s="95">
        <v>18200</v>
      </c>
      <c r="O143" s="101">
        <f t="shared" si="14"/>
        <v>0</v>
      </c>
      <c r="P143" s="101">
        <f t="shared" si="15"/>
        <v>0</v>
      </c>
      <c r="Q143" s="101">
        <f t="shared" si="16"/>
        <v>0</v>
      </c>
      <c r="R143" s="96"/>
      <c r="S143" s="102">
        <f t="shared" si="17"/>
        <v>0</v>
      </c>
      <c r="T143" s="95">
        <f t="shared" si="18"/>
        <v>0</v>
      </c>
      <c r="U143" s="102">
        <f t="shared" si="19"/>
        <v>0</v>
      </c>
      <c r="V143" s="103">
        <f t="shared" si="20"/>
        <v>0</v>
      </c>
      <c r="W143" s="100"/>
      <c r="X143" s="100"/>
    </row>
    <row r="144" spans="1:24" ht="25.5" hidden="1" customHeight="1">
      <c r="A144" s="1"/>
      <c r="B144" s="1"/>
      <c r="C144" s="13"/>
      <c r="D144" s="13"/>
      <c r="E144" s="13"/>
      <c r="F144" s="14"/>
      <c r="G144" s="15"/>
      <c r="H144" s="71">
        <v>84714</v>
      </c>
      <c r="I144" s="72">
        <v>44095</v>
      </c>
      <c r="J144" s="80" t="s">
        <v>122</v>
      </c>
      <c r="K144" s="38" t="s">
        <v>71</v>
      </c>
      <c r="L144" s="38" t="s">
        <v>129</v>
      </c>
      <c r="M144" s="125"/>
      <c r="N144" s="95">
        <v>25365</v>
      </c>
      <c r="O144" s="101">
        <f t="shared" si="14"/>
        <v>0</v>
      </c>
      <c r="P144" s="101">
        <f t="shared" si="15"/>
        <v>0</v>
      </c>
      <c r="Q144" s="101">
        <f t="shared" si="16"/>
        <v>0</v>
      </c>
      <c r="R144" s="96">
        <v>0</v>
      </c>
      <c r="S144" s="102">
        <f t="shared" si="17"/>
        <v>0</v>
      </c>
      <c r="T144" s="95">
        <f t="shared" si="18"/>
        <v>0</v>
      </c>
      <c r="U144" s="102">
        <f t="shared" si="19"/>
        <v>0</v>
      </c>
      <c r="V144" s="103">
        <f t="shared" si="20"/>
        <v>0</v>
      </c>
      <c r="W144" s="100"/>
      <c r="X144" s="100"/>
    </row>
    <row r="145" spans="1:24" ht="25.5" hidden="1" customHeight="1">
      <c r="A145" s="1"/>
      <c r="B145" s="1"/>
      <c r="C145" s="13"/>
      <c r="D145" s="13"/>
      <c r="E145" s="13"/>
      <c r="F145" s="14"/>
      <c r="G145" s="15"/>
      <c r="H145" s="71">
        <v>84714</v>
      </c>
      <c r="I145" s="72">
        <v>44095</v>
      </c>
      <c r="J145" s="80" t="s">
        <v>122</v>
      </c>
      <c r="K145" s="38" t="s">
        <v>71</v>
      </c>
      <c r="L145" s="38" t="s">
        <v>164</v>
      </c>
      <c r="M145" s="125"/>
      <c r="N145" s="95">
        <v>198261</v>
      </c>
      <c r="O145" s="101">
        <f t="shared" si="14"/>
        <v>0</v>
      </c>
      <c r="P145" s="101">
        <f t="shared" si="15"/>
        <v>0</v>
      </c>
      <c r="Q145" s="101">
        <f t="shared" si="16"/>
        <v>0</v>
      </c>
      <c r="R145" s="96">
        <v>58077</v>
      </c>
      <c r="S145" s="102">
        <f t="shared" si="17"/>
        <v>0</v>
      </c>
      <c r="T145" s="95">
        <f t="shared" si="18"/>
        <v>0</v>
      </c>
      <c r="U145" s="102">
        <f t="shared" si="19"/>
        <v>0</v>
      </c>
      <c r="V145" s="103">
        <f t="shared" si="20"/>
        <v>0</v>
      </c>
      <c r="W145" s="100"/>
      <c r="X145" s="100"/>
    </row>
    <row r="146" spans="1:24" ht="25.5" hidden="1" customHeight="1">
      <c r="A146" s="1"/>
      <c r="B146" s="1"/>
      <c r="C146" s="13"/>
      <c r="D146" s="13"/>
      <c r="E146" s="13"/>
      <c r="F146" s="14"/>
      <c r="G146" s="15"/>
      <c r="H146" s="71">
        <v>84714</v>
      </c>
      <c r="I146" s="72">
        <v>44095</v>
      </c>
      <c r="J146" s="80" t="s">
        <v>122</v>
      </c>
      <c r="K146" s="38" t="s">
        <v>71</v>
      </c>
      <c r="L146" s="38" t="s">
        <v>131</v>
      </c>
      <c r="M146" s="125"/>
      <c r="N146" s="95">
        <v>22000</v>
      </c>
      <c r="O146" s="101">
        <f t="shared" si="14"/>
        <v>0</v>
      </c>
      <c r="P146" s="101">
        <f t="shared" si="15"/>
        <v>0</v>
      </c>
      <c r="Q146" s="101">
        <f t="shared" si="16"/>
        <v>0</v>
      </c>
      <c r="R146" s="96"/>
      <c r="S146" s="102">
        <f t="shared" si="17"/>
        <v>0</v>
      </c>
      <c r="T146" s="95">
        <f t="shared" si="18"/>
        <v>0</v>
      </c>
      <c r="U146" s="102">
        <f t="shared" si="19"/>
        <v>0</v>
      </c>
      <c r="V146" s="103">
        <f t="shared" si="20"/>
        <v>0</v>
      </c>
      <c r="W146" s="100"/>
      <c r="X146" s="100"/>
    </row>
    <row r="147" spans="1:24" ht="25.5" hidden="1" customHeight="1">
      <c r="A147" s="1"/>
      <c r="B147" s="1"/>
      <c r="C147" s="13"/>
      <c r="D147" s="13"/>
      <c r="E147" s="13"/>
      <c r="F147" s="14"/>
      <c r="G147" s="15"/>
      <c r="H147" s="71">
        <v>84714</v>
      </c>
      <c r="I147" s="72">
        <v>44095</v>
      </c>
      <c r="J147" s="80" t="s">
        <v>122</v>
      </c>
      <c r="K147" s="38" t="s">
        <v>71</v>
      </c>
      <c r="L147" s="38" t="s">
        <v>132</v>
      </c>
      <c r="M147" s="125"/>
      <c r="N147" s="95">
        <v>190000</v>
      </c>
      <c r="O147" s="101">
        <f t="shared" si="14"/>
        <v>0</v>
      </c>
      <c r="P147" s="101">
        <f t="shared" si="15"/>
        <v>0</v>
      </c>
      <c r="Q147" s="101">
        <f t="shared" si="16"/>
        <v>0</v>
      </c>
      <c r="R147" s="96">
        <v>90000</v>
      </c>
      <c r="S147" s="102">
        <f t="shared" si="17"/>
        <v>0</v>
      </c>
      <c r="T147" s="95">
        <f t="shared" si="18"/>
        <v>0</v>
      </c>
      <c r="U147" s="102">
        <f t="shared" si="19"/>
        <v>0</v>
      </c>
      <c r="V147" s="103">
        <f t="shared" si="20"/>
        <v>0</v>
      </c>
      <c r="W147" s="100"/>
      <c r="X147" s="100"/>
    </row>
    <row r="148" spans="1:24" ht="25.5" hidden="1" customHeight="1">
      <c r="A148" s="1"/>
      <c r="B148" s="1"/>
      <c r="C148" s="13"/>
      <c r="D148" s="13"/>
      <c r="E148" s="13"/>
      <c r="F148" s="14"/>
      <c r="G148" s="15"/>
      <c r="H148" s="71">
        <v>84714</v>
      </c>
      <c r="I148" s="72">
        <v>44095</v>
      </c>
      <c r="J148" s="80" t="s">
        <v>122</v>
      </c>
      <c r="K148" s="38" t="s">
        <v>71</v>
      </c>
      <c r="L148" s="38" t="s">
        <v>165</v>
      </c>
      <c r="M148" s="125"/>
      <c r="N148" s="95">
        <v>50000</v>
      </c>
      <c r="O148" s="101">
        <f t="shared" si="14"/>
        <v>0</v>
      </c>
      <c r="P148" s="101">
        <f t="shared" si="15"/>
        <v>0</v>
      </c>
      <c r="Q148" s="101">
        <f t="shared" si="16"/>
        <v>0</v>
      </c>
      <c r="R148" s="96">
        <v>0</v>
      </c>
      <c r="S148" s="102">
        <f t="shared" si="17"/>
        <v>0</v>
      </c>
      <c r="T148" s="95">
        <f t="shared" si="18"/>
        <v>0</v>
      </c>
      <c r="U148" s="102">
        <f t="shared" si="19"/>
        <v>0</v>
      </c>
      <c r="V148" s="103">
        <f t="shared" si="20"/>
        <v>0</v>
      </c>
      <c r="W148" s="100"/>
      <c r="X148" s="100"/>
    </row>
    <row r="149" spans="1:24" ht="25.5" hidden="1" customHeight="1">
      <c r="A149" s="1"/>
      <c r="B149" s="1"/>
      <c r="C149" s="13"/>
      <c r="D149" s="13"/>
      <c r="E149" s="13"/>
      <c r="F149" s="14"/>
      <c r="G149" s="15"/>
      <c r="H149" s="71">
        <v>84714</v>
      </c>
      <c r="I149" s="72">
        <v>44095</v>
      </c>
      <c r="J149" s="80" t="s">
        <v>122</v>
      </c>
      <c r="K149" s="38" t="s">
        <v>61</v>
      </c>
      <c r="L149" s="38" t="s">
        <v>166</v>
      </c>
      <c r="M149" s="125"/>
      <c r="N149" s="95">
        <v>63252</v>
      </c>
      <c r="O149" s="101">
        <f t="shared" si="14"/>
        <v>0</v>
      </c>
      <c r="P149" s="101">
        <f t="shared" si="15"/>
        <v>0</v>
      </c>
      <c r="Q149" s="101">
        <f t="shared" si="16"/>
        <v>0</v>
      </c>
      <c r="R149" s="96">
        <v>124662</v>
      </c>
      <c r="S149" s="102">
        <f t="shared" si="17"/>
        <v>0</v>
      </c>
      <c r="T149" s="95">
        <f t="shared" si="18"/>
        <v>0</v>
      </c>
      <c r="U149" s="102">
        <f t="shared" si="19"/>
        <v>0</v>
      </c>
      <c r="V149" s="103">
        <f t="shared" si="20"/>
        <v>0</v>
      </c>
      <c r="W149" s="100"/>
      <c r="X149" s="100"/>
    </row>
    <row r="150" spans="1:24" ht="25.5" hidden="1" customHeight="1">
      <c r="A150" s="1"/>
      <c r="B150" s="1"/>
      <c r="C150" s="13"/>
      <c r="D150" s="13"/>
      <c r="E150" s="13"/>
      <c r="F150" s="14"/>
      <c r="G150" s="15"/>
      <c r="H150" s="71">
        <v>84714</v>
      </c>
      <c r="I150" s="72">
        <v>44095</v>
      </c>
      <c r="J150" s="80" t="s">
        <v>122</v>
      </c>
      <c r="K150" s="38" t="s">
        <v>71</v>
      </c>
      <c r="L150" s="38" t="s">
        <v>167</v>
      </c>
      <c r="M150" s="125"/>
      <c r="N150" s="95">
        <v>335000</v>
      </c>
      <c r="O150" s="101">
        <f t="shared" si="14"/>
        <v>0</v>
      </c>
      <c r="P150" s="101">
        <f t="shared" si="15"/>
        <v>0</v>
      </c>
      <c r="Q150" s="101">
        <f t="shared" si="16"/>
        <v>0</v>
      </c>
      <c r="R150" s="96">
        <v>30000</v>
      </c>
      <c r="S150" s="102">
        <f t="shared" si="17"/>
        <v>0</v>
      </c>
      <c r="T150" s="95">
        <f t="shared" si="18"/>
        <v>0</v>
      </c>
      <c r="U150" s="102">
        <f t="shared" si="19"/>
        <v>0</v>
      </c>
      <c r="V150" s="103">
        <f t="shared" si="20"/>
        <v>0</v>
      </c>
      <c r="W150" s="100"/>
      <c r="X150" s="100"/>
    </row>
    <row r="151" spans="1:24" ht="25.5" hidden="1" customHeight="1">
      <c r="A151" s="1"/>
      <c r="B151" s="1"/>
      <c r="C151" s="13"/>
      <c r="D151" s="13"/>
      <c r="E151" s="13"/>
      <c r="F151" s="14"/>
      <c r="G151" s="15"/>
      <c r="H151" s="71">
        <v>84714</v>
      </c>
      <c r="I151" s="72">
        <v>44095</v>
      </c>
      <c r="J151" s="80" t="s">
        <v>122</v>
      </c>
      <c r="K151" s="38" t="s">
        <v>71</v>
      </c>
      <c r="L151" s="38" t="s">
        <v>168</v>
      </c>
      <c r="M151" s="125"/>
      <c r="N151" s="95">
        <v>125700</v>
      </c>
      <c r="O151" s="101">
        <f t="shared" si="14"/>
        <v>0</v>
      </c>
      <c r="P151" s="101">
        <f t="shared" si="15"/>
        <v>0</v>
      </c>
      <c r="Q151" s="101">
        <f t="shared" si="16"/>
        <v>0</v>
      </c>
      <c r="R151" s="96">
        <v>0</v>
      </c>
      <c r="S151" s="102">
        <f t="shared" si="17"/>
        <v>0</v>
      </c>
      <c r="T151" s="95">
        <f t="shared" si="18"/>
        <v>0</v>
      </c>
      <c r="U151" s="102">
        <f t="shared" si="19"/>
        <v>0</v>
      </c>
      <c r="V151" s="103">
        <f t="shared" si="20"/>
        <v>0</v>
      </c>
      <c r="W151" s="100"/>
      <c r="X151" s="100"/>
    </row>
    <row r="152" spans="1:24" ht="25.5" hidden="1" customHeight="1">
      <c r="A152" s="1"/>
      <c r="B152" s="1"/>
      <c r="C152" s="13"/>
      <c r="D152" s="13"/>
      <c r="E152" s="13"/>
      <c r="F152" s="14"/>
      <c r="G152" s="15"/>
      <c r="H152" s="71">
        <v>84714</v>
      </c>
      <c r="I152" s="72">
        <v>44095</v>
      </c>
      <c r="J152" s="80" t="s">
        <v>122</v>
      </c>
      <c r="K152" s="38" t="s">
        <v>71</v>
      </c>
      <c r="L152" s="38" t="s">
        <v>137</v>
      </c>
      <c r="M152" s="125"/>
      <c r="N152" s="95">
        <v>28803</v>
      </c>
      <c r="O152" s="101">
        <f t="shared" si="14"/>
        <v>0</v>
      </c>
      <c r="P152" s="101">
        <f t="shared" si="15"/>
        <v>0</v>
      </c>
      <c r="Q152" s="101">
        <f t="shared" si="16"/>
        <v>0</v>
      </c>
      <c r="R152" s="96">
        <v>0</v>
      </c>
      <c r="S152" s="102">
        <f t="shared" si="17"/>
        <v>0</v>
      </c>
      <c r="T152" s="95">
        <f t="shared" si="18"/>
        <v>0</v>
      </c>
      <c r="U152" s="102">
        <f t="shared" si="19"/>
        <v>0</v>
      </c>
      <c r="V152" s="103">
        <f t="shared" si="20"/>
        <v>0</v>
      </c>
      <c r="W152" s="100"/>
      <c r="X152" s="100"/>
    </row>
    <row r="153" spans="1:24" ht="25.5" hidden="1" customHeight="1">
      <c r="A153" s="1"/>
      <c r="B153" s="1"/>
      <c r="C153" s="13"/>
      <c r="D153" s="13"/>
      <c r="E153" s="13"/>
      <c r="F153" s="14"/>
      <c r="G153" s="15"/>
      <c r="H153" s="71">
        <v>84714</v>
      </c>
      <c r="I153" s="72">
        <v>44095</v>
      </c>
      <c r="J153" s="80" t="s">
        <v>122</v>
      </c>
      <c r="K153" s="38" t="s">
        <v>71</v>
      </c>
      <c r="L153" s="38" t="s">
        <v>138</v>
      </c>
      <c r="M153" s="125"/>
      <c r="N153" s="95">
        <v>235000</v>
      </c>
      <c r="O153" s="101">
        <f t="shared" si="14"/>
        <v>0</v>
      </c>
      <c r="P153" s="101">
        <f t="shared" si="15"/>
        <v>0</v>
      </c>
      <c r="Q153" s="101">
        <f t="shared" si="16"/>
        <v>0</v>
      </c>
      <c r="R153" s="96">
        <v>90000</v>
      </c>
      <c r="S153" s="102">
        <f t="shared" si="17"/>
        <v>0</v>
      </c>
      <c r="T153" s="95">
        <f t="shared" si="18"/>
        <v>0</v>
      </c>
      <c r="U153" s="102">
        <f t="shared" si="19"/>
        <v>0</v>
      </c>
      <c r="V153" s="103">
        <f t="shared" si="20"/>
        <v>0</v>
      </c>
      <c r="W153" s="100"/>
      <c r="X153" s="100"/>
    </row>
    <row r="154" spans="1:24" ht="25.5" hidden="1" customHeight="1">
      <c r="A154" s="1"/>
      <c r="B154" s="1"/>
      <c r="C154" s="13"/>
      <c r="D154" s="13"/>
      <c r="E154" s="13"/>
      <c r="F154" s="14"/>
      <c r="G154" s="15"/>
      <c r="H154" s="71">
        <v>84714</v>
      </c>
      <c r="I154" s="72">
        <v>44095</v>
      </c>
      <c r="J154" s="80" t="s">
        <v>122</v>
      </c>
      <c r="K154" s="38" t="s">
        <v>71</v>
      </c>
      <c r="L154" s="38" t="s">
        <v>139</v>
      </c>
      <c r="M154" s="125"/>
      <c r="N154" s="95">
        <v>195000</v>
      </c>
      <c r="O154" s="101">
        <f t="shared" si="14"/>
        <v>0</v>
      </c>
      <c r="P154" s="101">
        <f t="shared" si="15"/>
        <v>0</v>
      </c>
      <c r="Q154" s="101">
        <f t="shared" si="16"/>
        <v>0</v>
      </c>
      <c r="R154" s="96">
        <v>70000</v>
      </c>
      <c r="S154" s="102">
        <f t="shared" si="17"/>
        <v>0</v>
      </c>
      <c r="T154" s="95">
        <f t="shared" si="18"/>
        <v>0</v>
      </c>
      <c r="U154" s="102">
        <f t="shared" si="19"/>
        <v>0</v>
      </c>
      <c r="V154" s="103">
        <f t="shared" si="20"/>
        <v>0</v>
      </c>
      <c r="W154" s="100"/>
      <c r="X154" s="100"/>
    </row>
    <row r="155" spans="1:24" ht="25.5" hidden="1" customHeight="1">
      <c r="A155" s="1"/>
      <c r="B155" s="1"/>
      <c r="C155" s="13"/>
      <c r="D155" s="13"/>
      <c r="E155" s="13"/>
      <c r="F155" s="14"/>
      <c r="G155" s="15"/>
      <c r="H155" s="71">
        <v>84714</v>
      </c>
      <c r="I155" s="72">
        <v>44095</v>
      </c>
      <c r="J155" s="80" t="s">
        <v>122</v>
      </c>
      <c r="K155" s="38" t="s">
        <v>71</v>
      </c>
      <c r="L155" s="38" t="s">
        <v>140</v>
      </c>
      <c r="M155" s="125"/>
      <c r="N155" s="95">
        <v>182000</v>
      </c>
      <c r="O155" s="101">
        <f t="shared" si="14"/>
        <v>0</v>
      </c>
      <c r="P155" s="101">
        <f t="shared" si="15"/>
        <v>0</v>
      </c>
      <c r="Q155" s="101">
        <f t="shared" si="16"/>
        <v>0</v>
      </c>
      <c r="R155" s="96">
        <v>60000</v>
      </c>
      <c r="S155" s="102">
        <f t="shared" si="17"/>
        <v>0</v>
      </c>
      <c r="T155" s="95">
        <f t="shared" si="18"/>
        <v>0</v>
      </c>
      <c r="U155" s="102">
        <f t="shared" si="19"/>
        <v>0</v>
      </c>
      <c r="V155" s="103">
        <f t="shared" si="20"/>
        <v>0</v>
      </c>
      <c r="W155" s="100"/>
      <c r="X155" s="100"/>
    </row>
    <row r="156" spans="1:24" ht="25.5" hidden="1" customHeight="1">
      <c r="A156" s="1"/>
      <c r="B156" s="1"/>
      <c r="C156" s="13"/>
      <c r="D156" s="13"/>
      <c r="E156" s="13"/>
      <c r="F156" s="14"/>
      <c r="G156" s="15"/>
      <c r="H156" s="71">
        <v>84714</v>
      </c>
      <c r="I156" s="72">
        <v>44095</v>
      </c>
      <c r="J156" s="80" t="s">
        <v>122</v>
      </c>
      <c r="K156" s="38" t="s">
        <v>71</v>
      </c>
      <c r="L156" s="38" t="s">
        <v>141</v>
      </c>
      <c r="M156" s="125"/>
      <c r="N156" s="95">
        <v>195000</v>
      </c>
      <c r="O156" s="101">
        <f t="shared" si="14"/>
        <v>0</v>
      </c>
      <c r="P156" s="101">
        <f t="shared" si="15"/>
        <v>0</v>
      </c>
      <c r="Q156" s="101">
        <f t="shared" si="16"/>
        <v>0</v>
      </c>
      <c r="R156" s="96">
        <v>80000</v>
      </c>
      <c r="S156" s="102">
        <f t="shared" si="17"/>
        <v>0</v>
      </c>
      <c r="T156" s="95">
        <f t="shared" si="18"/>
        <v>0</v>
      </c>
      <c r="U156" s="102">
        <f t="shared" si="19"/>
        <v>0</v>
      </c>
      <c r="V156" s="103">
        <f t="shared" si="20"/>
        <v>0</v>
      </c>
      <c r="W156" s="100"/>
      <c r="X156" s="100"/>
    </row>
    <row r="157" spans="1:24" ht="25.5" hidden="1" customHeight="1">
      <c r="A157" s="1"/>
      <c r="B157" s="1"/>
      <c r="C157" s="13"/>
      <c r="D157" s="13"/>
      <c r="E157" s="13"/>
      <c r="F157" s="14"/>
      <c r="G157" s="15"/>
      <c r="H157" s="71">
        <v>84714</v>
      </c>
      <c r="I157" s="72">
        <v>44095</v>
      </c>
      <c r="J157" s="80" t="s">
        <v>122</v>
      </c>
      <c r="K157" s="38" t="s">
        <v>71</v>
      </c>
      <c r="L157" s="38" t="s">
        <v>142</v>
      </c>
      <c r="M157" s="125"/>
      <c r="N157" s="95">
        <v>300000</v>
      </c>
      <c r="O157" s="101">
        <f t="shared" si="14"/>
        <v>0</v>
      </c>
      <c r="P157" s="101">
        <f t="shared" si="15"/>
        <v>0</v>
      </c>
      <c r="Q157" s="101">
        <f t="shared" si="16"/>
        <v>0</v>
      </c>
      <c r="R157" s="96"/>
      <c r="S157" s="102">
        <f t="shared" si="17"/>
        <v>0</v>
      </c>
      <c r="T157" s="95">
        <f t="shared" si="18"/>
        <v>0</v>
      </c>
      <c r="U157" s="102">
        <f t="shared" si="19"/>
        <v>0</v>
      </c>
      <c r="V157" s="103">
        <f t="shared" si="20"/>
        <v>0</v>
      </c>
      <c r="W157" s="100"/>
      <c r="X157" s="100"/>
    </row>
    <row r="158" spans="1:24" ht="25.5" hidden="1" customHeight="1">
      <c r="A158" s="1"/>
      <c r="B158" s="1"/>
      <c r="C158" s="13"/>
      <c r="D158" s="13"/>
      <c r="E158" s="13"/>
      <c r="F158" s="14"/>
      <c r="G158" s="15"/>
      <c r="H158" s="71">
        <v>84714</v>
      </c>
      <c r="I158" s="72">
        <v>44095</v>
      </c>
      <c r="J158" s="80" t="s">
        <v>122</v>
      </c>
      <c r="K158" s="38" t="s">
        <v>71</v>
      </c>
      <c r="L158" s="38" t="s">
        <v>143</v>
      </c>
      <c r="M158" s="125"/>
      <c r="N158" s="95">
        <v>140000</v>
      </c>
      <c r="O158" s="101">
        <f t="shared" si="14"/>
        <v>0</v>
      </c>
      <c r="P158" s="101">
        <f t="shared" si="15"/>
        <v>0</v>
      </c>
      <c r="Q158" s="101">
        <f t="shared" si="16"/>
        <v>0</v>
      </c>
      <c r="R158" s="96">
        <v>0</v>
      </c>
      <c r="S158" s="102">
        <f t="shared" si="17"/>
        <v>0</v>
      </c>
      <c r="T158" s="95">
        <f t="shared" si="18"/>
        <v>0</v>
      </c>
      <c r="U158" s="102">
        <f t="shared" si="19"/>
        <v>0</v>
      </c>
      <c r="V158" s="103">
        <f t="shared" si="20"/>
        <v>0</v>
      </c>
      <c r="W158" s="100"/>
      <c r="X158" s="100"/>
    </row>
    <row r="159" spans="1:24" ht="25.5" hidden="1" customHeight="1">
      <c r="A159" s="1"/>
      <c r="B159" s="1"/>
      <c r="C159" s="13"/>
      <c r="D159" s="13"/>
      <c r="E159" s="13"/>
      <c r="F159" s="14"/>
      <c r="G159" s="15"/>
      <c r="H159" s="71">
        <v>84714</v>
      </c>
      <c r="I159" s="72">
        <v>44095</v>
      </c>
      <c r="J159" s="80" t="s">
        <v>122</v>
      </c>
      <c r="K159" s="38" t="s">
        <v>71</v>
      </c>
      <c r="L159" s="38" t="s">
        <v>169</v>
      </c>
      <c r="M159" s="125"/>
      <c r="N159" s="95">
        <v>0</v>
      </c>
      <c r="O159" s="101">
        <f t="shared" si="14"/>
        <v>0</v>
      </c>
      <c r="P159" s="101">
        <f t="shared" si="15"/>
        <v>0</v>
      </c>
      <c r="Q159" s="101">
        <f t="shared" si="16"/>
        <v>0</v>
      </c>
      <c r="R159" s="96">
        <v>80000</v>
      </c>
      <c r="S159" s="102">
        <f t="shared" si="17"/>
        <v>0</v>
      </c>
      <c r="T159" s="95">
        <f t="shared" si="18"/>
        <v>0</v>
      </c>
      <c r="U159" s="102">
        <f t="shared" si="19"/>
        <v>0</v>
      </c>
      <c r="V159" s="103">
        <f t="shared" si="20"/>
        <v>0</v>
      </c>
      <c r="W159" s="100"/>
      <c r="X159" s="100"/>
    </row>
    <row r="160" spans="1:24" ht="25.5" hidden="1" customHeight="1">
      <c r="A160" s="1"/>
      <c r="B160" s="1"/>
      <c r="C160" s="13"/>
      <c r="D160" s="13"/>
      <c r="E160" s="13"/>
      <c r="F160" s="14"/>
      <c r="G160" s="15"/>
      <c r="H160" s="71">
        <v>84714</v>
      </c>
      <c r="I160" s="72">
        <v>44095</v>
      </c>
      <c r="J160" s="80" t="s">
        <v>122</v>
      </c>
      <c r="K160" s="38" t="s">
        <v>71</v>
      </c>
      <c r="L160" s="38" t="s">
        <v>170</v>
      </c>
      <c r="M160" s="125"/>
      <c r="N160" s="95">
        <v>0</v>
      </c>
      <c r="O160" s="101">
        <f t="shared" si="14"/>
        <v>0</v>
      </c>
      <c r="P160" s="101">
        <f t="shared" si="15"/>
        <v>0</v>
      </c>
      <c r="Q160" s="101">
        <f t="shared" si="16"/>
        <v>0</v>
      </c>
      <c r="R160" s="96">
        <v>48710</v>
      </c>
      <c r="S160" s="102">
        <f t="shared" si="17"/>
        <v>0</v>
      </c>
      <c r="T160" s="95">
        <f t="shared" si="18"/>
        <v>0</v>
      </c>
      <c r="U160" s="102">
        <f t="shared" si="19"/>
        <v>0</v>
      </c>
      <c r="V160" s="103">
        <f t="shared" si="20"/>
        <v>0</v>
      </c>
      <c r="W160" s="100"/>
      <c r="X160" s="100"/>
    </row>
    <row r="161" spans="1:24" ht="25.5" hidden="1" customHeight="1">
      <c r="A161" s="1"/>
      <c r="B161" s="1"/>
      <c r="C161" s="13"/>
      <c r="D161" s="13"/>
      <c r="E161" s="13"/>
      <c r="F161" s="14"/>
      <c r="G161" s="15"/>
      <c r="H161" s="71">
        <v>84714</v>
      </c>
      <c r="I161" s="72">
        <v>44095</v>
      </c>
      <c r="J161" s="80" t="s">
        <v>122</v>
      </c>
      <c r="K161" s="38" t="s">
        <v>71</v>
      </c>
      <c r="L161" s="38" t="s">
        <v>145</v>
      </c>
      <c r="M161" s="125"/>
      <c r="N161" s="95"/>
      <c r="O161" s="101">
        <f t="shared" si="14"/>
        <v>0</v>
      </c>
      <c r="P161" s="101">
        <f t="shared" si="15"/>
        <v>0</v>
      </c>
      <c r="Q161" s="101">
        <f t="shared" si="16"/>
        <v>0</v>
      </c>
      <c r="R161" s="96">
        <v>20690</v>
      </c>
      <c r="S161" s="102">
        <f t="shared" si="17"/>
        <v>0</v>
      </c>
      <c r="T161" s="95">
        <f t="shared" si="18"/>
        <v>0</v>
      </c>
      <c r="U161" s="102">
        <f t="shared" si="19"/>
        <v>0</v>
      </c>
      <c r="V161" s="103">
        <f t="shared" si="20"/>
        <v>0</v>
      </c>
      <c r="W161" s="100"/>
      <c r="X161" s="100"/>
    </row>
    <row r="162" spans="1:24" ht="25.5" hidden="1" customHeight="1">
      <c r="A162" s="1"/>
      <c r="B162" s="1"/>
      <c r="C162" s="13"/>
      <c r="D162" s="13"/>
      <c r="E162" s="13"/>
      <c r="F162" s="14"/>
      <c r="G162" s="15"/>
      <c r="H162" s="71">
        <v>84714</v>
      </c>
      <c r="I162" s="72">
        <v>44095</v>
      </c>
      <c r="J162" s="80" t="s">
        <v>122</v>
      </c>
      <c r="K162" s="38" t="s">
        <v>71</v>
      </c>
      <c r="L162" s="38" t="s">
        <v>146</v>
      </c>
      <c r="M162" s="125"/>
      <c r="N162" s="95">
        <v>0</v>
      </c>
      <c r="O162" s="101">
        <f t="shared" si="14"/>
        <v>0</v>
      </c>
      <c r="P162" s="101">
        <f t="shared" si="15"/>
        <v>0</v>
      </c>
      <c r="Q162" s="101">
        <f t="shared" si="16"/>
        <v>0</v>
      </c>
      <c r="R162" s="96">
        <v>6501</v>
      </c>
      <c r="S162" s="102">
        <f t="shared" si="17"/>
        <v>0</v>
      </c>
      <c r="T162" s="95">
        <f t="shared" si="18"/>
        <v>0</v>
      </c>
      <c r="U162" s="102">
        <f t="shared" si="19"/>
        <v>0</v>
      </c>
      <c r="V162" s="103">
        <f t="shared" si="20"/>
        <v>0</v>
      </c>
      <c r="W162" s="100"/>
      <c r="X162" s="100"/>
    </row>
    <row r="163" spans="1:24" ht="25.5" hidden="1" customHeight="1">
      <c r="A163" s="1"/>
      <c r="B163" s="1"/>
      <c r="C163" s="13"/>
      <c r="D163" s="13"/>
      <c r="E163" s="13"/>
      <c r="F163" s="14"/>
      <c r="G163" s="15"/>
      <c r="H163" s="71">
        <v>84714</v>
      </c>
      <c r="I163" s="72">
        <v>44095</v>
      </c>
      <c r="J163" s="80" t="s">
        <v>122</v>
      </c>
      <c r="K163" s="38" t="s">
        <v>61</v>
      </c>
      <c r="L163" s="38" t="s">
        <v>171</v>
      </c>
      <c r="M163" s="125"/>
      <c r="N163" s="95">
        <v>0</v>
      </c>
      <c r="O163" s="101">
        <f t="shared" ref="O163:O191" si="21">+N163*M163</f>
        <v>0</v>
      </c>
      <c r="P163" s="101">
        <f t="shared" ref="P163:P191" si="22">+O163*0.19</f>
        <v>0</v>
      </c>
      <c r="Q163" s="101">
        <f t="shared" ref="Q163:Q191" si="23">+P163+O163</f>
        <v>0</v>
      </c>
      <c r="R163" s="96">
        <v>200000</v>
      </c>
      <c r="S163" s="102">
        <f t="shared" ref="S163:S191" si="24">+R163*M163</f>
        <v>0</v>
      </c>
      <c r="T163" s="95">
        <f t="shared" ref="T163:T191" si="25">+S163*0.19</f>
        <v>0</v>
      </c>
      <c r="U163" s="102">
        <f t="shared" ref="U163:U191" si="26">+T163+S163</f>
        <v>0</v>
      </c>
      <c r="V163" s="103">
        <f t="shared" ref="V163:V191" si="27">+U163+Q163</f>
        <v>0</v>
      </c>
      <c r="W163" s="100"/>
      <c r="X163" s="100"/>
    </row>
    <row r="164" spans="1:24" ht="25.5" hidden="1" customHeight="1">
      <c r="A164" s="1"/>
      <c r="B164" s="1"/>
      <c r="C164" s="13"/>
      <c r="D164" s="13"/>
      <c r="E164" s="13"/>
      <c r="F164" s="14"/>
      <c r="G164" s="15"/>
      <c r="H164" s="71">
        <v>84714</v>
      </c>
      <c r="I164" s="72">
        <v>44095</v>
      </c>
      <c r="J164" s="80" t="s">
        <v>122</v>
      </c>
      <c r="K164" s="38" t="s">
        <v>61</v>
      </c>
      <c r="L164" s="38" t="s">
        <v>147</v>
      </c>
      <c r="M164" s="125"/>
      <c r="N164" s="95">
        <v>17385</v>
      </c>
      <c r="O164" s="101">
        <f t="shared" si="21"/>
        <v>0</v>
      </c>
      <c r="P164" s="101">
        <f t="shared" si="22"/>
        <v>0</v>
      </c>
      <c r="Q164" s="101">
        <f t="shared" si="23"/>
        <v>0</v>
      </c>
      <c r="R164" s="96">
        <v>0</v>
      </c>
      <c r="S164" s="102">
        <f t="shared" si="24"/>
        <v>0</v>
      </c>
      <c r="T164" s="95">
        <f t="shared" si="25"/>
        <v>0</v>
      </c>
      <c r="U164" s="102">
        <f t="shared" si="26"/>
        <v>0</v>
      </c>
      <c r="V164" s="103">
        <f t="shared" si="27"/>
        <v>0</v>
      </c>
      <c r="W164" s="100"/>
      <c r="X164" s="100"/>
    </row>
    <row r="165" spans="1:24" ht="25.5" hidden="1" customHeight="1">
      <c r="A165" s="1"/>
      <c r="B165" s="1"/>
      <c r="C165" s="13"/>
      <c r="D165" s="13"/>
      <c r="E165" s="13"/>
      <c r="F165" s="14"/>
      <c r="G165" s="15"/>
      <c r="H165" s="71">
        <v>84714</v>
      </c>
      <c r="I165" s="72">
        <v>44095</v>
      </c>
      <c r="J165" s="80" t="s">
        <v>122</v>
      </c>
      <c r="K165" s="38" t="s">
        <v>61</v>
      </c>
      <c r="L165" s="38" t="s">
        <v>148</v>
      </c>
      <c r="M165" s="125"/>
      <c r="N165" s="95">
        <v>22396</v>
      </c>
      <c r="O165" s="101">
        <f t="shared" si="21"/>
        <v>0</v>
      </c>
      <c r="P165" s="101">
        <f t="shared" si="22"/>
        <v>0</v>
      </c>
      <c r="Q165" s="101">
        <f t="shared" si="23"/>
        <v>0</v>
      </c>
      <c r="R165" s="96">
        <v>0</v>
      </c>
      <c r="S165" s="102">
        <f t="shared" si="24"/>
        <v>0</v>
      </c>
      <c r="T165" s="95">
        <f t="shared" si="25"/>
        <v>0</v>
      </c>
      <c r="U165" s="102">
        <f t="shared" si="26"/>
        <v>0</v>
      </c>
      <c r="V165" s="103">
        <f t="shared" si="27"/>
        <v>0</v>
      </c>
      <c r="W165" s="117"/>
      <c r="X165" s="100"/>
    </row>
    <row r="166" spans="1:24" ht="25.5" hidden="1" customHeight="1">
      <c r="A166" s="1"/>
      <c r="B166" s="1"/>
      <c r="C166" s="13"/>
      <c r="D166" s="13"/>
      <c r="E166" s="13"/>
      <c r="F166" s="14"/>
      <c r="G166" s="27" t="s">
        <v>121</v>
      </c>
      <c r="H166" s="35">
        <v>85821</v>
      </c>
      <c r="I166" s="65">
        <v>44095</v>
      </c>
      <c r="J166" s="37" t="s">
        <v>172</v>
      </c>
      <c r="K166" s="38" t="s">
        <v>71</v>
      </c>
      <c r="L166" s="38" t="s">
        <v>173</v>
      </c>
      <c r="M166" s="125">
        <v>1</v>
      </c>
      <c r="N166" s="95">
        <v>0</v>
      </c>
      <c r="O166" s="101">
        <f t="shared" si="21"/>
        <v>0</v>
      </c>
      <c r="P166" s="101">
        <f t="shared" si="22"/>
        <v>0</v>
      </c>
      <c r="Q166" s="101">
        <f t="shared" si="23"/>
        <v>0</v>
      </c>
      <c r="R166" s="96">
        <v>173000</v>
      </c>
      <c r="S166" s="102">
        <f t="shared" si="24"/>
        <v>173000</v>
      </c>
      <c r="T166" s="95">
        <f t="shared" si="25"/>
        <v>32870</v>
      </c>
      <c r="U166" s="102">
        <f t="shared" si="26"/>
        <v>205870</v>
      </c>
      <c r="V166" s="103">
        <f t="shared" si="27"/>
        <v>205870</v>
      </c>
      <c r="W166" s="100"/>
      <c r="X166" s="100"/>
    </row>
    <row r="167" spans="1:24" s="68" customFormat="1" ht="25.5" hidden="1" customHeight="1">
      <c r="A167" s="59"/>
      <c r="B167" s="59"/>
      <c r="C167" s="61"/>
      <c r="D167" s="61"/>
      <c r="E167" s="61"/>
      <c r="F167" s="62"/>
      <c r="G167" s="27" t="s">
        <v>174</v>
      </c>
      <c r="H167" s="71">
        <v>86000</v>
      </c>
      <c r="I167" s="36">
        <v>44179</v>
      </c>
      <c r="J167" s="73" t="s">
        <v>158</v>
      </c>
      <c r="K167" s="74" t="s">
        <v>71</v>
      </c>
      <c r="L167" s="74" t="s">
        <v>159</v>
      </c>
      <c r="M167" s="126">
        <v>2</v>
      </c>
      <c r="N167" s="111">
        <v>196623</v>
      </c>
      <c r="O167" s="114">
        <f t="shared" si="21"/>
        <v>393246</v>
      </c>
      <c r="P167" s="114">
        <f t="shared" si="22"/>
        <v>74716.740000000005</v>
      </c>
      <c r="Q167" s="114">
        <f t="shared" si="23"/>
        <v>467962.74</v>
      </c>
      <c r="R167" s="118">
        <v>7855</v>
      </c>
      <c r="S167" s="114">
        <f t="shared" si="24"/>
        <v>15710</v>
      </c>
      <c r="T167" s="111">
        <f t="shared" si="25"/>
        <v>2984.9</v>
      </c>
      <c r="U167" s="114">
        <f t="shared" si="26"/>
        <v>18694.900000000001</v>
      </c>
      <c r="V167" s="119">
        <f t="shared" si="27"/>
        <v>486657.64</v>
      </c>
      <c r="W167" s="116"/>
      <c r="X167" s="116"/>
    </row>
    <row r="168" spans="1:24" ht="25.5" hidden="1" customHeight="1">
      <c r="A168" s="1"/>
      <c r="B168" s="1"/>
      <c r="C168" s="13"/>
      <c r="D168" s="13"/>
      <c r="E168" s="13"/>
      <c r="G168" s="27" t="s">
        <v>174</v>
      </c>
      <c r="H168" s="71">
        <v>86000</v>
      </c>
      <c r="I168" s="36">
        <v>44179</v>
      </c>
      <c r="J168" s="73" t="s">
        <v>158</v>
      </c>
      <c r="K168" s="74" t="s">
        <v>71</v>
      </c>
      <c r="L168" s="38" t="s">
        <v>145</v>
      </c>
      <c r="M168" s="125">
        <v>1</v>
      </c>
      <c r="N168" s="95">
        <v>20690</v>
      </c>
      <c r="O168" s="101">
        <f t="shared" si="21"/>
        <v>20690</v>
      </c>
      <c r="P168" s="101">
        <f t="shared" si="22"/>
        <v>3931.1</v>
      </c>
      <c r="Q168" s="101">
        <f t="shared" si="23"/>
        <v>24621.1</v>
      </c>
      <c r="R168" s="96">
        <v>0</v>
      </c>
      <c r="S168" s="102">
        <f t="shared" si="24"/>
        <v>0</v>
      </c>
      <c r="T168" s="95">
        <f t="shared" si="25"/>
        <v>0</v>
      </c>
      <c r="U168" s="102">
        <f t="shared" si="26"/>
        <v>0</v>
      </c>
      <c r="V168" s="103">
        <f t="shared" si="27"/>
        <v>24621.1</v>
      </c>
      <c r="W168" s="100"/>
      <c r="X168" s="100"/>
    </row>
    <row r="169" spans="1:24" ht="25.5" hidden="1" customHeight="1">
      <c r="A169" s="1"/>
      <c r="B169" s="1"/>
      <c r="C169" s="13"/>
      <c r="D169" s="13"/>
      <c r="E169" s="13"/>
      <c r="F169" s="14"/>
      <c r="G169" s="27" t="s">
        <v>174</v>
      </c>
      <c r="H169" s="71">
        <v>86000</v>
      </c>
      <c r="I169" s="36">
        <v>44179</v>
      </c>
      <c r="J169" s="73" t="s">
        <v>158</v>
      </c>
      <c r="K169" s="74" t="s">
        <v>71</v>
      </c>
      <c r="L169" s="38" t="s">
        <v>175</v>
      </c>
      <c r="M169" s="125">
        <v>4</v>
      </c>
      <c r="N169" s="95">
        <v>7259</v>
      </c>
      <c r="O169" s="101">
        <f t="shared" si="21"/>
        <v>29036</v>
      </c>
      <c r="P169" s="101">
        <f t="shared" si="22"/>
        <v>5516.84</v>
      </c>
      <c r="Q169" s="101">
        <f t="shared" si="23"/>
        <v>34552.839999999997</v>
      </c>
      <c r="R169" s="96">
        <v>0</v>
      </c>
      <c r="S169" s="102">
        <f t="shared" si="24"/>
        <v>0</v>
      </c>
      <c r="T169" s="95">
        <f t="shared" si="25"/>
        <v>0</v>
      </c>
      <c r="U169" s="102">
        <f t="shared" si="26"/>
        <v>0</v>
      </c>
      <c r="V169" s="103">
        <f t="shared" si="27"/>
        <v>34552.839999999997</v>
      </c>
      <c r="W169" s="117"/>
      <c r="X169" s="100"/>
    </row>
    <row r="170" spans="1:24" s="68" customFormat="1" ht="25.5" hidden="1" customHeight="1">
      <c r="A170" s="59"/>
      <c r="B170" s="59"/>
      <c r="C170" s="61"/>
      <c r="D170" s="61"/>
      <c r="E170" s="61"/>
      <c r="F170" s="62"/>
      <c r="G170" s="27" t="s">
        <v>174</v>
      </c>
      <c r="H170" s="71">
        <v>95582</v>
      </c>
      <c r="I170" s="72">
        <v>44237</v>
      </c>
      <c r="J170" s="73" t="s">
        <v>176</v>
      </c>
      <c r="K170" s="74" t="s">
        <v>61</v>
      </c>
      <c r="L170" s="74" t="s">
        <v>125</v>
      </c>
      <c r="M170" s="126">
        <v>1</v>
      </c>
      <c r="N170" s="111">
        <v>21216</v>
      </c>
      <c r="O170" s="114">
        <f t="shared" si="21"/>
        <v>21216</v>
      </c>
      <c r="P170" s="114">
        <f t="shared" si="22"/>
        <v>4031.04</v>
      </c>
      <c r="Q170" s="114">
        <f t="shared" si="23"/>
        <v>25247.040000000001</v>
      </c>
      <c r="R170" s="118">
        <v>11965</v>
      </c>
      <c r="S170" s="114">
        <f t="shared" si="24"/>
        <v>11965</v>
      </c>
      <c r="T170" s="111">
        <f t="shared" si="25"/>
        <v>2273.35</v>
      </c>
      <c r="U170" s="114">
        <f t="shared" si="26"/>
        <v>14238.35</v>
      </c>
      <c r="V170" s="119">
        <f t="shared" si="27"/>
        <v>39485.39</v>
      </c>
      <c r="W170" s="100"/>
      <c r="X170" s="116"/>
    </row>
    <row r="171" spans="1:24" ht="25.5" hidden="1" customHeight="1">
      <c r="A171" s="1"/>
      <c r="B171" s="1"/>
      <c r="C171" s="13"/>
      <c r="D171" s="13"/>
      <c r="E171" s="13"/>
      <c r="F171" s="14"/>
      <c r="G171" s="27" t="s">
        <v>174</v>
      </c>
      <c r="H171" s="71">
        <v>95582</v>
      </c>
      <c r="I171" s="72">
        <v>44237</v>
      </c>
      <c r="J171" s="73" t="s">
        <v>176</v>
      </c>
      <c r="K171" s="74" t="s">
        <v>61</v>
      </c>
      <c r="L171" s="38" t="s">
        <v>126</v>
      </c>
      <c r="M171" s="125">
        <v>1</v>
      </c>
      <c r="N171" s="95">
        <v>30207</v>
      </c>
      <c r="O171" s="101">
        <f t="shared" si="21"/>
        <v>30207</v>
      </c>
      <c r="P171" s="101">
        <f t="shared" si="22"/>
        <v>5739.33</v>
      </c>
      <c r="Q171" s="101">
        <f t="shared" si="23"/>
        <v>35946.33</v>
      </c>
      <c r="R171" s="96">
        <v>10243</v>
      </c>
      <c r="S171" s="102">
        <f t="shared" si="24"/>
        <v>10243</v>
      </c>
      <c r="T171" s="95">
        <f t="shared" si="25"/>
        <v>1946.17</v>
      </c>
      <c r="U171" s="102">
        <f t="shared" si="26"/>
        <v>12189.17</v>
      </c>
      <c r="V171" s="103">
        <f t="shared" si="27"/>
        <v>48135.5</v>
      </c>
      <c r="W171" s="100"/>
      <c r="X171" s="100"/>
    </row>
    <row r="172" spans="1:24" ht="25.5" hidden="1" customHeight="1">
      <c r="A172" s="1"/>
      <c r="B172" s="1"/>
      <c r="C172" s="13"/>
      <c r="D172" s="13"/>
      <c r="E172" s="13"/>
      <c r="F172" s="14"/>
      <c r="G172" s="27" t="s">
        <v>174</v>
      </c>
      <c r="H172" s="71">
        <v>95582</v>
      </c>
      <c r="I172" s="72">
        <v>44237</v>
      </c>
      <c r="J172" s="73" t="s">
        <v>176</v>
      </c>
      <c r="K172" s="74" t="s">
        <v>61</v>
      </c>
      <c r="L172" s="38" t="s">
        <v>81</v>
      </c>
      <c r="M172" s="125">
        <v>3</v>
      </c>
      <c r="N172" s="95">
        <v>16074</v>
      </c>
      <c r="O172" s="101">
        <f t="shared" si="21"/>
        <v>48222</v>
      </c>
      <c r="P172" s="101">
        <f t="shared" si="22"/>
        <v>9162.18</v>
      </c>
      <c r="Q172" s="101">
        <f t="shared" si="23"/>
        <v>57384.18</v>
      </c>
      <c r="R172" s="96">
        <v>0</v>
      </c>
      <c r="S172" s="102">
        <f t="shared" si="24"/>
        <v>0</v>
      </c>
      <c r="T172" s="95">
        <f t="shared" si="25"/>
        <v>0</v>
      </c>
      <c r="U172" s="102">
        <f t="shared" si="26"/>
        <v>0</v>
      </c>
      <c r="V172" s="103">
        <f t="shared" si="27"/>
        <v>57384.18</v>
      </c>
      <c r="W172" s="100"/>
      <c r="X172" s="100"/>
    </row>
    <row r="173" spans="1:24" ht="25.5" hidden="1" customHeight="1">
      <c r="A173" s="1"/>
      <c r="B173" s="1"/>
      <c r="C173" s="13"/>
      <c r="D173" s="13"/>
      <c r="E173" s="13"/>
      <c r="F173" s="14"/>
      <c r="G173" s="27" t="s">
        <v>174</v>
      </c>
      <c r="H173" s="71">
        <v>95582</v>
      </c>
      <c r="I173" s="72">
        <v>44237</v>
      </c>
      <c r="J173" s="73" t="s">
        <v>176</v>
      </c>
      <c r="K173" s="74" t="s">
        <v>61</v>
      </c>
      <c r="L173" s="38" t="s">
        <v>177</v>
      </c>
      <c r="M173" s="125">
        <v>1</v>
      </c>
      <c r="N173" s="95">
        <v>0</v>
      </c>
      <c r="O173" s="101">
        <f t="shared" si="21"/>
        <v>0</v>
      </c>
      <c r="P173" s="101">
        <f t="shared" si="22"/>
        <v>0</v>
      </c>
      <c r="Q173" s="101">
        <f t="shared" si="23"/>
        <v>0</v>
      </c>
      <c r="R173" s="96">
        <v>24949</v>
      </c>
      <c r="S173" s="102">
        <f t="shared" si="24"/>
        <v>24949</v>
      </c>
      <c r="T173" s="95">
        <f t="shared" si="25"/>
        <v>4740.3100000000004</v>
      </c>
      <c r="U173" s="102">
        <f t="shared" si="26"/>
        <v>29689.31</v>
      </c>
      <c r="V173" s="103">
        <f t="shared" si="27"/>
        <v>29689.31</v>
      </c>
      <c r="W173" s="100"/>
      <c r="X173" s="100"/>
    </row>
    <row r="174" spans="1:24" ht="25.5" hidden="1" customHeight="1">
      <c r="A174" s="1"/>
      <c r="B174" s="1"/>
      <c r="C174" s="13"/>
      <c r="D174" s="13"/>
      <c r="E174" s="13"/>
      <c r="F174" s="14"/>
      <c r="G174" s="27" t="s">
        <v>174</v>
      </c>
      <c r="H174" s="71">
        <v>95582</v>
      </c>
      <c r="I174" s="72">
        <v>44237</v>
      </c>
      <c r="J174" s="73" t="s">
        <v>176</v>
      </c>
      <c r="K174" s="74" t="s">
        <v>61</v>
      </c>
      <c r="L174" s="38" t="s">
        <v>178</v>
      </c>
      <c r="M174" s="125">
        <v>1</v>
      </c>
      <c r="N174" s="95">
        <v>0</v>
      </c>
      <c r="O174" s="101">
        <f t="shared" si="21"/>
        <v>0</v>
      </c>
      <c r="P174" s="101">
        <f t="shared" si="22"/>
        <v>0</v>
      </c>
      <c r="Q174" s="101">
        <f t="shared" si="23"/>
        <v>0</v>
      </c>
      <c r="R174" s="96">
        <v>26139</v>
      </c>
      <c r="S174" s="102">
        <f t="shared" si="24"/>
        <v>26139</v>
      </c>
      <c r="T174" s="95">
        <f t="shared" si="25"/>
        <v>4966.41</v>
      </c>
      <c r="U174" s="102">
        <f t="shared" si="26"/>
        <v>31105.41</v>
      </c>
      <c r="V174" s="103">
        <f t="shared" si="27"/>
        <v>31105.41</v>
      </c>
      <c r="W174" s="100"/>
      <c r="X174" s="100"/>
    </row>
    <row r="175" spans="1:24" ht="25.5" hidden="1" customHeight="1">
      <c r="A175" s="1"/>
      <c r="B175" s="1"/>
      <c r="C175" s="13"/>
      <c r="D175" s="13"/>
      <c r="E175" s="13"/>
      <c r="F175" s="14"/>
      <c r="G175" s="27" t="s">
        <v>174</v>
      </c>
      <c r="H175" s="71">
        <v>95582</v>
      </c>
      <c r="I175" s="72">
        <v>44237</v>
      </c>
      <c r="J175" s="73" t="s">
        <v>176</v>
      </c>
      <c r="K175" s="74" t="s">
        <v>61</v>
      </c>
      <c r="L175" s="38" t="s">
        <v>179</v>
      </c>
      <c r="M175" s="125">
        <v>1</v>
      </c>
      <c r="N175" s="95">
        <v>0</v>
      </c>
      <c r="O175" s="101">
        <f t="shared" si="21"/>
        <v>0</v>
      </c>
      <c r="P175" s="101">
        <f t="shared" si="22"/>
        <v>0</v>
      </c>
      <c r="Q175" s="101">
        <f t="shared" si="23"/>
        <v>0</v>
      </c>
      <c r="R175" s="96">
        <v>90000</v>
      </c>
      <c r="S175" s="102">
        <f t="shared" si="24"/>
        <v>90000</v>
      </c>
      <c r="T175" s="95">
        <f t="shared" si="25"/>
        <v>17100</v>
      </c>
      <c r="U175" s="102">
        <f t="shared" si="26"/>
        <v>107100</v>
      </c>
      <c r="V175" s="103">
        <f t="shared" si="27"/>
        <v>107100</v>
      </c>
      <c r="W175" s="100"/>
      <c r="X175" s="100"/>
    </row>
    <row r="176" spans="1:24" ht="25.5" hidden="1" customHeight="1">
      <c r="A176" s="1"/>
      <c r="B176" s="1"/>
      <c r="C176" s="13"/>
      <c r="D176" s="13"/>
      <c r="E176" s="13"/>
      <c r="F176" s="14"/>
      <c r="G176" s="27" t="s">
        <v>174</v>
      </c>
      <c r="H176" s="71">
        <v>95582</v>
      </c>
      <c r="I176" s="72">
        <v>44237</v>
      </c>
      <c r="J176" s="73" t="s">
        <v>176</v>
      </c>
      <c r="K176" s="74" t="s">
        <v>61</v>
      </c>
      <c r="L176" s="38" t="s">
        <v>148</v>
      </c>
      <c r="M176" s="125">
        <v>6</v>
      </c>
      <c r="N176" s="95">
        <v>22396</v>
      </c>
      <c r="O176" s="101">
        <f t="shared" si="21"/>
        <v>134376</v>
      </c>
      <c r="P176" s="101">
        <f t="shared" si="22"/>
        <v>25531.439999999999</v>
      </c>
      <c r="Q176" s="101">
        <f t="shared" si="23"/>
        <v>159907.44</v>
      </c>
      <c r="R176" s="96">
        <v>0</v>
      </c>
      <c r="S176" s="102">
        <f t="shared" si="24"/>
        <v>0</v>
      </c>
      <c r="T176" s="95">
        <f t="shared" si="25"/>
        <v>0</v>
      </c>
      <c r="U176" s="102">
        <f t="shared" si="26"/>
        <v>0</v>
      </c>
      <c r="V176" s="103">
        <f t="shared" si="27"/>
        <v>159907.44</v>
      </c>
      <c r="W176" s="100"/>
      <c r="X176" s="100"/>
    </row>
    <row r="177" spans="1:24" ht="25.5" hidden="1" customHeight="1">
      <c r="A177" s="1"/>
      <c r="B177" s="1"/>
      <c r="C177" s="13"/>
      <c r="D177" s="13"/>
      <c r="E177" s="13"/>
      <c r="F177" s="14"/>
      <c r="G177" s="27" t="s">
        <v>174</v>
      </c>
      <c r="H177" s="71">
        <v>95582</v>
      </c>
      <c r="I177" s="72">
        <v>44237</v>
      </c>
      <c r="J177" s="73" t="s">
        <v>176</v>
      </c>
      <c r="K177" s="74" t="s">
        <v>61</v>
      </c>
      <c r="L177" s="38" t="s">
        <v>180</v>
      </c>
      <c r="M177" s="125">
        <v>4</v>
      </c>
      <c r="N177" s="95">
        <v>20609</v>
      </c>
      <c r="O177" s="101">
        <f t="shared" si="21"/>
        <v>82436</v>
      </c>
      <c r="P177" s="101">
        <f t="shared" si="22"/>
        <v>15662.84</v>
      </c>
      <c r="Q177" s="101">
        <f t="shared" si="23"/>
        <v>98098.84</v>
      </c>
      <c r="R177" s="96">
        <v>0</v>
      </c>
      <c r="S177" s="102">
        <f t="shared" si="24"/>
        <v>0</v>
      </c>
      <c r="T177" s="95">
        <f t="shared" si="25"/>
        <v>0</v>
      </c>
      <c r="U177" s="102">
        <f t="shared" si="26"/>
        <v>0</v>
      </c>
      <c r="V177" s="103">
        <f t="shared" si="27"/>
        <v>98098.84</v>
      </c>
      <c r="W177" s="117"/>
      <c r="X177" s="100"/>
    </row>
    <row r="178" spans="1:24" ht="25.5" hidden="1" customHeight="1">
      <c r="A178" s="1"/>
      <c r="B178" s="1"/>
      <c r="C178" s="13"/>
      <c r="D178" s="13"/>
      <c r="E178" s="13"/>
      <c r="F178" s="14"/>
      <c r="G178" s="27" t="s">
        <v>174</v>
      </c>
      <c r="H178" s="71" t="s">
        <v>181</v>
      </c>
      <c r="I178" s="65">
        <v>44237</v>
      </c>
      <c r="J178" s="75" t="s">
        <v>182</v>
      </c>
      <c r="K178" s="78" t="str">
        <f>VLOOKUP(L178,Hoja1!B$2:C$400,2,"FALSO")</f>
        <v>CORRECTIVO</v>
      </c>
      <c r="L178" s="38" t="s">
        <v>183</v>
      </c>
      <c r="M178" s="125">
        <v>10</v>
      </c>
      <c r="N178" s="95">
        <v>15000</v>
      </c>
      <c r="O178" s="101">
        <f t="shared" si="21"/>
        <v>150000</v>
      </c>
      <c r="P178" s="101">
        <f t="shared" si="22"/>
        <v>28500</v>
      </c>
      <c r="Q178" s="101">
        <f t="shared" si="23"/>
        <v>178500</v>
      </c>
      <c r="R178" s="96">
        <v>0</v>
      </c>
      <c r="S178" s="102">
        <f t="shared" si="24"/>
        <v>0</v>
      </c>
      <c r="T178" s="95">
        <f t="shared" si="25"/>
        <v>0</v>
      </c>
      <c r="U178" s="102">
        <f t="shared" si="26"/>
        <v>0</v>
      </c>
      <c r="V178" s="103">
        <f t="shared" si="27"/>
        <v>178500</v>
      </c>
      <c r="W178" s="100"/>
      <c r="X178" s="100"/>
    </row>
    <row r="179" spans="1:24" ht="25.5" hidden="1" customHeight="1">
      <c r="A179" s="1"/>
      <c r="B179" s="1"/>
      <c r="C179" s="13"/>
      <c r="D179" s="13"/>
      <c r="E179" s="13"/>
      <c r="F179" s="69">
        <v>102284</v>
      </c>
      <c r="G179" s="27" t="s">
        <v>174</v>
      </c>
      <c r="H179" s="71" t="s">
        <v>181</v>
      </c>
      <c r="I179" s="65">
        <v>44237</v>
      </c>
      <c r="J179" s="75" t="s">
        <v>182</v>
      </c>
      <c r="K179" s="78" t="str">
        <f>VLOOKUP(L179,Hoja1!B$2:C$400,2,"FALSO")</f>
        <v>CORRECTIVO</v>
      </c>
      <c r="L179" s="38" t="s">
        <v>184</v>
      </c>
      <c r="M179" s="125">
        <v>10</v>
      </c>
      <c r="N179" s="95">
        <v>25000</v>
      </c>
      <c r="O179" s="101">
        <f t="shared" si="21"/>
        <v>250000</v>
      </c>
      <c r="P179" s="101">
        <f t="shared" si="22"/>
        <v>47500</v>
      </c>
      <c r="Q179" s="101">
        <f t="shared" si="23"/>
        <v>297500</v>
      </c>
      <c r="R179" s="96">
        <v>0</v>
      </c>
      <c r="S179" s="102">
        <f t="shared" si="24"/>
        <v>0</v>
      </c>
      <c r="T179" s="95">
        <f t="shared" si="25"/>
        <v>0</v>
      </c>
      <c r="U179" s="102">
        <f t="shared" si="26"/>
        <v>0</v>
      </c>
      <c r="V179" s="103">
        <f t="shared" si="27"/>
        <v>297500</v>
      </c>
      <c r="W179" s="117"/>
      <c r="X179" s="100"/>
    </row>
    <row r="180" spans="1:24" ht="25.5" hidden="1" customHeight="1">
      <c r="A180" s="1"/>
      <c r="B180" s="1"/>
      <c r="C180" s="13"/>
      <c r="D180" s="13"/>
      <c r="E180" s="13"/>
      <c r="F180" s="14"/>
      <c r="G180" s="27" t="s">
        <v>174</v>
      </c>
      <c r="H180" s="71">
        <v>101872</v>
      </c>
      <c r="I180" s="65">
        <v>44308</v>
      </c>
      <c r="J180" s="75" t="s">
        <v>185</v>
      </c>
      <c r="K180" s="78" t="str">
        <f>VLOOKUP(L180,Hoja1!B$2:C$400,2,"FALSO")</f>
        <v>PREVENTIVO</v>
      </c>
      <c r="L180" s="38" t="s">
        <v>75</v>
      </c>
      <c r="M180" s="125">
        <v>1</v>
      </c>
      <c r="N180" s="95">
        <v>21216</v>
      </c>
      <c r="O180" s="101">
        <f t="shared" si="21"/>
        <v>21216</v>
      </c>
      <c r="P180" s="101">
        <f t="shared" si="22"/>
        <v>4031.04</v>
      </c>
      <c r="Q180" s="101">
        <f t="shared" si="23"/>
        <v>25247.040000000001</v>
      </c>
      <c r="R180" s="96"/>
      <c r="S180" s="102">
        <f t="shared" si="24"/>
        <v>0</v>
      </c>
      <c r="T180" s="95">
        <f t="shared" si="25"/>
        <v>0</v>
      </c>
      <c r="U180" s="102">
        <f t="shared" si="26"/>
        <v>0</v>
      </c>
      <c r="V180" s="103">
        <f t="shared" si="27"/>
        <v>25247.040000000001</v>
      </c>
      <c r="W180" s="100"/>
      <c r="X180" s="100"/>
    </row>
    <row r="181" spans="1:24" ht="25.5" hidden="1" customHeight="1">
      <c r="A181" s="1"/>
      <c r="B181" s="1"/>
      <c r="C181" s="13"/>
      <c r="D181" s="13"/>
      <c r="E181" s="13"/>
      <c r="F181" s="14"/>
      <c r="G181" s="27" t="s">
        <v>174</v>
      </c>
      <c r="H181" s="71">
        <v>101872</v>
      </c>
      <c r="I181" s="65">
        <v>44308</v>
      </c>
      <c r="J181" s="75" t="s">
        <v>185</v>
      </c>
      <c r="K181" s="78" t="str">
        <f>VLOOKUP(L181,Hoja1!B$2:C$400,2,"FALSO")</f>
        <v>PREVENTIVO</v>
      </c>
      <c r="L181" s="38" t="s">
        <v>76</v>
      </c>
      <c r="M181" s="125">
        <v>1</v>
      </c>
      <c r="N181" s="95">
        <v>30207</v>
      </c>
      <c r="O181" s="101">
        <f t="shared" si="21"/>
        <v>30207</v>
      </c>
      <c r="P181" s="101">
        <f t="shared" si="22"/>
        <v>5739.33</v>
      </c>
      <c r="Q181" s="101">
        <f t="shared" si="23"/>
        <v>35946.33</v>
      </c>
      <c r="R181" s="96">
        <v>0</v>
      </c>
      <c r="S181" s="102">
        <f t="shared" si="24"/>
        <v>0</v>
      </c>
      <c r="T181" s="95">
        <f t="shared" si="25"/>
        <v>0</v>
      </c>
      <c r="U181" s="102">
        <f t="shared" si="26"/>
        <v>0</v>
      </c>
      <c r="V181" s="103">
        <f t="shared" si="27"/>
        <v>35946.33</v>
      </c>
      <c r="W181" s="100"/>
      <c r="X181" s="100"/>
    </row>
    <row r="182" spans="1:24" ht="25.5" hidden="1" customHeight="1">
      <c r="A182" s="1"/>
      <c r="B182" s="1"/>
      <c r="C182" s="13"/>
      <c r="D182" s="13"/>
      <c r="E182" s="13"/>
      <c r="F182" s="14"/>
      <c r="G182" s="27" t="s">
        <v>174</v>
      </c>
      <c r="H182" s="71">
        <v>101872</v>
      </c>
      <c r="I182" s="65">
        <v>44308</v>
      </c>
      <c r="J182" s="75" t="s">
        <v>185</v>
      </c>
      <c r="K182" s="78" t="str">
        <f>VLOOKUP(L182,Hoja1!B$2:C$400,2,"FALSO")</f>
        <v>CORRECTIVO</v>
      </c>
      <c r="L182" s="38" t="s">
        <v>186</v>
      </c>
      <c r="M182" s="125">
        <v>1</v>
      </c>
      <c r="N182" s="95">
        <v>603300</v>
      </c>
      <c r="O182" s="101">
        <f t="shared" si="21"/>
        <v>603300</v>
      </c>
      <c r="P182" s="101">
        <f t="shared" si="22"/>
        <v>114627</v>
      </c>
      <c r="Q182" s="101">
        <f t="shared" si="23"/>
        <v>717927</v>
      </c>
      <c r="R182" s="96">
        <v>0</v>
      </c>
      <c r="S182" s="102">
        <f t="shared" si="24"/>
        <v>0</v>
      </c>
      <c r="T182" s="95">
        <f t="shared" si="25"/>
        <v>0</v>
      </c>
      <c r="U182" s="102">
        <f t="shared" si="26"/>
        <v>0</v>
      </c>
      <c r="V182" s="103">
        <f t="shared" si="27"/>
        <v>717927</v>
      </c>
      <c r="W182" s="100"/>
      <c r="X182" s="100"/>
    </row>
    <row r="183" spans="1:24" ht="25.5" hidden="1" customHeight="1">
      <c r="A183" s="1"/>
      <c r="B183" s="1"/>
      <c r="C183" s="13"/>
      <c r="D183" s="13"/>
      <c r="E183" s="13"/>
      <c r="F183" s="14"/>
      <c r="G183" s="27" t="s">
        <v>174</v>
      </c>
      <c r="H183" s="71">
        <v>101872</v>
      </c>
      <c r="I183" s="65">
        <v>44308</v>
      </c>
      <c r="J183" s="75" t="s">
        <v>185</v>
      </c>
      <c r="K183" s="78" t="str">
        <f>VLOOKUP(L183,Hoja1!B$2:C$400,2,"FALSO")</f>
        <v>PREVENTIVO</v>
      </c>
      <c r="L183" s="38" t="s">
        <v>187</v>
      </c>
      <c r="M183" s="125">
        <v>1</v>
      </c>
      <c r="N183" s="95">
        <v>0</v>
      </c>
      <c r="O183" s="101">
        <f t="shared" si="21"/>
        <v>0</v>
      </c>
      <c r="P183" s="101">
        <f t="shared" si="22"/>
        <v>0</v>
      </c>
      <c r="Q183" s="101">
        <f t="shared" si="23"/>
        <v>0</v>
      </c>
      <c r="R183" s="96">
        <v>11965</v>
      </c>
      <c r="S183" s="102">
        <f t="shared" si="24"/>
        <v>11965</v>
      </c>
      <c r="T183" s="95">
        <f t="shared" si="25"/>
        <v>2273.35</v>
      </c>
      <c r="U183" s="102">
        <f t="shared" si="26"/>
        <v>14238.35</v>
      </c>
      <c r="V183" s="103">
        <f t="shared" si="27"/>
        <v>14238.35</v>
      </c>
      <c r="W183" s="100"/>
      <c r="X183" s="100"/>
    </row>
    <row r="184" spans="1:24" ht="25.5" hidden="1" customHeight="1">
      <c r="A184" s="1"/>
      <c r="B184" s="1"/>
      <c r="C184" s="13"/>
      <c r="D184" s="13"/>
      <c r="E184" s="13"/>
      <c r="F184" s="14"/>
      <c r="G184" s="27" t="s">
        <v>174</v>
      </c>
      <c r="H184" s="71">
        <v>101872</v>
      </c>
      <c r="I184" s="65">
        <v>44308</v>
      </c>
      <c r="J184" s="75" t="s">
        <v>185</v>
      </c>
      <c r="K184" s="78" t="str">
        <f>VLOOKUP(L184,Hoja1!B$2:C$400,2,"FALSO")</f>
        <v>PREVENTIVO</v>
      </c>
      <c r="L184" s="38" t="s">
        <v>188</v>
      </c>
      <c r="M184" s="125">
        <v>1</v>
      </c>
      <c r="N184" s="95">
        <v>0</v>
      </c>
      <c r="O184" s="101">
        <f t="shared" si="21"/>
        <v>0</v>
      </c>
      <c r="P184" s="101">
        <f t="shared" si="22"/>
        <v>0</v>
      </c>
      <c r="Q184" s="101">
        <f t="shared" si="23"/>
        <v>0</v>
      </c>
      <c r="R184" s="96">
        <v>10243</v>
      </c>
      <c r="S184" s="102">
        <f t="shared" si="24"/>
        <v>10243</v>
      </c>
      <c r="T184" s="95">
        <f t="shared" si="25"/>
        <v>1946.17</v>
      </c>
      <c r="U184" s="102">
        <f t="shared" si="26"/>
        <v>12189.17</v>
      </c>
      <c r="V184" s="103">
        <f t="shared" si="27"/>
        <v>12189.17</v>
      </c>
      <c r="W184" s="100"/>
      <c r="X184" s="100"/>
    </row>
    <row r="185" spans="1:24" ht="25.5" hidden="1" customHeight="1">
      <c r="A185" s="1"/>
      <c r="B185" s="1"/>
      <c r="C185" s="13"/>
      <c r="D185" s="13"/>
      <c r="E185" s="13"/>
      <c r="F185" s="14"/>
      <c r="G185" s="27" t="s">
        <v>174</v>
      </c>
      <c r="H185" s="71">
        <v>101872</v>
      </c>
      <c r="I185" s="65">
        <v>44308</v>
      </c>
      <c r="J185" s="75" t="s">
        <v>185</v>
      </c>
      <c r="K185" s="78" t="str">
        <f>VLOOKUP(L185,Hoja1!B$2:C$400,2,"FALSO")</f>
        <v>PREVENTIVO</v>
      </c>
      <c r="L185" s="38" t="s">
        <v>189</v>
      </c>
      <c r="M185" s="125">
        <v>1</v>
      </c>
      <c r="N185" s="95">
        <v>0</v>
      </c>
      <c r="O185" s="101">
        <f t="shared" si="21"/>
        <v>0</v>
      </c>
      <c r="P185" s="101">
        <f t="shared" si="22"/>
        <v>0</v>
      </c>
      <c r="Q185" s="101">
        <f t="shared" si="23"/>
        <v>0</v>
      </c>
      <c r="R185" s="96">
        <v>250000</v>
      </c>
      <c r="S185" s="102">
        <f t="shared" si="24"/>
        <v>250000</v>
      </c>
      <c r="T185" s="95">
        <f t="shared" si="25"/>
        <v>47500</v>
      </c>
      <c r="U185" s="102">
        <f t="shared" si="26"/>
        <v>297500</v>
      </c>
      <c r="V185" s="103">
        <f t="shared" si="27"/>
        <v>297500</v>
      </c>
      <c r="W185" s="100"/>
      <c r="X185" s="100"/>
    </row>
    <row r="186" spans="1:24" ht="25.5" hidden="1" customHeight="1">
      <c r="A186" s="1"/>
      <c r="B186" s="1"/>
      <c r="C186" s="13"/>
      <c r="D186" s="13"/>
      <c r="E186" s="13"/>
      <c r="F186" s="14"/>
      <c r="G186" s="27" t="s">
        <v>174</v>
      </c>
      <c r="H186" s="71">
        <v>101872</v>
      </c>
      <c r="I186" s="65">
        <v>44308</v>
      </c>
      <c r="J186" s="75" t="s">
        <v>185</v>
      </c>
      <c r="K186" s="78" t="str">
        <f>VLOOKUP(L186,Hoja1!B$2:C$400,2,"FALSO")</f>
        <v>PREVENTIVO</v>
      </c>
      <c r="L186" s="38" t="s">
        <v>190</v>
      </c>
      <c r="M186" s="125">
        <v>6</v>
      </c>
      <c r="N186" s="95">
        <v>22396</v>
      </c>
      <c r="O186" s="101">
        <f t="shared" si="21"/>
        <v>134376</v>
      </c>
      <c r="P186" s="101">
        <f t="shared" si="22"/>
        <v>25531.439999999999</v>
      </c>
      <c r="Q186" s="101">
        <f t="shared" si="23"/>
        <v>159907.44</v>
      </c>
      <c r="R186" s="96">
        <v>0</v>
      </c>
      <c r="S186" s="102">
        <f t="shared" si="24"/>
        <v>0</v>
      </c>
      <c r="T186" s="95">
        <f t="shared" si="25"/>
        <v>0</v>
      </c>
      <c r="U186" s="102">
        <f t="shared" si="26"/>
        <v>0</v>
      </c>
      <c r="V186" s="103">
        <f t="shared" si="27"/>
        <v>159907.44</v>
      </c>
      <c r="W186" s="117"/>
      <c r="X186" s="100"/>
    </row>
    <row r="187" spans="1:24" ht="25.5" hidden="1" customHeight="1">
      <c r="A187" s="1"/>
      <c r="B187" s="1"/>
      <c r="C187" s="13"/>
      <c r="D187" s="13"/>
      <c r="E187" s="13"/>
      <c r="F187" s="14"/>
      <c r="G187" s="27" t="s">
        <v>174</v>
      </c>
      <c r="H187" s="35">
        <v>108283</v>
      </c>
      <c r="I187" s="36">
        <v>44446</v>
      </c>
      <c r="J187" s="37" t="s">
        <v>191</v>
      </c>
      <c r="K187" s="78" t="str">
        <f>VLOOKUP(L187,Hoja1!B$2:C$400,2,"FALSO")</f>
        <v>CORRECTIVO</v>
      </c>
      <c r="L187" s="38" t="s">
        <v>116</v>
      </c>
      <c r="M187" s="125">
        <v>1</v>
      </c>
      <c r="N187" s="95">
        <v>245626</v>
      </c>
      <c r="O187" s="101">
        <f t="shared" si="21"/>
        <v>245626</v>
      </c>
      <c r="P187" s="101">
        <f t="shared" si="22"/>
        <v>46668.94</v>
      </c>
      <c r="Q187" s="101">
        <f t="shared" si="23"/>
        <v>292294.94</v>
      </c>
      <c r="R187" s="96">
        <v>13994</v>
      </c>
      <c r="S187" s="102">
        <f t="shared" si="24"/>
        <v>13994</v>
      </c>
      <c r="T187" s="95">
        <f t="shared" si="25"/>
        <v>2658.86</v>
      </c>
      <c r="U187" s="102">
        <f t="shared" si="26"/>
        <v>16652.86</v>
      </c>
      <c r="V187" s="103">
        <f t="shared" si="27"/>
        <v>308947.8</v>
      </c>
      <c r="W187" s="100"/>
      <c r="X187" s="100"/>
    </row>
    <row r="188" spans="1:24" ht="25.5" hidden="1" customHeight="1">
      <c r="A188" s="1"/>
      <c r="B188" s="1"/>
      <c r="C188" s="13"/>
      <c r="D188" s="13"/>
      <c r="E188" s="13"/>
      <c r="F188" s="14"/>
      <c r="G188" s="27" t="s">
        <v>174</v>
      </c>
      <c r="H188" s="35">
        <v>108283</v>
      </c>
      <c r="I188" s="36">
        <v>44446</v>
      </c>
      <c r="J188" s="37" t="s">
        <v>191</v>
      </c>
      <c r="K188" s="78" t="str">
        <f>VLOOKUP(L188,Hoja1!B$2:C$400,2,"FALSO")</f>
        <v xml:space="preserve">PREVENTIVO </v>
      </c>
      <c r="L188" s="38" t="s">
        <v>192</v>
      </c>
      <c r="M188" s="125">
        <v>1</v>
      </c>
      <c r="N188" s="95">
        <v>30207</v>
      </c>
      <c r="O188" s="101">
        <f t="shared" si="21"/>
        <v>30207</v>
      </c>
      <c r="P188" s="101">
        <f t="shared" si="22"/>
        <v>5739.33</v>
      </c>
      <c r="Q188" s="101">
        <f t="shared" si="23"/>
        <v>35946.33</v>
      </c>
      <c r="R188" s="96">
        <v>8200</v>
      </c>
      <c r="S188" s="102">
        <f t="shared" si="24"/>
        <v>8200</v>
      </c>
      <c r="T188" s="95">
        <f t="shared" si="25"/>
        <v>1558</v>
      </c>
      <c r="U188" s="102">
        <f t="shared" si="26"/>
        <v>9758</v>
      </c>
      <c r="V188" s="103">
        <f t="shared" si="27"/>
        <v>45704.33</v>
      </c>
      <c r="W188" s="100"/>
      <c r="X188" s="100"/>
    </row>
    <row r="189" spans="1:24" ht="25.5" hidden="1" customHeight="1">
      <c r="A189" s="1"/>
      <c r="B189" s="1"/>
      <c r="C189" s="13"/>
      <c r="D189" s="13"/>
      <c r="E189" s="13"/>
      <c r="F189" s="14"/>
      <c r="G189" s="27" t="s">
        <v>174</v>
      </c>
      <c r="H189" s="35">
        <v>108283</v>
      </c>
      <c r="I189" s="36">
        <v>44446</v>
      </c>
      <c r="J189" s="37" t="s">
        <v>191</v>
      </c>
      <c r="K189" s="78" t="str">
        <f>VLOOKUP(L189,Hoja1!B$2:C$400,2,"FALSO")</f>
        <v>PREVENTIVO</v>
      </c>
      <c r="L189" s="38" t="s">
        <v>193</v>
      </c>
      <c r="M189" s="125">
        <v>1</v>
      </c>
      <c r="N189" s="95">
        <v>3500</v>
      </c>
      <c r="O189" s="101">
        <f t="shared" si="21"/>
        <v>3500</v>
      </c>
      <c r="P189" s="101">
        <f t="shared" si="22"/>
        <v>665</v>
      </c>
      <c r="Q189" s="101">
        <f t="shared" si="23"/>
        <v>4165</v>
      </c>
      <c r="R189" s="96">
        <v>0</v>
      </c>
      <c r="S189" s="102">
        <f t="shared" si="24"/>
        <v>0</v>
      </c>
      <c r="T189" s="95">
        <f t="shared" si="25"/>
        <v>0</v>
      </c>
      <c r="U189" s="102">
        <f t="shared" si="26"/>
        <v>0</v>
      </c>
      <c r="V189" s="103">
        <f t="shared" si="27"/>
        <v>4165</v>
      </c>
      <c r="W189" s="100"/>
      <c r="X189" s="100"/>
    </row>
    <row r="190" spans="1:24" ht="25.5" hidden="1" customHeight="1">
      <c r="A190" s="1"/>
      <c r="B190" s="1"/>
      <c r="C190" s="13"/>
      <c r="D190" s="13"/>
      <c r="E190" s="13"/>
      <c r="F190" s="14"/>
      <c r="G190" s="27" t="s">
        <v>174</v>
      </c>
      <c r="H190" s="35">
        <v>108283</v>
      </c>
      <c r="I190" s="36">
        <v>44446</v>
      </c>
      <c r="J190" s="37" t="s">
        <v>191</v>
      </c>
      <c r="K190" s="78" t="str">
        <f>VLOOKUP(L190,Hoja1!B$2:C$400,2,"FALSO")</f>
        <v>PREVENTIVO</v>
      </c>
      <c r="L190" s="38" t="s">
        <v>118</v>
      </c>
      <c r="M190" s="125">
        <v>1</v>
      </c>
      <c r="N190" s="95">
        <v>0</v>
      </c>
      <c r="O190" s="101">
        <f t="shared" si="21"/>
        <v>0</v>
      </c>
      <c r="P190" s="101">
        <f t="shared" si="22"/>
        <v>0</v>
      </c>
      <c r="Q190" s="101">
        <f t="shared" si="23"/>
        <v>0</v>
      </c>
      <c r="R190" s="96">
        <v>48710</v>
      </c>
      <c r="S190" s="102">
        <f t="shared" si="24"/>
        <v>48710</v>
      </c>
      <c r="T190" s="95">
        <f t="shared" si="25"/>
        <v>9254.9</v>
      </c>
      <c r="U190" s="102">
        <f t="shared" si="26"/>
        <v>57964.9</v>
      </c>
      <c r="V190" s="103">
        <f t="shared" si="27"/>
        <v>57964.9</v>
      </c>
      <c r="W190" s="100"/>
      <c r="X190" s="100"/>
    </row>
    <row r="191" spans="1:24" ht="25.5" hidden="1" customHeight="1">
      <c r="A191" s="1"/>
      <c r="B191" s="1"/>
      <c r="C191" s="13"/>
      <c r="D191" s="13"/>
      <c r="E191" s="13"/>
      <c r="F191" s="104"/>
      <c r="G191" s="85" t="s">
        <v>174</v>
      </c>
      <c r="H191" s="86">
        <v>108283</v>
      </c>
      <c r="I191" s="87">
        <v>44446</v>
      </c>
      <c r="J191" s="88" t="s">
        <v>191</v>
      </c>
      <c r="K191" s="83" t="str">
        <f>VLOOKUP(L191,Hoja1!B$2:C$400,2,"FALSO")</f>
        <v>PREVENTIVO</v>
      </c>
      <c r="L191" s="84" t="s">
        <v>194</v>
      </c>
      <c r="M191" s="127">
        <v>1</v>
      </c>
      <c r="N191" s="95">
        <v>0</v>
      </c>
      <c r="O191" s="101">
        <f t="shared" si="21"/>
        <v>0</v>
      </c>
      <c r="P191" s="101">
        <f t="shared" si="22"/>
        <v>0</v>
      </c>
      <c r="Q191" s="101">
        <f t="shared" si="23"/>
        <v>0</v>
      </c>
      <c r="R191" s="96">
        <v>90000</v>
      </c>
      <c r="S191" s="102">
        <f t="shared" si="24"/>
        <v>90000</v>
      </c>
      <c r="T191" s="95">
        <f t="shared" si="25"/>
        <v>17100</v>
      </c>
      <c r="U191" s="102">
        <f t="shared" si="26"/>
        <v>107100</v>
      </c>
      <c r="V191" s="103">
        <f t="shared" si="27"/>
        <v>107100</v>
      </c>
      <c r="W191" s="100"/>
      <c r="X191" s="100"/>
    </row>
    <row r="192" spans="1:24" ht="25.5" customHeight="1">
      <c r="A192" s="1"/>
      <c r="B192" s="1"/>
      <c r="C192" s="206"/>
      <c r="D192" s="206"/>
      <c r="E192" s="203"/>
      <c r="F192" s="149"/>
      <c r="G192" s="215" t="s">
        <v>195</v>
      </c>
      <c r="H192" s="215">
        <v>158059</v>
      </c>
      <c r="I192" s="216">
        <v>45342</v>
      </c>
      <c r="J192" s="215" t="s">
        <v>196</v>
      </c>
      <c r="K192" s="92" t="s">
        <v>71</v>
      </c>
      <c r="L192" s="94" t="s">
        <v>197</v>
      </c>
      <c r="M192" s="128">
        <v>2</v>
      </c>
      <c r="N192" s="95">
        <v>133929.41</v>
      </c>
      <c r="O192" s="95">
        <f>+N192*M192</f>
        <v>267858.82</v>
      </c>
      <c r="P192" s="95">
        <f>+O192*0.19</f>
        <v>50893.175800000005</v>
      </c>
      <c r="Q192" s="95">
        <f>+P192+O192</f>
        <v>318751.99580000003</v>
      </c>
      <c r="R192" s="96">
        <v>71121.850000000006</v>
      </c>
      <c r="S192" s="97">
        <f>+R192*M192</f>
        <v>142243.70000000001</v>
      </c>
      <c r="T192" s="95">
        <f>+S192*0.19</f>
        <v>27026.303000000004</v>
      </c>
      <c r="U192" s="97">
        <f>+T192+S192</f>
        <v>169270.00300000003</v>
      </c>
      <c r="V192" s="98">
        <f>+U192+Q192</f>
        <v>488021.99880000006</v>
      </c>
      <c r="W192" s="217">
        <f>SUM(V192:V201)</f>
        <v>3744745.9783999999</v>
      </c>
      <c r="X192" s="209" t="s">
        <v>198</v>
      </c>
    </row>
    <row r="193" spans="1:24" ht="25.5" customHeight="1">
      <c r="A193" s="1"/>
      <c r="B193" s="1"/>
      <c r="C193" s="207"/>
      <c r="D193" s="207"/>
      <c r="E193" s="204"/>
      <c r="F193" s="150"/>
      <c r="G193" s="215"/>
      <c r="H193" s="215"/>
      <c r="I193" s="216"/>
      <c r="J193" s="215"/>
      <c r="K193" s="92" t="s">
        <v>71</v>
      </c>
      <c r="L193" s="94" t="s">
        <v>199</v>
      </c>
      <c r="M193" s="128">
        <v>1</v>
      </c>
      <c r="N193" s="95">
        <v>723936.13</v>
      </c>
      <c r="O193" s="95">
        <f>+N193*M193</f>
        <v>723936.13</v>
      </c>
      <c r="P193" s="95">
        <f>+O193*0.19</f>
        <v>137547.86470000001</v>
      </c>
      <c r="Q193" s="95">
        <f>+P193+O193</f>
        <v>861483.99470000004</v>
      </c>
      <c r="R193" s="96">
        <v>538495.80000000005</v>
      </c>
      <c r="S193" s="97">
        <f>+R193*M193</f>
        <v>538495.80000000005</v>
      </c>
      <c r="T193" s="95">
        <f>+S193*0.19</f>
        <v>102314.202</v>
      </c>
      <c r="U193" s="97">
        <f>+T193+S193</f>
        <v>640810.00200000009</v>
      </c>
      <c r="V193" s="98">
        <f>+U193+Q193</f>
        <v>1502293.9967</v>
      </c>
      <c r="W193" s="217"/>
      <c r="X193" s="209"/>
    </row>
    <row r="194" spans="1:24" ht="25.5" customHeight="1">
      <c r="A194" s="1"/>
      <c r="B194" s="1"/>
      <c r="C194" s="207"/>
      <c r="D194" s="207"/>
      <c r="E194" s="204"/>
      <c r="F194" s="150"/>
      <c r="G194" s="215"/>
      <c r="H194" s="215"/>
      <c r="I194" s="216"/>
      <c r="J194" s="215"/>
      <c r="K194" s="92" t="s">
        <v>71</v>
      </c>
      <c r="L194" s="99" t="s">
        <v>200</v>
      </c>
      <c r="M194" s="128">
        <v>2</v>
      </c>
      <c r="N194" s="95">
        <v>51681.51</v>
      </c>
      <c r="O194" s="95">
        <f>+N194*M194</f>
        <v>103363.02</v>
      </c>
      <c r="P194" s="95">
        <f>+O194*0.19</f>
        <v>19638.9738</v>
      </c>
      <c r="Q194" s="95">
        <f>+P194+O194</f>
        <v>123001.9938</v>
      </c>
      <c r="R194" s="96">
        <v>5644.54</v>
      </c>
      <c r="S194" s="97">
        <f>+R194*M194</f>
        <v>11289.08</v>
      </c>
      <c r="T194" s="95">
        <f>+S194*0.19</f>
        <v>2144.9252000000001</v>
      </c>
      <c r="U194" s="97">
        <f>+T194+S194</f>
        <v>13434.0052</v>
      </c>
      <c r="V194" s="98">
        <f>+U194+Q194</f>
        <v>136435.99900000001</v>
      </c>
      <c r="W194" s="217"/>
      <c r="X194" s="209"/>
    </row>
    <row r="195" spans="1:24" ht="25.5" customHeight="1">
      <c r="A195" s="1"/>
      <c r="B195" s="1"/>
      <c r="C195" s="207"/>
      <c r="D195" s="207"/>
      <c r="E195" s="204"/>
      <c r="F195" s="150"/>
      <c r="G195" s="215"/>
      <c r="H195" s="215"/>
      <c r="I195" s="216"/>
      <c r="J195" s="215"/>
      <c r="K195" s="92" t="s">
        <v>71</v>
      </c>
      <c r="L195" s="99" t="s">
        <v>201</v>
      </c>
      <c r="M195" s="128">
        <v>2</v>
      </c>
      <c r="N195" s="95">
        <v>101403.36</v>
      </c>
      <c r="O195" s="95">
        <f>+N195*M195</f>
        <v>202806.72</v>
      </c>
      <c r="P195" s="95">
        <f>+O195*0.19</f>
        <v>38533.2768</v>
      </c>
      <c r="Q195" s="95">
        <f>+P195+O195</f>
        <v>241339.99679999999</v>
      </c>
      <c r="R195" s="96">
        <v>0</v>
      </c>
      <c r="S195" s="97">
        <f>+R195*M195</f>
        <v>0</v>
      </c>
      <c r="T195" s="95">
        <f>+S195*0.19</f>
        <v>0</v>
      </c>
      <c r="U195" s="97">
        <f>+T195+S195</f>
        <v>0</v>
      </c>
      <c r="V195" s="98">
        <f>+U195+Q195</f>
        <v>241339.99679999999</v>
      </c>
      <c r="W195" s="217"/>
      <c r="X195" s="209"/>
    </row>
    <row r="196" spans="1:24" ht="25.5" customHeight="1">
      <c r="A196" s="1"/>
      <c r="B196" s="1"/>
      <c r="C196" s="207"/>
      <c r="D196" s="207"/>
      <c r="E196" s="204"/>
      <c r="F196" s="150"/>
      <c r="G196" s="215"/>
      <c r="H196" s="215"/>
      <c r="I196" s="216"/>
      <c r="J196" s="215"/>
      <c r="K196" s="92" t="s">
        <v>71</v>
      </c>
      <c r="L196" s="99" t="s">
        <v>202</v>
      </c>
      <c r="M196" s="128">
        <v>2</v>
      </c>
      <c r="N196" s="95">
        <v>55823.53</v>
      </c>
      <c r="O196" s="95">
        <f>+N196*M196</f>
        <v>111647.06</v>
      </c>
      <c r="P196" s="95">
        <f>+O196*0.19</f>
        <v>21212.9414</v>
      </c>
      <c r="Q196" s="95">
        <f>+P196+O196</f>
        <v>132860.00140000001</v>
      </c>
      <c r="R196" s="96">
        <v>0</v>
      </c>
      <c r="S196" s="97">
        <f>+R196*M196</f>
        <v>0</v>
      </c>
      <c r="T196" s="95">
        <f>+S196*0.19</f>
        <v>0</v>
      </c>
      <c r="U196" s="97">
        <f>+T196+S196</f>
        <v>0</v>
      </c>
      <c r="V196" s="98">
        <f>+U196+Q196</f>
        <v>132860.00140000001</v>
      </c>
      <c r="W196" s="217"/>
      <c r="X196" s="209"/>
    </row>
    <row r="197" spans="1:24" ht="25.5" customHeight="1">
      <c r="A197" s="1"/>
      <c r="B197" s="1"/>
      <c r="C197" s="207"/>
      <c r="D197" s="207"/>
      <c r="E197" s="204"/>
      <c r="F197" s="150"/>
      <c r="G197" s="215"/>
      <c r="H197" s="215"/>
      <c r="I197" s="216"/>
      <c r="J197" s="215"/>
      <c r="K197" s="92" t="s">
        <v>71</v>
      </c>
      <c r="L197" s="99" t="s">
        <v>203</v>
      </c>
      <c r="M197" s="128">
        <v>1</v>
      </c>
      <c r="N197" s="95">
        <v>77578.990000000005</v>
      </c>
      <c r="O197" s="95">
        <f>+N197*M197</f>
        <v>77578.990000000005</v>
      </c>
      <c r="P197" s="95">
        <f>+O197*0.19</f>
        <v>14740.008100000001</v>
      </c>
      <c r="Q197" s="95">
        <f>+P197+O197</f>
        <v>92318.998100000012</v>
      </c>
      <c r="R197" s="96">
        <v>8466.39</v>
      </c>
      <c r="S197" s="97">
        <f>+R197*M197</f>
        <v>8466.39</v>
      </c>
      <c r="T197" s="95">
        <f>+S197*0.19</f>
        <v>1608.6141</v>
      </c>
      <c r="U197" s="97">
        <f>+T197+S197</f>
        <v>10075.0041</v>
      </c>
      <c r="V197" s="98">
        <f>+U197+Q197</f>
        <v>102394.00220000002</v>
      </c>
      <c r="W197" s="217"/>
      <c r="X197" s="209"/>
    </row>
    <row r="198" spans="1:24" ht="25.5" customHeight="1">
      <c r="A198" s="1"/>
      <c r="B198" s="1"/>
      <c r="C198" s="207"/>
      <c r="D198" s="207"/>
      <c r="E198" s="204"/>
      <c r="F198" s="150"/>
      <c r="G198" s="215"/>
      <c r="H198" s="215"/>
      <c r="I198" s="216"/>
      <c r="J198" s="215"/>
      <c r="K198" s="92" t="s">
        <v>61</v>
      </c>
      <c r="L198" s="99" t="s">
        <v>204</v>
      </c>
      <c r="M198" s="128">
        <v>1</v>
      </c>
      <c r="N198" s="95">
        <v>0</v>
      </c>
      <c r="O198" s="95">
        <f>+N198*M198</f>
        <v>0</v>
      </c>
      <c r="P198" s="95">
        <f>+O198*0.19</f>
        <v>0</v>
      </c>
      <c r="Q198" s="95">
        <f>+P198+O198</f>
        <v>0</v>
      </c>
      <c r="R198" s="96">
        <v>280000</v>
      </c>
      <c r="S198" s="97">
        <f>+R198*M198</f>
        <v>280000</v>
      </c>
      <c r="T198" s="95">
        <f>+S198*0.19</f>
        <v>53200</v>
      </c>
      <c r="U198" s="97">
        <f>+T198+S198</f>
        <v>333200</v>
      </c>
      <c r="V198" s="98">
        <f>+U198+Q198</f>
        <v>333200</v>
      </c>
      <c r="W198" s="217"/>
      <c r="X198" s="209"/>
    </row>
    <row r="199" spans="1:24" ht="25.5" customHeight="1">
      <c r="A199" s="1"/>
      <c r="B199" s="1"/>
      <c r="C199" s="207"/>
      <c r="D199" s="207"/>
      <c r="E199" s="204"/>
      <c r="F199" s="150"/>
      <c r="G199" s="215"/>
      <c r="H199" s="215"/>
      <c r="I199" s="216"/>
      <c r="J199" s="215"/>
      <c r="K199" s="92" t="s">
        <v>71</v>
      </c>
      <c r="L199" s="99" t="s">
        <v>205</v>
      </c>
      <c r="M199" s="128">
        <v>1</v>
      </c>
      <c r="N199" s="95">
        <v>0</v>
      </c>
      <c r="O199" s="95">
        <f>+N199*M199</f>
        <v>0</v>
      </c>
      <c r="P199" s="95">
        <f>+O199*0.19</f>
        <v>0</v>
      </c>
      <c r="Q199" s="95">
        <f>+P199+O199</f>
        <v>0</v>
      </c>
      <c r="R199" s="96">
        <v>180000</v>
      </c>
      <c r="S199" s="97">
        <f>+R199*M199</f>
        <v>180000</v>
      </c>
      <c r="T199" s="95">
        <f>+S199*0.19</f>
        <v>34200</v>
      </c>
      <c r="U199" s="97">
        <f>+T199+S199</f>
        <v>214200</v>
      </c>
      <c r="V199" s="98">
        <f>+U199+Q199</f>
        <v>214200</v>
      </c>
      <c r="W199" s="217"/>
      <c r="X199" s="209"/>
    </row>
    <row r="200" spans="1:24" ht="25.5" customHeight="1">
      <c r="A200" s="1"/>
      <c r="B200" s="1"/>
      <c r="C200" s="207"/>
      <c r="D200" s="207"/>
      <c r="E200" s="204"/>
      <c r="F200" s="150"/>
      <c r="G200" s="215"/>
      <c r="H200" s="215"/>
      <c r="I200" s="216"/>
      <c r="J200" s="215"/>
      <c r="K200" s="92" t="s">
        <v>61</v>
      </c>
      <c r="L200" s="99" t="s">
        <v>206</v>
      </c>
      <c r="M200" s="128">
        <v>1</v>
      </c>
      <c r="N200" s="95">
        <v>0</v>
      </c>
      <c r="O200" s="95">
        <f>+N200*M200</f>
        <v>0</v>
      </c>
      <c r="P200" s="95">
        <f>+O200*0.19</f>
        <v>0</v>
      </c>
      <c r="Q200" s="95">
        <f>+P200+O200</f>
        <v>0</v>
      </c>
      <c r="R200" s="96">
        <v>99831.93</v>
      </c>
      <c r="S200" s="97">
        <f>+R200*M200</f>
        <v>99831.93</v>
      </c>
      <c r="T200" s="95">
        <f>+S200*0.19</f>
        <v>18968.066699999999</v>
      </c>
      <c r="U200" s="97">
        <f>+T200+S200</f>
        <v>118799.99669999999</v>
      </c>
      <c r="V200" s="98">
        <f>+U200+Q200</f>
        <v>118799.99669999999</v>
      </c>
      <c r="W200" s="217"/>
      <c r="X200" s="209"/>
    </row>
    <row r="201" spans="1:24" ht="25.5" customHeight="1">
      <c r="A201" s="1"/>
      <c r="B201" s="1"/>
      <c r="C201" s="208"/>
      <c r="D201" s="208"/>
      <c r="E201" s="205"/>
      <c r="F201" s="151"/>
      <c r="G201" s="215"/>
      <c r="H201" s="215"/>
      <c r="I201" s="216"/>
      <c r="J201" s="215"/>
      <c r="K201" s="92" t="s">
        <v>61</v>
      </c>
      <c r="L201" s="99" t="s">
        <v>207</v>
      </c>
      <c r="M201" s="128">
        <v>4</v>
      </c>
      <c r="N201" s="95">
        <v>0</v>
      </c>
      <c r="O201" s="95">
        <f>+N201*M201</f>
        <v>0</v>
      </c>
      <c r="P201" s="95">
        <f>+O201*0.19</f>
        <v>0</v>
      </c>
      <c r="Q201" s="95">
        <f>+P201+O201</f>
        <v>0</v>
      </c>
      <c r="R201" s="96">
        <v>99831.93</v>
      </c>
      <c r="S201" s="97">
        <f>+R201*M201</f>
        <v>399327.72</v>
      </c>
      <c r="T201" s="95">
        <f>+S201*0.19</f>
        <v>75872.266799999998</v>
      </c>
      <c r="U201" s="97">
        <f>+T201+S201</f>
        <v>475199.98679999996</v>
      </c>
      <c r="V201" s="98">
        <f>+U201+Q201</f>
        <v>475199.98679999996</v>
      </c>
      <c r="W201" s="217"/>
      <c r="X201" s="209"/>
    </row>
    <row r="202" spans="1:24" ht="25.5" customHeight="1">
      <c r="A202" s="1"/>
      <c r="B202" s="1"/>
      <c r="C202" s="206"/>
      <c r="D202" s="206"/>
      <c r="E202" s="203"/>
      <c r="F202" s="149"/>
      <c r="G202" s="215" t="s">
        <v>195</v>
      </c>
      <c r="H202" s="215">
        <v>159563</v>
      </c>
      <c r="I202" s="216">
        <v>45342</v>
      </c>
      <c r="J202" s="215" t="s">
        <v>208</v>
      </c>
      <c r="K202" s="92" t="s">
        <v>61</v>
      </c>
      <c r="L202" s="99" t="s">
        <v>209</v>
      </c>
      <c r="M202" s="128">
        <v>4</v>
      </c>
      <c r="N202" s="95">
        <v>22185.71</v>
      </c>
      <c r="O202" s="95">
        <f>+N202*M202</f>
        <v>88742.84</v>
      </c>
      <c r="P202" s="95">
        <f>+O202*0.19</f>
        <v>16861.139599999999</v>
      </c>
      <c r="Q202" s="95">
        <f>+P202+O202</f>
        <v>105603.97959999999</v>
      </c>
      <c r="R202" s="96">
        <v>0</v>
      </c>
      <c r="S202" s="97">
        <f>+R202*M202</f>
        <v>0</v>
      </c>
      <c r="T202" s="95">
        <f>+S202*0.19</f>
        <v>0</v>
      </c>
      <c r="U202" s="97">
        <f>+T202+S202</f>
        <v>0</v>
      </c>
      <c r="V202" s="98">
        <f>+U202+Q202</f>
        <v>105603.97959999999</v>
      </c>
      <c r="W202" s="217">
        <f>SUM(V202:V207)</f>
        <v>1467540.9749</v>
      </c>
      <c r="X202" s="209" t="s">
        <v>198</v>
      </c>
    </row>
    <row r="203" spans="1:24" ht="25.5" customHeight="1">
      <c r="A203" s="1"/>
      <c r="B203" s="1"/>
      <c r="C203" s="207"/>
      <c r="D203" s="207"/>
      <c r="E203" s="204"/>
      <c r="F203" s="150"/>
      <c r="G203" s="215"/>
      <c r="H203" s="215"/>
      <c r="I203" s="216"/>
      <c r="J203" s="215"/>
      <c r="K203" s="92" t="s">
        <v>71</v>
      </c>
      <c r="L203" s="94" t="s">
        <v>210</v>
      </c>
      <c r="M203" s="128">
        <v>1</v>
      </c>
      <c r="N203" s="95">
        <v>91627.73</v>
      </c>
      <c r="O203" s="95">
        <f>+N203*M203</f>
        <v>91627.73</v>
      </c>
      <c r="P203" s="95">
        <f>+O203*0.19</f>
        <v>17409.268700000001</v>
      </c>
      <c r="Q203" s="95">
        <f>+P203+O203</f>
        <v>109036.9987</v>
      </c>
      <c r="R203" s="96">
        <v>107247.06</v>
      </c>
      <c r="S203" s="97">
        <f>+R203*M203</f>
        <v>107247.06</v>
      </c>
      <c r="T203" s="95">
        <f>+S203*0.19</f>
        <v>20376.9414</v>
      </c>
      <c r="U203" s="97">
        <f>+T203+S203</f>
        <v>127624.00139999999</v>
      </c>
      <c r="V203" s="98">
        <f>+U203+Q203</f>
        <v>236661.0001</v>
      </c>
      <c r="W203" s="218"/>
      <c r="X203" s="209"/>
    </row>
    <row r="204" spans="1:24" ht="25.5" customHeight="1">
      <c r="A204" s="1"/>
      <c r="B204" s="1"/>
      <c r="C204" s="207"/>
      <c r="D204" s="207"/>
      <c r="E204" s="204"/>
      <c r="F204" s="150"/>
      <c r="G204" s="215"/>
      <c r="H204" s="215"/>
      <c r="I204" s="216"/>
      <c r="J204" s="215"/>
      <c r="K204" s="92" t="s">
        <v>71</v>
      </c>
      <c r="L204" s="94" t="s">
        <v>211</v>
      </c>
      <c r="M204" s="128">
        <v>1</v>
      </c>
      <c r="N204" s="95">
        <v>380000</v>
      </c>
      <c r="O204" s="95">
        <f>+N204*M204</f>
        <v>380000</v>
      </c>
      <c r="P204" s="95">
        <f>+O204*0.19</f>
        <v>72200</v>
      </c>
      <c r="Q204" s="95">
        <f>+P204+O204</f>
        <v>452200</v>
      </c>
      <c r="R204" s="96">
        <v>90000</v>
      </c>
      <c r="S204" s="97">
        <f>+R204*M204</f>
        <v>90000</v>
      </c>
      <c r="T204" s="95">
        <f>+S204*0.19</f>
        <v>17100</v>
      </c>
      <c r="U204" s="97">
        <f>+T204+S204</f>
        <v>107100</v>
      </c>
      <c r="V204" s="98">
        <f>+U204+Q204</f>
        <v>559300</v>
      </c>
      <c r="W204" s="218"/>
      <c r="X204" s="209"/>
    </row>
    <row r="205" spans="1:24" ht="50.25" customHeight="1">
      <c r="A205" s="1"/>
      <c r="B205" s="1"/>
      <c r="C205" s="207"/>
      <c r="D205" s="207"/>
      <c r="E205" s="204"/>
      <c r="F205" s="150"/>
      <c r="G205" s="215"/>
      <c r="H205" s="215"/>
      <c r="I205" s="216"/>
      <c r="J205" s="215"/>
      <c r="K205" s="92" t="s">
        <v>71</v>
      </c>
      <c r="L205" s="94" t="s">
        <v>212</v>
      </c>
      <c r="M205" s="128">
        <v>1</v>
      </c>
      <c r="N205" s="95">
        <v>0</v>
      </c>
      <c r="O205" s="95">
        <f>+N205*M205</f>
        <v>0</v>
      </c>
      <c r="P205" s="95">
        <f>+O205*0.19</f>
        <v>0</v>
      </c>
      <c r="Q205" s="95">
        <f>+P205+O205</f>
        <v>0</v>
      </c>
      <c r="R205" s="96">
        <v>233686.55</v>
      </c>
      <c r="S205" s="97">
        <f>+R205*M205</f>
        <v>233686.55</v>
      </c>
      <c r="T205" s="95">
        <f>+S205*0.19</f>
        <v>44400.444499999998</v>
      </c>
      <c r="U205" s="97">
        <f>+T205+S205</f>
        <v>278086.99449999997</v>
      </c>
      <c r="V205" s="98">
        <f>+U205+Q205</f>
        <v>278086.99449999997</v>
      </c>
      <c r="W205" s="218"/>
      <c r="X205" s="209"/>
    </row>
    <row r="206" spans="1:24" ht="25.5" customHeight="1">
      <c r="A206" s="1"/>
      <c r="B206" s="1"/>
      <c r="C206" s="207"/>
      <c r="D206" s="207"/>
      <c r="E206" s="204"/>
      <c r="F206" s="150"/>
      <c r="G206" s="215"/>
      <c r="H206" s="215"/>
      <c r="I206" s="216"/>
      <c r="J206" s="215"/>
      <c r="K206" s="92" t="s">
        <v>61</v>
      </c>
      <c r="L206" s="94" t="s">
        <v>213</v>
      </c>
      <c r="M206" s="128">
        <v>1</v>
      </c>
      <c r="N206" s="95">
        <v>0</v>
      </c>
      <c r="O206" s="95">
        <f>+N206*M206</f>
        <v>0</v>
      </c>
      <c r="P206" s="95">
        <f>+O206*0.19</f>
        <v>0</v>
      </c>
      <c r="Q206" s="95">
        <f>+P206+O206</f>
        <v>0</v>
      </c>
      <c r="R206" s="96">
        <v>120000</v>
      </c>
      <c r="S206" s="97">
        <f>+R206*M206</f>
        <v>120000</v>
      </c>
      <c r="T206" s="95">
        <f>+S206*0.19</f>
        <v>22800</v>
      </c>
      <c r="U206" s="97">
        <f>+T206+S206</f>
        <v>142800</v>
      </c>
      <c r="V206" s="98">
        <f>+U206+Q206</f>
        <v>142800</v>
      </c>
      <c r="W206" s="218"/>
      <c r="X206" s="209"/>
    </row>
    <row r="207" spans="1:24" ht="25.5" customHeight="1">
      <c r="A207" s="1"/>
      <c r="B207" s="1"/>
      <c r="C207" s="208"/>
      <c r="D207" s="208"/>
      <c r="E207" s="205"/>
      <c r="F207" s="151"/>
      <c r="G207" s="215"/>
      <c r="H207" s="215"/>
      <c r="I207" s="216"/>
      <c r="J207" s="215"/>
      <c r="K207" s="92" t="s">
        <v>61</v>
      </c>
      <c r="L207" s="94" t="s">
        <v>214</v>
      </c>
      <c r="M207" s="128">
        <v>1</v>
      </c>
      <c r="N207" s="95">
        <v>0</v>
      </c>
      <c r="O207" s="95">
        <f>+N207*M207</f>
        <v>0</v>
      </c>
      <c r="P207" s="95">
        <f>+O207*0.19</f>
        <v>0</v>
      </c>
      <c r="Q207" s="95">
        <f>+P207+O207</f>
        <v>0</v>
      </c>
      <c r="R207" s="96">
        <v>121923.53</v>
      </c>
      <c r="S207" s="97">
        <f>+R207*M207</f>
        <v>121923.53</v>
      </c>
      <c r="T207" s="95">
        <f>+S207*0.19</f>
        <v>23165.470700000002</v>
      </c>
      <c r="U207" s="97">
        <f>+T207+S207</f>
        <v>145089.0007</v>
      </c>
      <c r="V207" s="98">
        <f>+U207+Q207</f>
        <v>145089.0007</v>
      </c>
      <c r="W207" s="218"/>
      <c r="X207" s="209"/>
    </row>
    <row r="208" spans="1:24" ht="25.5" customHeight="1">
      <c r="A208" s="1"/>
      <c r="B208" s="1"/>
      <c r="C208" s="206"/>
      <c r="D208" s="206"/>
      <c r="E208" s="203"/>
      <c r="F208" s="149"/>
      <c r="G208" s="215" t="s">
        <v>195</v>
      </c>
      <c r="H208" s="215">
        <v>162356</v>
      </c>
      <c r="I208" s="216">
        <v>45342</v>
      </c>
      <c r="J208" s="215" t="s">
        <v>215</v>
      </c>
      <c r="K208" s="92" t="s">
        <v>61</v>
      </c>
      <c r="L208" s="94" t="s">
        <v>102</v>
      </c>
      <c r="M208" s="128">
        <v>6</v>
      </c>
      <c r="N208" s="95">
        <v>26996.639999999999</v>
      </c>
      <c r="O208" s="95">
        <f>+N208*M208</f>
        <v>161979.84</v>
      </c>
      <c r="P208" s="95">
        <v>0</v>
      </c>
      <c r="Q208" s="95">
        <f>+P208+O208</f>
        <v>161979.84</v>
      </c>
      <c r="R208" s="96">
        <v>0</v>
      </c>
      <c r="S208" s="97">
        <f>+R208*M208</f>
        <v>0</v>
      </c>
      <c r="T208" s="95">
        <f>+S208*0.19</f>
        <v>0</v>
      </c>
      <c r="U208" s="97">
        <f>+T208+S208</f>
        <v>0</v>
      </c>
      <c r="V208" s="98">
        <f>+U208+Q208</f>
        <v>161979.84</v>
      </c>
      <c r="W208" s="217">
        <f>SUM(V208:V211)</f>
        <v>396217.83350000001</v>
      </c>
      <c r="X208" s="209" t="s">
        <v>198</v>
      </c>
    </row>
    <row r="209" spans="1:24" ht="25.5" customHeight="1">
      <c r="A209" s="1"/>
      <c r="B209" s="1"/>
      <c r="C209" s="207"/>
      <c r="D209" s="207"/>
      <c r="E209" s="204"/>
      <c r="F209" s="150"/>
      <c r="G209" s="215"/>
      <c r="H209" s="215"/>
      <c r="I209" s="216"/>
      <c r="J209" s="215"/>
      <c r="K209" s="92" t="s">
        <v>61</v>
      </c>
      <c r="L209" s="94" t="s">
        <v>126</v>
      </c>
      <c r="M209" s="128">
        <v>1</v>
      </c>
      <c r="N209" s="95">
        <v>38683.19</v>
      </c>
      <c r="O209" s="95">
        <f>+N209*M209</f>
        <v>38683.19</v>
      </c>
      <c r="P209" s="95">
        <f>+O209*0.19</f>
        <v>7349.8061000000007</v>
      </c>
      <c r="Q209" s="95">
        <f>+P209+O209</f>
        <v>46032.996100000004</v>
      </c>
      <c r="R209" s="96">
        <v>22578.15</v>
      </c>
      <c r="S209" s="97">
        <f>+R209*M209</f>
        <v>22578.15</v>
      </c>
      <c r="T209" s="95">
        <f>+S209*0.19</f>
        <v>4289.8485000000001</v>
      </c>
      <c r="U209" s="97">
        <f>+T209+S209</f>
        <v>26867.998500000002</v>
      </c>
      <c r="V209" s="98">
        <f>+U209+Q209</f>
        <v>72900.994600000005</v>
      </c>
      <c r="W209" s="218"/>
      <c r="X209" s="209"/>
    </row>
    <row r="210" spans="1:24" ht="25.5" customHeight="1">
      <c r="A210" s="1"/>
      <c r="B210" s="1"/>
      <c r="C210" s="207"/>
      <c r="D210" s="207"/>
      <c r="E210" s="204"/>
      <c r="F210" s="150"/>
      <c r="G210" s="215"/>
      <c r="H210" s="215"/>
      <c r="I210" s="216"/>
      <c r="J210" s="215"/>
      <c r="K210" s="92" t="s">
        <v>61</v>
      </c>
      <c r="L210" s="94" t="s">
        <v>125</v>
      </c>
      <c r="M210" s="128">
        <v>1</v>
      </c>
      <c r="N210" s="95">
        <v>33974.79</v>
      </c>
      <c r="O210" s="95">
        <f>+N210*M210</f>
        <v>33974.79</v>
      </c>
      <c r="P210" s="95">
        <f>+O210*0.19</f>
        <v>6455.2101000000002</v>
      </c>
      <c r="Q210" s="95">
        <f>+P210+O210</f>
        <v>40430.000100000005</v>
      </c>
      <c r="R210" s="96">
        <v>22578.15</v>
      </c>
      <c r="S210" s="97">
        <f>+R210*M210</f>
        <v>22578.15</v>
      </c>
      <c r="T210" s="95">
        <f>+S210*0.19</f>
        <v>4289.8485000000001</v>
      </c>
      <c r="U210" s="97">
        <f>+T210+S210</f>
        <v>26867.998500000002</v>
      </c>
      <c r="V210" s="98">
        <f>+U210+Q210</f>
        <v>67297.998600000006</v>
      </c>
      <c r="W210" s="218"/>
      <c r="X210" s="209"/>
    </row>
    <row r="211" spans="1:24" ht="25.5" customHeight="1">
      <c r="A211" s="1"/>
      <c r="B211" s="1"/>
      <c r="C211" s="208"/>
      <c r="D211" s="208"/>
      <c r="E211" s="205"/>
      <c r="F211" s="151"/>
      <c r="G211" s="215"/>
      <c r="H211" s="215"/>
      <c r="I211" s="216"/>
      <c r="J211" s="215"/>
      <c r="K211" s="92" t="s">
        <v>61</v>
      </c>
      <c r="L211" s="94" t="s">
        <v>102</v>
      </c>
      <c r="M211" s="128">
        <v>1</v>
      </c>
      <c r="N211" s="95">
        <v>0</v>
      </c>
      <c r="O211" s="95">
        <f t="shared" ref="O211:O270" si="28">+N211*M211</f>
        <v>0</v>
      </c>
      <c r="P211" s="95">
        <f t="shared" ref="P211:P270" si="29">+O211*0.19</f>
        <v>0</v>
      </c>
      <c r="Q211" s="95">
        <f t="shared" ref="Q211:Q270" si="30">+P211+O211</f>
        <v>0</v>
      </c>
      <c r="R211" s="96">
        <v>79024.37</v>
      </c>
      <c r="S211" s="97">
        <f>+R211*M211</f>
        <v>79024.37</v>
      </c>
      <c r="T211" s="95">
        <f>+S211*0.19</f>
        <v>15014.630299999999</v>
      </c>
      <c r="U211" s="97">
        <f>+T211+S211</f>
        <v>94039.0003</v>
      </c>
      <c r="V211" s="98">
        <f>+U211+Q211</f>
        <v>94039.0003</v>
      </c>
      <c r="W211" s="219"/>
      <c r="X211" s="220"/>
    </row>
    <row r="212" spans="1:24" ht="25.5" customHeight="1">
      <c r="A212" s="1"/>
      <c r="B212" s="1"/>
      <c r="C212" s="192">
        <v>45362</v>
      </c>
      <c r="D212" s="189"/>
      <c r="E212" s="186" t="s">
        <v>216</v>
      </c>
      <c r="F212" s="177"/>
      <c r="G212" s="185" t="s">
        <v>195</v>
      </c>
      <c r="H212" s="200">
        <v>165037</v>
      </c>
      <c r="I212" s="197">
        <v>45374</v>
      </c>
      <c r="J212" s="185" t="s">
        <v>217</v>
      </c>
      <c r="K212" s="100" t="s">
        <v>61</v>
      </c>
      <c r="L212" s="100" t="s">
        <v>209</v>
      </c>
      <c r="M212" s="143">
        <v>2</v>
      </c>
      <c r="N212" s="95">
        <v>22185.71</v>
      </c>
      <c r="O212" s="95">
        <f t="shared" si="28"/>
        <v>44371.42</v>
      </c>
      <c r="P212" s="95">
        <f t="shared" si="29"/>
        <v>8430.5697999999993</v>
      </c>
      <c r="Q212" s="95">
        <f t="shared" si="30"/>
        <v>52801.989799999996</v>
      </c>
      <c r="R212" s="96">
        <v>0</v>
      </c>
      <c r="S212" s="97">
        <f t="shared" ref="S212:S270" si="31">+R212*M212</f>
        <v>0</v>
      </c>
      <c r="T212" s="95">
        <f t="shared" ref="T212:T270" si="32">+S212*0.19</f>
        <v>0</v>
      </c>
      <c r="U212" s="97">
        <f t="shared" ref="U212:U270" si="33">+T212+S212</f>
        <v>0</v>
      </c>
      <c r="V212" s="133">
        <f t="shared" ref="V212:V270" si="34">+U212+Q212</f>
        <v>52801.989799999996</v>
      </c>
      <c r="W212" s="193">
        <f>SUM(V212:V224)</f>
        <v>3995681.0358999996</v>
      </c>
      <c r="X212" s="196" t="s">
        <v>198</v>
      </c>
    </row>
    <row r="213" spans="1:24" ht="25.5" customHeight="1">
      <c r="A213" s="1"/>
      <c r="B213" s="1"/>
      <c r="C213" s="190"/>
      <c r="D213" s="190"/>
      <c r="E213" s="187"/>
      <c r="F213" s="178"/>
      <c r="G213" s="162"/>
      <c r="H213" s="201"/>
      <c r="I213" s="198"/>
      <c r="J213" s="162"/>
      <c r="K213" s="100" t="s">
        <v>71</v>
      </c>
      <c r="L213" s="100" t="s">
        <v>218</v>
      </c>
      <c r="M213" s="143">
        <v>1</v>
      </c>
      <c r="N213" s="95">
        <v>167877.31</v>
      </c>
      <c r="O213" s="95">
        <f t="shared" si="28"/>
        <v>167877.31</v>
      </c>
      <c r="P213" s="95">
        <f t="shared" si="29"/>
        <v>31896.688900000001</v>
      </c>
      <c r="Q213" s="95">
        <f t="shared" si="30"/>
        <v>199773.99890000001</v>
      </c>
      <c r="R213" s="96">
        <v>203205.88</v>
      </c>
      <c r="S213" s="97">
        <f t="shared" si="31"/>
        <v>203205.88</v>
      </c>
      <c r="T213" s="95">
        <f t="shared" si="32"/>
        <v>38609.117200000001</v>
      </c>
      <c r="U213" s="97">
        <f t="shared" si="33"/>
        <v>241814.99720000001</v>
      </c>
      <c r="V213" s="133">
        <f t="shared" si="34"/>
        <v>441588.99609999999</v>
      </c>
      <c r="W213" s="194"/>
      <c r="X213" s="196"/>
    </row>
    <row r="214" spans="1:24" ht="25.5" customHeight="1">
      <c r="A214" s="1"/>
      <c r="B214" s="1"/>
      <c r="C214" s="190"/>
      <c r="D214" s="190"/>
      <c r="E214" s="187"/>
      <c r="F214" s="178"/>
      <c r="G214" s="162"/>
      <c r="H214" s="201"/>
      <c r="I214" s="198"/>
      <c r="J214" s="162"/>
      <c r="K214" s="100" t="s">
        <v>71</v>
      </c>
      <c r="L214" s="100" t="s">
        <v>219</v>
      </c>
      <c r="M214" s="143">
        <v>1</v>
      </c>
      <c r="N214" s="95">
        <v>120000</v>
      </c>
      <c r="O214" s="95">
        <f t="shared" si="28"/>
        <v>120000</v>
      </c>
      <c r="P214" s="95">
        <f t="shared" si="29"/>
        <v>22800</v>
      </c>
      <c r="Q214" s="95">
        <f t="shared" si="30"/>
        <v>142800</v>
      </c>
      <c r="R214" s="96">
        <v>0</v>
      </c>
      <c r="S214" s="97">
        <f t="shared" si="31"/>
        <v>0</v>
      </c>
      <c r="T214" s="95">
        <f t="shared" si="32"/>
        <v>0</v>
      </c>
      <c r="U214" s="97">
        <f t="shared" si="33"/>
        <v>0</v>
      </c>
      <c r="V214" s="133">
        <f t="shared" si="34"/>
        <v>142800</v>
      </c>
      <c r="W214" s="194"/>
      <c r="X214" s="196"/>
    </row>
    <row r="215" spans="1:24" ht="25.5" customHeight="1">
      <c r="A215" s="1"/>
      <c r="B215" s="1"/>
      <c r="C215" s="190"/>
      <c r="D215" s="190"/>
      <c r="E215" s="187"/>
      <c r="F215" s="178"/>
      <c r="G215" s="162"/>
      <c r="H215" s="201"/>
      <c r="I215" s="198"/>
      <c r="J215" s="162"/>
      <c r="K215" s="100" t="s">
        <v>71</v>
      </c>
      <c r="L215" s="100" t="s">
        <v>220</v>
      </c>
      <c r="M215" s="143">
        <v>2</v>
      </c>
      <c r="N215" s="95">
        <v>467518.49</v>
      </c>
      <c r="O215" s="95">
        <f t="shared" si="28"/>
        <v>935036.98</v>
      </c>
      <c r="P215" s="95">
        <f t="shared" si="29"/>
        <v>177657.02619999999</v>
      </c>
      <c r="Q215" s="95">
        <f t="shared" si="30"/>
        <v>1112694.0061999999</v>
      </c>
      <c r="R215" s="96">
        <v>71121.850000000006</v>
      </c>
      <c r="S215" s="97">
        <f t="shared" si="31"/>
        <v>142243.70000000001</v>
      </c>
      <c r="T215" s="95">
        <f t="shared" si="32"/>
        <v>27026.303000000004</v>
      </c>
      <c r="U215" s="97">
        <f t="shared" si="33"/>
        <v>169270.00300000003</v>
      </c>
      <c r="V215" s="133">
        <f t="shared" si="34"/>
        <v>1281964.0092</v>
      </c>
      <c r="W215" s="194"/>
      <c r="X215" s="196"/>
    </row>
    <row r="216" spans="1:24" ht="25.5" customHeight="1">
      <c r="A216" s="1"/>
      <c r="B216" s="1"/>
      <c r="C216" s="190"/>
      <c r="D216" s="190"/>
      <c r="E216" s="187"/>
      <c r="F216" s="178"/>
      <c r="G216" s="162"/>
      <c r="H216" s="201"/>
      <c r="I216" s="198"/>
      <c r="J216" s="162"/>
      <c r="K216" s="100" t="s">
        <v>71</v>
      </c>
      <c r="L216" s="100" t="s">
        <v>221</v>
      </c>
      <c r="M216" s="143">
        <v>1</v>
      </c>
      <c r="N216" s="95">
        <v>168747.9</v>
      </c>
      <c r="O216" s="95">
        <f t="shared" si="28"/>
        <v>168747.9</v>
      </c>
      <c r="P216" s="95">
        <f t="shared" si="29"/>
        <v>32062.100999999999</v>
      </c>
      <c r="Q216" s="95">
        <f t="shared" si="30"/>
        <v>200810.00099999999</v>
      </c>
      <c r="R216" s="96">
        <v>121923.53</v>
      </c>
      <c r="S216" s="97">
        <f t="shared" si="31"/>
        <v>121923.53</v>
      </c>
      <c r="T216" s="95">
        <v>23165.49</v>
      </c>
      <c r="U216" s="97">
        <f t="shared" si="33"/>
        <v>145089.01999999999</v>
      </c>
      <c r="V216" s="133">
        <f t="shared" si="34"/>
        <v>345899.02099999995</v>
      </c>
      <c r="W216" s="194"/>
      <c r="X216" s="196"/>
    </row>
    <row r="217" spans="1:24" ht="25.5" customHeight="1">
      <c r="A217" s="1"/>
      <c r="B217" s="1"/>
      <c r="C217" s="190"/>
      <c r="D217" s="190"/>
      <c r="E217" s="187"/>
      <c r="F217" s="178"/>
      <c r="G217" s="162"/>
      <c r="H217" s="201"/>
      <c r="I217" s="198"/>
      <c r="J217" s="162"/>
      <c r="K217" s="100" t="s">
        <v>71</v>
      </c>
      <c r="L217" s="100" t="s">
        <v>222</v>
      </c>
      <c r="M217" s="143">
        <v>2</v>
      </c>
      <c r="N217" s="95">
        <v>22754.62</v>
      </c>
      <c r="O217" s="95">
        <f t="shared" si="28"/>
        <v>45509.24</v>
      </c>
      <c r="P217" s="95">
        <f t="shared" si="29"/>
        <v>8646.7556000000004</v>
      </c>
      <c r="Q217" s="95">
        <f t="shared" si="30"/>
        <v>54155.995599999995</v>
      </c>
      <c r="R217" s="96">
        <v>0</v>
      </c>
      <c r="S217" s="97">
        <f t="shared" si="31"/>
        <v>0</v>
      </c>
      <c r="T217" s="95">
        <f t="shared" si="32"/>
        <v>0</v>
      </c>
      <c r="U217" s="97">
        <f t="shared" si="33"/>
        <v>0</v>
      </c>
      <c r="V217" s="133">
        <f t="shared" si="34"/>
        <v>54155.995599999995</v>
      </c>
      <c r="W217" s="194"/>
      <c r="X217" s="196"/>
    </row>
    <row r="218" spans="1:24" ht="25.5" customHeight="1">
      <c r="A218" s="1"/>
      <c r="B218" s="1"/>
      <c r="C218" s="190"/>
      <c r="D218" s="190"/>
      <c r="E218" s="187"/>
      <c r="F218" s="178"/>
      <c r="G218" s="162"/>
      <c r="H218" s="201"/>
      <c r="I218" s="198"/>
      <c r="J218" s="162"/>
      <c r="K218" s="100" t="s">
        <v>71</v>
      </c>
      <c r="L218" s="100" t="s">
        <v>223</v>
      </c>
      <c r="M218" s="143">
        <v>2</v>
      </c>
      <c r="N218" s="95">
        <v>101094.12</v>
      </c>
      <c r="O218" s="95">
        <f t="shared" si="28"/>
        <v>202188.24</v>
      </c>
      <c r="P218" s="95">
        <f t="shared" si="29"/>
        <v>38415.765599999999</v>
      </c>
      <c r="Q218" s="95">
        <f t="shared" si="30"/>
        <v>240604.00559999997</v>
      </c>
      <c r="R218" s="96">
        <v>67735.289999999994</v>
      </c>
      <c r="S218" s="97">
        <f t="shared" si="31"/>
        <v>135470.57999999999</v>
      </c>
      <c r="T218" s="95">
        <f t="shared" si="32"/>
        <v>25739.410199999998</v>
      </c>
      <c r="U218" s="97">
        <f t="shared" si="33"/>
        <v>161209.9902</v>
      </c>
      <c r="V218" s="133">
        <f t="shared" si="34"/>
        <v>401813.99579999998</v>
      </c>
      <c r="W218" s="194"/>
      <c r="X218" s="196"/>
    </row>
    <row r="219" spans="1:24" ht="25.5" customHeight="1">
      <c r="A219" s="1"/>
      <c r="B219" s="1"/>
      <c r="C219" s="190"/>
      <c r="D219" s="190"/>
      <c r="E219" s="187"/>
      <c r="F219" s="178"/>
      <c r="G219" s="162"/>
      <c r="H219" s="201"/>
      <c r="I219" s="198"/>
      <c r="J219" s="162"/>
      <c r="K219" s="100" t="s">
        <v>71</v>
      </c>
      <c r="L219" s="100" t="s">
        <v>224</v>
      </c>
      <c r="M219" s="143">
        <v>2</v>
      </c>
      <c r="N219" s="95">
        <v>103968.91</v>
      </c>
      <c r="O219" s="95">
        <f t="shared" si="28"/>
        <v>207937.82</v>
      </c>
      <c r="P219" s="95">
        <f t="shared" si="29"/>
        <v>39508.185799999999</v>
      </c>
      <c r="Q219" s="95">
        <f t="shared" si="30"/>
        <v>247446.00580000001</v>
      </c>
      <c r="R219" s="96">
        <v>33867.230000000003</v>
      </c>
      <c r="S219" s="97">
        <f t="shared" si="31"/>
        <v>67734.460000000006</v>
      </c>
      <c r="T219" s="95">
        <f t="shared" si="32"/>
        <v>12869.547400000001</v>
      </c>
      <c r="U219" s="97">
        <f t="shared" si="33"/>
        <v>80604.007400000002</v>
      </c>
      <c r="V219" s="133">
        <f t="shared" si="34"/>
        <v>328050.01320000004</v>
      </c>
      <c r="W219" s="194"/>
      <c r="X219" s="196"/>
    </row>
    <row r="220" spans="1:24" ht="25.5" customHeight="1">
      <c r="A220" s="1"/>
      <c r="B220" s="1"/>
      <c r="C220" s="190"/>
      <c r="D220" s="190"/>
      <c r="E220" s="187"/>
      <c r="F220" s="178"/>
      <c r="G220" s="162"/>
      <c r="H220" s="201"/>
      <c r="I220" s="198"/>
      <c r="J220" s="162"/>
      <c r="K220" s="100" t="s">
        <v>71</v>
      </c>
      <c r="L220" s="100" t="s">
        <v>207</v>
      </c>
      <c r="M220" s="143">
        <v>1</v>
      </c>
      <c r="N220" s="95">
        <v>0</v>
      </c>
      <c r="O220" s="95">
        <f t="shared" si="28"/>
        <v>0</v>
      </c>
      <c r="P220" s="95">
        <f t="shared" si="29"/>
        <v>0</v>
      </c>
      <c r="Q220" s="95">
        <f t="shared" si="30"/>
        <v>0</v>
      </c>
      <c r="R220" s="96">
        <v>99831.93</v>
      </c>
      <c r="S220" s="97">
        <f t="shared" si="31"/>
        <v>99831.93</v>
      </c>
      <c r="T220" s="95">
        <f t="shared" si="32"/>
        <v>18968.066699999999</v>
      </c>
      <c r="U220" s="97">
        <f t="shared" si="33"/>
        <v>118799.99669999999</v>
      </c>
      <c r="V220" s="133">
        <f t="shared" si="34"/>
        <v>118799.99669999999</v>
      </c>
      <c r="W220" s="194"/>
      <c r="X220" s="196"/>
    </row>
    <row r="221" spans="1:24" ht="25.5" customHeight="1">
      <c r="A221" s="1"/>
      <c r="B221" s="1"/>
      <c r="C221" s="190"/>
      <c r="D221" s="190"/>
      <c r="E221" s="187"/>
      <c r="F221" s="178"/>
      <c r="G221" s="162"/>
      <c r="H221" s="201"/>
      <c r="I221" s="198"/>
      <c r="J221" s="162"/>
      <c r="K221" s="100" t="s">
        <v>71</v>
      </c>
      <c r="L221" s="100" t="s">
        <v>225</v>
      </c>
      <c r="M221" s="143">
        <v>1</v>
      </c>
      <c r="N221" s="95">
        <v>0</v>
      </c>
      <c r="O221" s="95">
        <f t="shared" si="28"/>
        <v>0</v>
      </c>
      <c r="P221" s="95">
        <f t="shared" si="29"/>
        <v>0</v>
      </c>
      <c r="Q221" s="95">
        <f t="shared" si="30"/>
        <v>0</v>
      </c>
      <c r="R221" s="96">
        <v>99831.93</v>
      </c>
      <c r="S221" s="97">
        <f t="shared" si="31"/>
        <v>99831.93</v>
      </c>
      <c r="T221" s="95">
        <f t="shared" si="32"/>
        <v>18968.066699999999</v>
      </c>
      <c r="U221" s="97">
        <f t="shared" si="33"/>
        <v>118799.99669999999</v>
      </c>
      <c r="V221" s="133">
        <f t="shared" si="34"/>
        <v>118799.99669999999</v>
      </c>
      <c r="W221" s="194"/>
      <c r="X221" s="196"/>
    </row>
    <row r="222" spans="1:24" ht="25.5" customHeight="1">
      <c r="A222" s="1"/>
      <c r="B222" s="1"/>
      <c r="C222" s="190"/>
      <c r="D222" s="190"/>
      <c r="E222" s="187"/>
      <c r="F222" s="178"/>
      <c r="G222" s="162"/>
      <c r="H222" s="201"/>
      <c r="I222" s="198"/>
      <c r="J222" s="162"/>
      <c r="K222" s="100" t="s">
        <v>71</v>
      </c>
      <c r="L222" s="132" t="s">
        <v>226</v>
      </c>
      <c r="M222" s="143">
        <v>1</v>
      </c>
      <c r="N222" s="95">
        <v>0</v>
      </c>
      <c r="O222" s="95">
        <f t="shared" si="28"/>
        <v>0</v>
      </c>
      <c r="P222" s="95">
        <f t="shared" si="29"/>
        <v>0</v>
      </c>
      <c r="Q222" s="95">
        <f t="shared" si="30"/>
        <v>0</v>
      </c>
      <c r="R222" s="96">
        <v>492187.44</v>
      </c>
      <c r="S222" s="97">
        <f t="shared" si="31"/>
        <v>492187.44</v>
      </c>
      <c r="T222" s="95">
        <f t="shared" si="32"/>
        <v>93515.613599999997</v>
      </c>
      <c r="U222" s="97">
        <f t="shared" si="33"/>
        <v>585703.05359999998</v>
      </c>
      <c r="V222" s="133">
        <f t="shared" si="34"/>
        <v>585703.05359999998</v>
      </c>
      <c r="W222" s="194"/>
      <c r="X222" s="196"/>
    </row>
    <row r="223" spans="1:24" ht="25.5" customHeight="1">
      <c r="A223" s="1"/>
      <c r="B223" s="1"/>
      <c r="C223" s="190"/>
      <c r="D223" s="190"/>
      <c r="E223" s="187"/>
      <c r="F223" s="178"/>
      <c r="G223" s="162"/>
      <c r="H223" s="201"/>
      <c r="I223" s="198"/>
      <c r="J223" s="162"/>
      <c r="K223" s="100" t="s">
        <v>61</v>
      </c>
      <c r="L223" s="100" t="s">
        <v>222</v>
      </c>
      <c r="M223" s="143">
        <v>1</v>
      </c>
      <c r="N223" s="95">
        <v>0</v>
      </c>
      <c r="O223" s="95">
        <f t="shared" si="28"/>
        <v>0</v>
      </c>
      <c r="P223" s="95">
        <f t="shared" si="29"/>
        <v>0</v>
      </c>
      <c r="Q223" s="95">
        <f t="shared" si="30"/>
        <v>0</v>
      </c>
      <c r="R223" s="96">
        <v>11289.08</v>
      </c>
      <c r="S223" s="97">
        <f t="shared" si="31"/>
        <v>11289.08</v>
      </c>
      <c r="T223" s="95">
        <f t="shared" si="32"/>
        <v>2144.9252000000001</v>
      </c>
      <c r="U223" s="97">
        <f t="shared" si="33"/>
        <v>13434.0052</v>
      </c>
      <c r="V223" s="133">
        <f t="shared" si="34"/>
        <v>13434.0052</v>
      </c>
      <c r="W223" s="194"/>
      <c r="X223" s="196"/>
    </row>
    <row r="224" spans="1:24" ht="25.5" customHeight="1">
      <c r="A224" s="1"/>
      <c r="B224" s="1"/>
      <c r="C224" s="191"/>
      <c r="D224" s="191"/>
      <c r="E224" s="188"/>
      <c r="F224" s="179"/>
      <c r="G224" s="163"/>
      <c r="H224" s="202"/>
      <c r="I224" s="199"/>
      <c r="J224" s="163"/>
      <c r="K224" s="100" t="s">
        <v>71</v>
      </c>
      <c r="L224" s="132" t="s">
        <v>227</v>
      </c>
      <c r="M224" s="143">
        <v>1</v>
      </c>
      <c r="N224" s="95">
        <v>0</v>
      </c>
      <c r="O224" s="95">
        <f t="shared" si="28"/>
        <v>0</v>
      </c>
      <c r="P224" s="95">
        <f t="shared" si="29"/>
        <v>0</v>
      </c>
      <c r="Q224" s="95">
        <f t="shared" si="30"/>
        <v>0</v>
      </c>
      <c r="R224" s="96">
        <v>92327.7</v>
      </c>
      <c r="S224" s="97">
        <f t="shared" si="31"/>
        <v>92327.7</v>
      </c>
      <c r="T224" s="95">
        <f t="shared" si="32"/>
        <v>17542.262999999999</v>
      </c>
      <c r="U224" s="97">
        <f t="shared" si="33"/>
        <v>109869.96299999999</v>
      </c>
      <c r="V224" s="133">
        <f t="shared" si="34"/>
        <v>109869.96299999999</v>
      </c>
      <c r="W224" s="195"/>
      <c r="X224" s="164"/>
    </row>
    <row r="225" spans="1:24" ht="25.5" customHeight="1">
      <c r="A225" s="1"/>
      <c r="B225" s="1"/>
      <c r="C225" s="192">
        <v>45418</v>
      </c>
      <c r="D225" s="189">
        <v>167163</v>
      </c>
      <c r="E225" s="186" t="s">
        <v>228</v>
      </c>
      <c r="F225" s="177"/>
      <c r="G225" s="226" t="s">
        <v>229</v>
      </c>
      <c r="H225" s="200">
        <v>167163</v>
      </c>
      <c r="I225" s="197">
        <v>45455</v>
      </c>
      <c r="J225" s="185" t="s">
        <v>230</v>
      </c>
      <c r="K225" s="100" t="s">
        <v>71</v>
      </c>
      <c r="L225" s="100" t="s">
        <v>231</v>
      </c>
      <c r="M225" s="143">
        <v>1</v>
      </c>
      <c r="N225" s="95">
        <v>581182</v>
      </c>
      <c r="O225" s="95">
        <f t="shared" si="28"/>
        <v>581182</v>
      </c>
      <c r="P225" s="95">
        <f t="shared" si="29"/>
        <v>110424.58</v>
      </c>
      <c r="Q225" s="95">
        <f t="shared" si="30"/>
        <v>691606.58</v>
      </c>
      <c r="R225" s="96">
        <v>55074</v>
      </c>
      <c r="S225" s="97">
        <f t="shared" si="31"/>
        <v>55074</v>
      </c>
      <c r="T225" s="95">
        <f t="shared" si="32"/>
        <v>10464.06</v>
      </c>
      <c r="U225" s="97">
        <f t="shared" si="33"/>
        <v>65538.06</v>
      </c>
      <c r="V225" s="133">
        <f t="shared" si="34"/>
        <v>757144.6399999999</v>
      </c>
      <c r="W225" s="224">
        <f>SUM(V225:V235)</f>
        <v>2214738.75</v>
      </c>
      <c r="X225" s="196" t="s">
        <v>198</v>
      </c>
    </row>
    <row r="226" spans="1:24" ht="25.5" customHeight="1">
      <c r="A226" s="1"/>
      <c r="B226" s="1"/>
      <c r="C226" s="222"/>
      <c r="D226" s="190"/>
      <c r="E226" s="187"/>
      <c r="F226" s="178"/>
      <c r="G226" s="227"/>
      <c r="H226" s="201"/>
      <c r="I226" s="198"/>
      <c r="J226" s="162"/>
      <c r="K226" s="100" t="s">
        <v>71</v>
      </c>
      <c r="L226" s="100" t="s">
        <v>232</v>
      </c>
      <c r="M226" s="143">
        <v>1</v>
      </c>
      <c r="N226" s="95">
        <v>128800</v>
      </c>
      <c r="O226" s="95">
        <f t="shared" si="28"/>
        <v>128800</v>
      </c>
      <c r="P226" s="95">
        <f t="shared" si="29"/>
        <v>24472</v>
      </c>
      <c r="Q226" s="95">
        <f t="shared" si="30"/>
        <v>153272</v>
      </c>
      <c r="R226" s="96">
        <v>85722</v>
      </c>
      <c r="S226" s="97">
        <f t="shared" si="31"/>
        <v>85722</v>
      </c>
      <c r="T226" s="95">
        <f t="shared" si="32"/>
        <v>16287.18</v>
      </c>
      <c r="U226" s="97">
        <f t="shared" si="33"/>
        <v>102009.18</v>
      </c>
      <c r="V226" s="133">
        <f t="shared" si="34"/>
        <v>255281.18</v>
      </c>
      <c r="W226" s="225"/>
      <c r="X226" s="196"/>
    </row>
    <row r="227" spans="1:24" ht="25.5" customHeight="1">
      <c r="A227" s="1"/>
      <c r="B227" s="1"/>
      <c r="C227" s="222"/>
      <c r="D227" s="190"/>
      <c r="E227" s="187"/>
      <c r="F227" s="178"/>
      <c r="G227" s="227"/>
      <c r="H227" s="201"/>
      <c r="I227" s="198"/>
      <c r="J227" s="162"/>
      <c r="K227" s="100" t="s">
        <v>61</v>
      </c>
      <c r="L227" s="100" t="s">
        <v>233</v>
      </c>
      <c r="M227" s="143">
        <v>4</v>
      </c>
      <c r="N227" s="95">
        <v>26535</v>
      </c>
      <c r="O227" s="95">
        <f t="shared" si="28"/>
        <v>106140</v>
      </c>
      <c r="P227" s="95">
        <f t="shared" si="29"/>
        <v>20166.599999999999</v>
      </c>
      <c r="Q227" s="95">
        <f t="shared" si="30"/>
        <v>126306.6</v>
      </c>
      <c r="R227" s="96">
        <v>0</v>
      </c>
      <c r="S227" s="97">
        <f t="shared" si="31"/>
        <v>0</v>
      </c>
      <c r="T227" s="95">
        <f t="shared" si="32"/>
        <v>0</v>
      </c>
      <c r="U227" s="97">
        <f t="shared" si="33"/>
        <v>0</v>
      </c>
      <c r="V227" s="133">
        <f t="shared" si="34"/>
        <v>126306.6</v>
      </c>
      <c r="W227" s="225"/>
      <c r="X227" s="196"/>
    </row>
    <row r="228" spans="1:24" ht="25.5" customHeight="1">
      <c r="A228" s="1"/>
      <c r="B228" s="1"/>
      <c r="C228" s="222"/>
      <c r="D228" s="190"/>
      <c r="E228" s="187"/>
      <c r="F228" s="178"/>
      <c r="G228" s="227"/>
      <c r="H228" s="201"/>
      <c r="I228" s="198"/>
      <c r="J228" s="162"/>
      <c r="K228" s="100" t="s">
        <v>61</v>
      </c>
      <c r="L228" s="100" t="s">
        <v>125</v>
      </c>
      <c r="M228" s="143">
        <v>1</v>
      </c>
      <c r="N228" s="95">
        <v>30075</v>
      </c>
      <c r="O228" s="95">
        <f t="shared" si="28"/>
        <v>30075</v>
      </c>
      <c r="P228" s="95">
        <f t="shared" si="29"/>
        <v>5714.25</v>
      </c>
      <c r="Q228" s="95">
        <f t="shared" si="30"/>
        <v>35789.25</v>
      </c>
      <c r="R228" s="96">
        <v>0</v>
      </c>
      <c r="S228" s="97">
        <f t="shared" si="31"/>
        <v>0</v>
      </c>
      <c r="T228" s="95">
        <f t="shared" si="32"/>
        <v>0</v>
      </c>
      <c r="U228" s="97">
        <f t="shared" si="33"/>
        <v>0</v>
      </c>
      <c r="V228" s="133">
        <f t="shared" si="34"/>
        <v>35789.25</v>
      </c>
      <c r="W228" s="225"/>
      <c r="X228" s="196"/>
    </row>
    <row r="229" spans="1:24" ht="25.5" customHeight="1">
      <c r="A229" s="1"/>
      <c r="B229" s="1"/>
      <c r="C229" s="222"/>
      <c r="D229" s="190"/>
      <c r="E229" s="187"/>
      <c r="F229" s="178"/>
      <c r="G229" s="227"/>
      <c r="H229" s="201"/>
      <c r="I229" s="198"/>
      <c r="J229" s="162"/>
      <c r="K229" s="100" t="s">
        <v>61</v>
      </c>
      <c r="L229" s="100" t="s">
        <v>126</v>
      </c>
      <c r="M229" s="143">
        <v>1</v>
      </c>
      <c r="N229" s="95">
        <v>72100</v>
      </c>
      <c r="O229" s="95">
        <f t="shared" si="28"/>
        <v>72100</v>
      </c>
      <c r="P229" s="95">
        <f t="shared" si="29"/>
        <v>13699</v>
      </c>
      <c r="Q229" s="95">
        <f t="shared" si="30"/>
        <v>85799</v>
      </c>
      <c r="R229" s="96">
        <v>0</v>
      </c>
      <c r="S229" s="97">
        <f t="shared" si="31"/>
        <v>0</v>
      </c>
      <c r="T229" s="95">
        <f t="shared" si="32"/>
        <v>0</v>
      </c>
      <c r="U229" s="97">
        <f t="shared" si="33"/>
        <v>0</v>
      </c>
      <c r="V229" s="133">
        <f t="shared" si="34"/>
        <v>85799</v>
      </c>
      <c r="W229" s="225"/>
      <c r="X229" s="196"/>
    </row>
    <row r="230" spans="1:24" ht="25.5" customHeight="1">
      <c r="A230" s="1"/>
      <c r="B230" s="1"/>
      <c r="C230" s="222"/>
      <c r="D230" s="190"/>
      <c r="E230" s="187"/>
      <c r="F230" s="178"/>
      <c r="G230" s="227"/>
      <c r="H230" s="201"/>
      <c r="I230" s="198"/>
      <c r="J230" s="162"/>
      <c r="K230" s="100" t="s">
        <v>61</v>
      </c>
      <c r="L230" s="132" t="s">
        <v>234</v>
      </c>
      <c r="M230" s="143">
        <v>1</v>
      </c>
      <c r="N230" s="95">
        <v>94601</v>
      </c>
      <c r="O230" s="95">
        <f t="shared" si="28"/>
        <v>94601</v>
      </c>
      <c r="P230" s="95">
        <f t="shared" si="29"/>
        <v>17974.189999999999</v>
      </c>
      <c r="Q230" s="95">
        <f t="shared" si="30"/>
        <v>112575.19</v>
      </c>
      <c r="R230" s="96">
        <v>0</v>
      </c>
      <c r="S230" s="97">
        <f t="shared" si="31"/>
        <v>0</v>
      </c>
      <c r="T230" s="95">
        <f t="shared" si="32"/>
        <v>0</v>
      </c>
      <c r="U230" s="97">
        <f t="shared" si="33"/>
        <v>0</v>
      </c>
      <c r="V230" s="133">
        <f t="shared" si="34"/>
        <v>112575.19</v>
      </c>
      <c r="W230" s="225"/>
      <c r="X230" s="196"/>
    </row>
    <row r="231" spans="1:24" ht="25.5" customHeight="1">
      <c r="A231" s="1"/>
      <c r="B231" s="1"/>
      <c r="C231" s="222"/>
      <c r="D231" s="190"/>
      <c r="E231" s="187"/>
      <c r="F231" s="178"/>
      <c r="G231" s="227"/>
      <c r="H231" s="201"/>
      <c r="I231" s="198"/>
      <c r="J231" s="162"/>
      <c r="K231" s="100" t="s">
        <v>61</v>
      </c>
      <c r="L231" s="132" t="s">
        <v>235</v>
      </c>
      <c r="M231" s="143">
        <v>2</v>
      </c>
      <c r="N231" s="95">
        <v>41217</v>
      </c>
      <c r="O231" s="95">
        <f t="shared" si="28"/>
        <v>82434</v>
      </c>
      <c r="P231" s="95">
        <f t="shared" si="29"/>
        <v>15662.460000000001</v>
      </c>
      <c r="Q231" s="95">
        <f t="shared" si="30"/>
        <v>98096.46</v>
      </c>
      <c r="R231" s="96">
        <v>0</v>
      </c>
      <c r="S231" s="97">
        <f t="shared" si="31"/>
        <v>0</v>
      </c>
      <c r="T231" s="95">
        <f t="shared" si="32"/>
        <v>0</v>
      </c>
      <c r="U231" s="97">
        <f t="shared" si="33"/>
        <v>0</v>
      </c>
      <c r="V231" s="133">
        <f t="shared" si="34"/>
        <v>98096.46</v>
      </c>
      <c r="W231" s="225"/>
      <c r="X231" s="196"/>
    </row>
    <row r="232" spans="1:24" ht="25.5" customHeight="1">
      <c r="A232" s="1"/>
      <c r="B232" s="1"/>
      <c r="C232" s="222"/>
      <c r="D232" s="190"/>
      <c r="E232" s="187"/>
      <c r="F232" s="178"/>
      <c r="G232" s="227"/>
      <c r="H232" s="201"/>
      <c r="I232" s="198"/>
      <c r="J232" s="162"/>
      <c r="K232" s="100" t="s">
        <v>71</v>
      </c>
      <c r="L232" s="132" t="s">
        <v>236</v>
      </c>
      <c r="M232" s="143">
        <v>1</v>
      </c>
      <c r="N232" s="95"/>
      <c r="O232" s="95">
        <f t="shared" si="28"/>
        <v>0</v>
      </c>
      <c r="P232" s="95">
        <f t="shared" si="29"/>
        <v>0</v>
      </c>
      <c r="Q232" s="95">
        <f t="shared" si="30"/>
        <v>0</v>
      </c>
      <c r="R232" s="96">
        <v>399997</v>
      </c>
      <c r="S232" s="97">
        <f t="shared" si="31"/>
        <v>399997</v>
      </c>
      <c r="T232" s="95">
        <f t="shared" si="32"/>
        <v>75999.430000000008</v>
      </c>
      <c r="U232" s="97">
        <f t="shared" si="33"/>
        <v>475996.43</v>
      </c>
      <c r="V232" s="133">
        <f t="shared" si="34"/>
        <v>475996.43</v>
      </c>
      <c r="W232" s="225"/>
      <c r="X232" s="196"/>
    </row>
    <row r="233" spans="1:24" ht="25.5" customHeight="1">
      <c r="A233" s="1"/>
      <c r="B233" s="1"/>
      <c r="C233" s="222"/>
      <c r="D233" s="190"/>
      <c r="E233" s="187"/>
      <c r="F233" s="178"/>
      <c r="G233" s="227"/>
      <c r="H233" s="201"/>
      <c r="I233" s="198"/>
      <c r="J233" s="162"/>
      <c r="K233" s="100" t="s">
        <v>71</v>
      </c>
      <c r="L233" s="100" t="s">
        <v>237</v>
      </c>
      <c r="M233" s="143">
        <v>1</v>
      </c>
      <c r="N233" s="95"/>
      <c r="O233" s="95">
        <f t="shared" si="28"/>
        <v>0</v>
      </c>
      <c r="P233" s="95">
        <f t="shared" si="29"/>
        <v>0</v>
      </c>
      <c r="Q233" s="95">
        <f t="shared" si="30"/>
        <v>0</v>
      </c>
      <c r="R233" s="96">
        <v>95000</v>
      </c>
      <c r="S233" s="97">
        <f t="shared" si="31"/>
        <v>95000</v>
      </c>
      <c r="T233" s="95">
        <f t="shared" si="32"/>
        <v>18050</v>
      </c>
      <c r="U233" s="97">
        <f t="shared" si="33"/>
        <v>113050</v>
      </c>
      <c r="V233" s="133">
        <f t="shared" si="34"/>
        <v>113050</v>
      </c>
      <c r="W233" s="225"/>
      <c r="X233" s="196"/>
    </row>
    <row r="234" spans="1:24" ht="25.5" customHeight="1">
      <c r="A234" s="1"/>
      <c r="B234" s="1"/>
      <c r="C234" s="222"/>
      <c r="D234" s="190"/>
      <c r="E234" s="187"/>
      <c r="F234" s="178"/>
      <c r="G234" s="227"/>
      <c r="H234" s="201"/>
      <c r="I234" s="198"/>
      <c r="J234" s="162"/>
      <c r="K234" s="92" t="s">
        <v>61</v>
      </c>
      <c r="L234" s="94" t="s">
        <v>238</v>
      </c>
      <c r="M234" s="94">
        <v>1</v>
      </c>
      <c r="N234" s="95">
        <v>0</v>
      </c>
      <c r="O234" s="95">
        <f t="shared" si="28"/>
        <v>0</v>
      </c>
      <c r="P234" s="95">
        <f t="shared" si="29"/>
        <v>0</v>
      </c>
      <c r="Q234" s="95">
        <f t="shared" si="30"/>
        <v>0</v>
      </c>
      <c r="R234" s="96">
        <v>65000</v>
      </c>
      <c r="S234" s="97">
        <f t="shared" si="31"/>
        <v>65000</v>
      </c>
      <c r="T234" s="95">
        <f t="shared" si="32"/>
        <v>12350</v>
      </c>
      <c r="U234" s="97">
        <f t="shared" si="33"/>
        <v>77350</v>
      </c>
      <c r="V234" s="133">
        <f t="shared" si="34"/>
        <v>77350</v>
      </c>
      <c r="W234" s="225"/>
      <c r="X234" s="196"/>
    </row>
    <row r="235" spans="1:24" ht="25.5" customHeight="1">
      <c r="A235" s="1"/>
      <c r="B235" s="1"/>
      <c r="C235" s="223"/>
      <c r="D235" s="221"/>
      <c r="E235" s="229"/>
      <c r="F235" s="179"/>
      <c r="G235" s="228"/>
      <c r="H235" s="202"/>
      <c r="I235" s="199"/>
      <c r="J235" s="163"/>
      <c r="K235" s="137" t="s">
        <v>61</v>
      </c>
      <c r="L235" s="138" t="s">
        <v>146</v>
      </c>
      <c r="M235" s="138">
        <v>1</v>
      </c>
      <c r="N235" s="139">
        <v>0</v>
      </c>
      <c r="O235" s="139">
        <f t="shared" si="28"/>
        <v>0</v>
      </c>
      <c r="P235" s="139">
        <f t="shared" si="29"/>
        <v>0</v>
      </c>
      <c r="Q235" s="139">
        <f t="shared" si="30"/>
        <v>0</v>
      </c>
      <c r="R235" s="140">
        <v>65000</v>
      </c>
      <c r="S235" s="141">
        <f t="shared" si="31"/>
        <v>65000</v>
      </c>
      <c r="T235" s="139">
        <f t="shared" si="32"/>
        <v>12350</v>
      </c>
      <c r="U235" s="141">
        <f t="shared" si="33"/>
        <v>77350</v>
      </c>
      <c r="V235" s="142">
        <f t="shared" si="34"/>
        <v>77350</v>
      </c>
      <c r="W235" s="185"/>
      <c r="X235" s="164"/>
    </row>
    <row r="236" spans="1:24" ht="25.5" customHeight="1">
      <c r="A236" s="1"/>
      <c r="B236" s="1"/>
      <c r="C236" s="175">
        <v>45433</v>
      </c>
      <c r="D236" s="173">
        <v>167179</v>
      </c>
      <c r="E236" s="152" t="s">
        <v>239</v>
      </c>
      <c r="F236" s="149"/>
      <c r="G236" s="146" t="s">
        <v>229</v>
      </c>
      <c r="H236" s="167">
        <v>167179</v>
      </c>
      <c r="I236" s="170">
        <v>45455</v>
      </c>
      <c r="J236" s="167" t="s">
        <v>240</v>
      </c>
      <c r="K236" s="92" t="s">
        <v>71</v>
      </c>
      <c r="L236" s="99" t="s">
        <v>241</v>
      </c>
      <c r="M236" s="94">
        <v>1</v>
      </c>
      <c r="N236" s="139">
        <v>60870</v>
      </c>
      <c r="O236" s="139">
        <f t="shared" si="28"/>
        <v>60870</v>
      </c>
      <c r="P236" s="139">
        <f t="shared" si="29"/>
        <v>11565.3</v>
      </c>
      <c r="Q236" s="139">
        <f t="shared" si="30"/>
        <v>72435.3</v>
      </c>
      <c r="R236" s="140">
        <v>105000</v>
      </c>
      <c r="S236" s="141">
        <f t="shared" si="31"/>
        <v>105000</v>
      </c>
      <c r="T236" s="139">
        <f t="shared" si="32"/>
        <v>19950</v>
      </c>
      <c r="U236" s="141">
        <f t="shared" si="33"/>
        <v>124950</v>
      </c>
      <c r="V236" s="142">
        <f t="shared" si="34"/>
        <v>197385.3</v>
      </c>
      <c r="W236" s="161">
        <f>SUM(V236:V237)</f>
        <v>350020.65</v>
      </c>
      <c r="X236" s="164" t="s">
        <v>198</v>
      </c>
    </row>
    <row r="237" spans="1:24" ht="25.5" customHeight="1">
      <c r="A237" s="1"/>
      <c r="B237" s="1"/>
      <c r="C237" s="176"/>
      <c r="D237" s="174"/>
      <c r="E237" s="154"/>
      <c r="F237" s="151"/>
      <c r="G237" s="148"/>
      <c r="H237" s="169"/>
      <c r="I237" s="172"/>
      <c r="J237" s="169"/>
      <c r="K237" s="92" t="s">
        <v>61</v>
      </c>
      <c r="L237" s="99" t="s">
        <v>242</v>
      </c>
      <c r="M237" s="94">
        <v>1</v>
      </c>
      <c r="N237" s="139">
        <v>0</v>
      </c>
      <c r="O237" s="139">
        <f t="shared" si="28"/>
        <v>0</v>
      </c>
      <c r="P237" s="139">
        <f t="shared" si="29"/>
        <v>0</v>
      </c>
      <c r="Q237" s="139">
        <f t="shared" si="30"/>
        <v>0</v>
      </c>
      <c r="R237" s="140">
        <v>128265</v>
      </c>
      <c r="S237" s="141">
        <f t="shared" si="31"/>
        <v>128265</v>
      </c>
      <c r="T237" s="139">
        <f t="shared" si="32"/>
        <v>24370.35</v>
      </c>
      <c r="U237" s="141">
        <f t="shared" si="33"/>
        <v>152635.35</v>
      </c>
      <c r="V237" s="142">
        <f t="shared" si="34"/>
        <v>152635.35</v>
      </c>
      <c r="W237" s="163"/>
      <c r="X237" s="166"/>
    </row>
    <row r="238" spans="1:24" ht="25.5" customHeight="1">
      <c r="A238" s="1"/>
      <c r="B238" s="1"/>
      <c r="C238" s="175">
        <v>45435</v>
      </c>
      <c r="D238" s="173">
        <v>167359</v>
      </c>
      <c r="E238" s="180" t="s">
        <v>243</v>
      </c>
      <c r="F238" s="177"/>
      <c r="G238" s="146" t="s">
        <v>229</v>
      </c>
      <c r="H238" s="167">
        <v>167359</v>
      </c>
      <c r="I238" s="170">
        <v>45483</v>
      </c>
      <c r="J238" s="167" t="s">
        <v>244</v>
      </c>
      <c r="K238" s="137" t="s">
        <v>71</v>
      </c>
      <c r="L238" s="138" t="s">
        <v>245</v>
      </c>
      <c r="M238" s="138">
        <v>1</v>
      </c>
      <c r="N238" s="139">
        <v>341696</v>
      </c>
      <c r="O238" s="139">
        <f t="shared" si="28"/>
        <v>341696</v>
      </c>
      <c r="P238" s="139">
        <f t="shared" si="29"/>
        <v>64922.239999999998</v>
      </c>
      <c r="Q238" s="139">
        <f t="shared" si="30"/>
        <v>406618.24</v>
      </c>
      <c r="R238" s="140">
        <v>105000</v>
      </c>
      <c r="S238" s="141">
        <f t="shared" si="31"/>
        <v>105000</v>
      </c>
      <c r="T238" s="139">
        <f t="shared" si="32"/>
        <v>19950</v>
      </c>
      <c r="U238" s="141">
        <f t="shared" si="33"/>
        <v>124950</v>
      </c>
      <c r="V238" s="144">
        <f t="shared" si="34"/>
        <v>531568.24</v>
      </c>
      <c r="W238" s="161">
        <f>SUM(V238:V244)</f>
        <v>1761158.35</v>
      </c>
      <c r="X238" s="164" t="s">
        <v>198</v>
      </c>
    </row>
    <row r="239" spans="1:24" ht="25.5" customHeight="1">
      <c r="A239" s="1"/>
      <c r="B239" s="1"/>
      <c r="C239" s="184"/>
      <c r="D239" s="183"/>
      <c r="E239" s="181"/>
      <c r="F239" s="178"/>
      <c r="G239" s="147"/>
      <c r="H239" s="168"/>
      <c r="I239" s="171"/>
      <c r="J239" s="168"/>
      <c r="K239" s="92" t="s">
        <v>71</v>
      </c>
      <c r="L239" s="94" t="s">
        <v>246</v>
      </c>
      <c r="M239" s="94">
        <v>1</v>
      </c>
      <c r="N239" s="95">
        <v>448000</v>
      </c>
      <c r="O239" s="139">
        <f t="shared" si="28"/>
        <v>448000</v>
      </c>
      <c r="P239" s="139">
        <f t="shared" si="29"/>
        <v>85120</v>
      </c>
      <c r="Q239" s="139">
        <f t="shared" si="30"/>
        <v>533120</v>
      </c>
      <c r="R239" s="140">
        <v>159367</v>
      </c>
      <c r="S239" s="141">
        <f t="shared" si="31"/>
        <v>159367</v>
      </c>
      <c r="T239" s="139">
        <f t="shared" si="32"/>
        <v>30279.73</v>
      </c>
      <c r="U239" s="141">
        <f t="shared" si="33"/>
        <v>189646.73</v>
      </c>
      <c r="V239" s="144">
        <f t="shared" si="34"/>
        <v>722766.73</v>
      </c>
      <c r="W239" s="162"/>
      <c r="X239" s="165"/>
    </row>
    <row r="240" spans="1:24" ht="25.5" customHeight="1">
      <c r="A240" s="1"/>
      <c r="B240" s="1"/>
      <c r="C240" s="184"/>
      <c r="D240" s="183"/>
      <c r="E240" s="181"/>
      <c r="F240" s="178"/>
      <c r="G240" s="147"/>
      <c r="H240" s="168"/>
      <c r="I240" s="171"/>
      <c r="J240" s="168"/>
      <c r="K240" s="92" t="s">
        <v>71</v>
      </c>
      <c r="L240" s="94" t="s">
        <v>247</v>
      </c>
      <c r="M240" s="94">
        <v>2</v>
      </c>
      <c r="N240" s="95">
        <v>56300</v>
      </c>
      <c r="O240" s="139">
        <f t="shared" si="28"/>
        <v>112600</v>
      </c>
      <c r="P240" s="139">
        <f t="shared" si="29"/>
        <v>21394</v>
      </c>
      <c r="Q240" s="139">
        <f t="shared" si="30"/>
        <v>133994</v>
      </c>
      <c r="R240" s="140">
        <v>0</v>
      </c>
      <c r="S240" s="141">
        <f t="shared" si="31"/>
        <v>0</v>
      </c>
      <c r="T240" s="139">
        <f t="shared" si="32"/>
        <v>0</v>
      </c>
      <c r="U240" s="141">
        <f t="shared" si="33"/>
        <v>0</v>
      </c>
      <c r="V240" s="144">
        <f t="shared" si="34"/>
        <v>133994</v>
      </c>
      <c r="W240" s="162"/>
      <c r="X240" s="165"/>
    </row>
    <row r="241" spans="1:24" ht="25.5" customHeight="1">
      <c r="A241" s="1"/>
      <c r="B241" s="1"/>
      <c r="C241" s="184"/>
      <c r="D241" s="183"/>
      <c r="E241" s="181"/>
      <c r="F241" s="178"/>
      <c r="G241" s="147"/>
      <c r="H241" s="168"/>
      <c r="I241" s="171"/>
      <c r="J241" s="168"/>
      <c r="K241" s="92" t="s">
        <v>61</v>
      </c>
      <c r="L241" s="94" t="s">
        <v>248</v>
      </c>
      <c r="M241" s="94">
        <v>2</v>
      </c>
      <c r="N241" s="95">
        <v>26535</v>
      </c>
      <c r="O241" s="139">
        <f t="shared" si="28"/>
        <v>53070</v>
      </c>
      <c r="P241" s="139">
        <f t="shared" si="29"/>
        <v>10083.299999999999</v>
      </c>
      <c r="Q241" s="139">
        <f t="shared" si="30"/>
        <v>63153.3</v>
      </c>
      <c r="R241" s="140">
        <v>0</v>
      </c>
      <c r="S241" s="141">
        <f t="shared" si="31"/>
        <v>0</v>
      </c>
      <c r="T241" s="139">
        <f t="shared" si="32"/>
        <v>0</v>
      </c>
      <c r="U241" s="141">
        <f t="shared" si="33"/>
        <v>0</v>
      </c>
      <c r="V241" s="144">
        <f t="shared" si="34"/>
        <v>63153.3</v>
      </c>
      <c r="W241" s="162"/>
      <c r="X241" s="165"/>
    </row>
    <row r="242" spans="1:24" ht="25.5" customHeight="1">
      <c r="A242" s="1"/>
      <c r="B242" s="1"/>
      <c r="C242" s="184"/>
      <c r="D242" s="183"/>
      <c r="E242" s="181"/>
      <c r="F242" s="178"/>
      <c r="G242" s="147"/>
      <c r="H242" s="168"/>
      <c r="I242" s="171"/>
      <c r="J242" s="168"/>
      <c r="K242" s="92" t="s">
        <v>61</v>
      </c>
      <c r="L242" s="94" t="s">
        <v>222</v>
      </c>
      <c r="M242" s="94">
        <v>4</v>
      </c>
      <c r="N242" s="95">
        <v>16911</v>
      </c>
      <c r="O242" s="139">
        <f t="shared" si="28"/>
        <v>67644</v>
      </c>
      <c r="P242" s="139">
        <f t="shared" si="29"/>
        <v>12852.36</v>
      </c>
      <c r="Q242" s="139">
        <f t="shared" si="30"/>
        <v>80496.36</v>
      </c>
      <c r="R242" s="140">
        <v>0</v>
      </c>
      <c r="S242" s="141">
        <f t="shared" si="31"/>
        <v>0</v>
      </c>
      <c r="T242" s="139">
        <f t="shared" si="32"/>
        <v>0</v>
      </c>
      <c r="U242" s="141">
        <f t="shared" si="33"/>
        <v>0</v>
      </c>
      <c r="V242" s="144">
        <f t="shared" si="34"/>
        <v>80496.36</v>
      </c>
      <c r="W242" s="162"/>
      <c r="X242" s="165"/>
    </row>
    <row r="243" spans="1:24" ht="53.25" customHeight="1">
      <c r="A243" s="1"/>
      <c r="B243" s="1"/>
      <c r="C243" s="184"/>
      <c r="D243" s="183"/>
      <c r="E243" s="181"/>
      <c r="F243" s="178"/>
      <c r="G243" s="147"/>
      <c r="H243" s="168"/>
      <c r="I243" s="171"/>
      <c r="J243" s="168"/>
      <c r="K243" s="92" t="s">
        <v>71</v>
      </c>
      <c r="L243" s="99" t="s">
        <v>249</v>
      </c>
      <c r="M243" s="94">
        <v>1</v>
      </c>
      <c r="N243" s="95"/>
      <c r="O243" s="139">
        <f t="shared" si="28"/>
        <v>0</v>
      </c>
      <c r="P243" s="139">
        <f t="shared" si="29"/>
        <v>0</v>
      </c>
      <c r="Q243" s="139">
        <f t="shared" si="30"/>
        <v>0</v>
      </c>
      <c r="R243" s="140">
        <v>150000</v>
      </c>
      <c r="S243" s="141">
        <f t="shared" si="31"/>
        <v>150000</v>
      </c>
      <c r="T243" s="139">
        <f t="shared" si="32"/>
        <v>28500</v>
      </c>
      <c r="U243" s="141">
        <f t="shared" si="33"/>
        <v>178500</v>
      </c>
      <c r="V243" s="144">
        <f t="shared" si="34"/>
        <v>178500</v>
      </c>
      <c r="W243" s="162"/>
      <c r="X243" s="165"/>
    </row>
    <row r="244" spans="1:24" ht="25.5" customHeight="1">
      <c r="A244" s="1"/>
      <c r="B244" s="1"/>
      <c r="C244" s="176"/>
      <c r="D244" s="174"/>
      <c r="E244" s="182"/>
      <c r="F244" s="179"/>
      <c r="G244" s="148"/>
      <c r="H244" s="169"/>
      <c r="I244" s="172"/>
      <c r="J244" s="169"/>
      <c r="K244" s="92" t="s">
        <v>61</v>
      </c>
      <c r="L244" s="94" t="s">
        <v>250</v>
      </c>
      <c r="M244" s="94">
        <v>1</v>
      </c>
      <c r="N244" s="95"/>
      <c r="O244" s="139">
        <f t="shared" si="28"/>
        <v>0</v>
      </c>
      <c r="P244" s="139">
        <f t="shared" si="29"/>
        <v>0</v>
      </c>
      <c r="Q244" s="139">
        <f t="shared" si="30"/>
        <v>0</v>
      </c>
      <c r="R244" s="140">
        <v>42588</v>
      </c>
      <c r="S244" s="141">
        <f t="shared" si="31"/>
        <v>42588</v>
      </c>
      <c r="T244" s="139">
        <f t="shared" si="32"/>
        <v>8091.72</v>
      </c>
      <c r="U244" s="141">
        <f t="shared" si="33"/>
        <v>50679.72</v>
      </c>
      <c r="V244" s="144">
        <f t="shared" si="34"/>
        <v>50679.72</v>
      </c>
      <c r="W244" s="163"/>
      <c r="X244" s="166"/>
    </row>
    <row r="245" spans="1:24" ht="25.5" customHeight="1">
      <c r="A245" s="1"/>
      <c r="B245" s="1"/>
      <c r="C245" s="175">
        <v>45477</v>
      </c>
      <c r="D245" s="173">
        <v>167902</v>
      </c>
      <c r="E245" s="180" t="s">
        <v>251</v>
      </c>
      <c r="F245" s="177"/>
      <c r="G245" s="146" t="s">
        <v>229</v>
      </c>
      <c r="H245" s="167">
        <v>167902</v>
      </c>
      <c r="I245" s="170">
        <v>45510</v>
      </c>
      <c r="J245" s="167" t="s">
        <v>252</v>
      </c>
      <c r="K245" s="92" t="s">
        <v>71</v>
      </c>
      <c r="L245" s="99" t="s">
        <v>253</v>
      </c>
      <c r="M245" s="94">
        <v>1</v>
      </c>
      <c r="N245" s="95">
        <v>60340</v>
      </c>
      <c r="O245" s="139">
        <f t="shared" si="28"/>
        <v>60340</v>
      </c>
      <c r="P245" s="139">
        <f t="shared" si="29"/>
        <v>11464.6</v>
      </c>
      <c r="Q245" s="139">
        <f t="shared" si="30"/>
        <v>71804.600000000006</v>
      </c>
      <c r="R245" s="140">
        <v>95000</v>
      </c>
      <c r="S245" s="141">
        <f t="shared" si="31"/>
        <v>95000</v>
      </c>
      <c r="T245" s="139">
        <f t="shared" si="32"/>
        <v>18050</v>
      </c>
      <c r="U245" s="141">
        <f t="shared" si="33"/>
        <v>113050</v>
      </c>
      <c r="V245" s="144">
        <f t="shared" si="34"/>
        <v>184854.6</v>
      </c>
      <c r="W245" s="161">
        <f>SUM(V245:V247)</f>
        <v>403805.07999999996</v>
      </c>
      <c r="X245" s="164" t="s">
        <v>198</v>
      </c>
    </row>
    <row r="246" spans="1:24" ht="25.5" customHeight="1">
      <c r="A246" s="1"/>
      <c r="B246" s="1"/>
      <c r="C246" s="184"/>
      <c r="D246" s="183"/>
      <c r="E246" s="181"/>
      <c r="F246" s="178"/>
      <c r="G246" s="147"/>
      <c r="H246" s="168"/>
      <c r="I246" s="171"/>
      <c r="J246" s="168"/>
      <c r="K246" s="92" t="s">
        <v>61</v>
      </c>
      <c r="L246" s="99" t="s">
        <v>254</v>
      </c>
      <c r="M246" s="94">
        <v>1</v>
      </c>
      <c r="N246" s="95">
        <v>39705</v>
      </c>
      <c r="O246" s="139">
        <f t="shared" si="28"/>
        <v>39705</v>
      </c>
      <c r="P246" s="139">
        <f t="shared" si="29"/>
        <v>7543.95</v>
      </c>
      <c r="Q246" s="139">
        <f t="shared" si="30"/>
        <v>47248.95</v>
      </c>
      <c r="R246" s="140">
        <v>105635</v>
      </c>
      <c r="S246" s="141">
        <f t="shared" si="31"/>
        <v>105635</v>
      </c>
      <c r="T246" s="139">
        <f t="shared" si="32"/>
        <v>20070.650000000001</v>
      </c>
      <c r="U246" s="141">
        <f t="shared" si="33"/>
        <v>125705.65</v>
      </c>
      <c r="V246" s="144">
        <f t="shared" si="34"/>
        <v>172954.59999999998</v>
      </c>
      <c r="W246" s="162"/>
      <c r="X246" s="165"/>
    </row>
    <row r="247" spans="1:24" ht="25.5" customHeight="1">
      <c r="A247" s="1"/>
      <c r="B247" s="1"/>
      <c r="C247" s="176"/>
      <c r="D247" s="174"/>
      <c r="E247" s="182"/>
      <c r="F247" s="179"/>
      <c r="G247" s="148"/>
      <c r="H247" s="169"/>
      <c r="I247" s="172"/>
      <c r="J247" s="169"/>
      <c r="K247" s="92" t="s">
        <v>71</v>
      </c>
      <c r="L247" s="94" t="s">
        <v>255</v>
      </c>
      <c r="M247" s="94">
        <v>1</v>
      </c>
      <c r="N247" s="95">
        <v>17485</v>
      </c>
      <c r="O247" s="139">
        <f t="shared" si="28"/>
        <v>17485</v>
      </c>
      <c r="P247" s="139">
        <f t="shared" si="29"/>
        <v>3322.15</v>
      </c>
      <c r="Q247" s="139">
        <f t="shared" si="30"/>
        <v>20807.150000000001</v>
      </c>
      <c r="R247" s="140">
        <v>21167</v>
      </c>
      <c r="S247" s="141">
        <f t="shared" si="31"/>
        <v>21167</v>
      </c>
      <c r="T247" s="139">
        <f t="shared" si="32"/>
        <v>4021.73</v>
      </c>
      <c r="U247" s="141">
        <f t="shared" si="33"/>
        <v>25188.73</v>
      </c>
      <c r="V247" s="144">
        <f t="shared" si="34"/>
        <v>45995.880000000005</v>
      </c>
      <c r="W247" s="163"/>
      <c r="X247" s="166"/>
    </row>
    <row r="248" spans="1:24" ht="25.5" customHeight="1">
      <c r="A248" s="1"/>
      <c r="B248" s="1"/>
      <c r="C248" s="158">
        <v>45477</v>
      </c>
      <c r="D248" s="155">
        <v>170090</v>
      </c>
      <c r="E248" s="152" t="s">
        <v>256</v>
      </c>
      <c r="F248" s="149"/>
      <c r="G248" s="146" t="s">
        <v>229</v>
      </c>
      <c r="H248" s="167">
        <v>170094</v>
      </c>
      <c r="I248" s="170">
        <v>45540</v>
      </c>
      <c r="J248" s="167" t="s">
        <v>257</v>
      </c>
      <c r="K248" s="92" t="s">
        <v>71</v>
      </c>
      <c r="L248" s="94" t="s">
        <v>258</v>
      </c>
      <c r="M248" s="94">
        <v>1</v>
      </c>
      <c r="N248" s="95">
        <v>580000</v>
      </c>
      <c r="O248" s="139">
        <f t="shared" si="28"/>
        <v>580000</v>
      </c>
      <c r="P248" s="139">
        <f t="shared" si="29"/>
        <v>110200</v>
      </c>
      <c r="Q248" s="139">
        <f t="shared" si="30"/>
        <v>690200</v>
      </c>
      <c r="R248" s="140">
        <v>273000</v>
      </c>
      <c r="S248" s="141">
        <f t="shared" si="31"/>
        <v>273000</v>
      </c>
      <c r="T248" s="139">
        <f t="shared" si="32"/>
        <v>51870</v>
      </c>
      <c r="U248" s="141">
        <f t="shared" si="33"/>
        <v>324870</v>
      </c>
      <c r="V248" s="144">
        <f t="shared" si="34"/>
        <v>1015070</v>
      </c>
      <c r="W248" s="161">
        <f>SUM(V248:V251)</f>
        <v>1255281.02</v>
      </c>
      <c r="X248" s="164" t="s">
        <v>198</v>
      </c>
    </row>
    <row r="249" spans="1:24" ht="25.5" customHeight="1">
      <c r="A249" s="1"/>
      <c r="B249" s="1"/>
      <c r="C249" s="159"/>
      <c r="D249" s="156"/>
      <c r="E249" s="153"/>
      <c r="F249" s="150"/>
      <c r="G249" s="147"/>
      <c r="H249" s="168"/>
      <c r="I249" s="171"/>
      <c r="J249" s="168"/>
      <c r="K249" s="92" t="s">
        <v>71</v>
      </c>
      <c r="L249" s="94" t="s">
        <v>255</v>
      </c>
      <c r="M249" s="94">
        <v>1</v>
      </c>
      <c r="N249" s="95">
        <v>17485</v>
      </c>
      <c r="O249" s="139">
        <f t="shared" si="28"/>
        <v>17485</v>
      </c>
      <c r="P249" s="139">
        <f t="shared" si="29"/>
        <v>3322.15</v>
      </c>
      <c r="Q249" s="139">
        <f t="shared" si="30"/>
        <v>20807.150000000001</v>
      </c>
      <c r="R249" s="140">
        <v>21167</v>
      </c>
      <c r="S249" s="141">
        <f t="shared" si="31"/>
        <v>21167</v>
      </c>
      <c r="T249" s="139">
        <f t="shared" si="32"/>
        <v>4021.73</v>
      </c>
      <c r="U249" s="141">
        <f t="shared" si="33"/>
        <v>25188.73</v>
      </c>
      <c r="V249" s="144">
        <f t="shared" si="34"/>
        <v>45995.880000000005</v>
      </c>
      <c r="W249" s="162"/>
      <c r="X249" s="165"/>
    </row>
    <row r="250" spans="1:24" ht="25.5" customHeight="1">
      <c r="A250" s="1"/>
      <c r="B250" s="1"/>
      <c r="C250" s="159"/>
      <c r="D250" s="156"/>
      <c r="E250" s="153"/>
      <c r="F250" s="150"/>
      <c r="G250" s="147"/>
      <c r="H250" s="168"/>
      <c r="I250" s="171"/>
      <c r="J250" s="168"/>
      <c r="K250" s="92" t="s">
        <v>61</v>
      </c>
      <c r="L250" s="99" t="s">
        <v>259</v>
      </c>
      <c r="M250" s="94">
        <v>1</v>
      </c>
      <c r="N250" s="95"/>
      <c r="O250" s="139">
        <f t="shared" si="28"/>
        <v>0</v>
      </c>
      <c r="P250" s="139">
        <f t="shared" si="29"/>
        <v>0</v>
      </c>
      <c r="Q250" s="139">
        <f t="shared" si="30"/>
        <v>0</v>
      </c>
      <c r="R250" s="140">
        <v>128265</v>
      </c>
      <c r="S250" s="141">
        <f t="shared" si="31"/>
        <v>128265</v>
      </c>
      <c r="T250" s="139">
        <f t="shared" si="32"/>
        <v>24370.35</v>
      </c>
      <c r="U250" s="141">
        <f t="shared" si="33"/>
        <v>152635.35</v>
      </c>
      <c r="V250" s="144">
        <f t="shared" si="34"/>
        <v>152635.35</v>
      </c>
      <c r="W250" s="162"/>
      <c r="X250" s="165"/>
    </row>
    <row r="251" spans="1:24" ht="25.5" customHeight="1">
      <c r="A251" s="1"/>
      <c r="B251" s="1"/>
      <c r="C251" s="160"/>
      <c r="D251" s="157"/>
      <c r="E251" s="154"/>
      <c r="F251" s="151"/>
      <c r="G251" s="148"/>
      <c r="H251" s="169"/>
      <c r="I251" s="172"/>
      <c r="J251" s="169"/>
      <c r="K251" s="92" t="s">
        <v>71</v>
      </c>
      <c r="L251" s="94" t="s">
        <v>260</v>
      </c>
      <c r="M251" s="94">
        <v>1</v>
      </c>
      <c r="N251" s="95"/>
      <c r="O251" s="139">
        <f t="shared" si="28"/>
        <v>0</v>
      </c>
      <c r="P251" s="139">
        <f t="shared" si="29"/>
        <v>0</v>
      </c>
      <c r="Q251" s="139">
        <f t="shared" si="30"/>
        <v>0</v>
      </c>
      <c r="R251" s="140">
        <v>34941</v>
      </c>
      <c r="S251" s="141">
        <f t="shared" si="31"/>
        <v>34941</v>
      </c>
      <c r="T251" s="139">
        <f t="shared" si="32"/>
        <v>6638.79</v>
      </c>
      <c r="U251" s="141">
        <f t="shared" si="33"/>
        <v>41579.79</v>
      </c>
      <c r="V251" s="144">
        <f t="shared" si="34"/>
        <v>41579.79</v>
      </c>
      <c r="W251" s="163"/>
      <c r="X251" s="166"/>
    </row>
    <row r="252" spans="1:24" ht="25.5" customHeight="1">
      <c r="A252" s="1"/>
      <c r="B252" s="1"/>
      <c r="C252" s="145"/>
      <c r="D252" s="136"/>
      <c r="E252" s="136"/>
      <c r="F252" s="91"/>
      <c r="G252" s="92"/>
      <c r="H252" s="92"/>
      <c r="I252" s="93"/>
      <c r="J252" s="92"/>
      <c r="K252" s="92"/>
      <c r="L252" s="94"/>
      <c r="M252" s="94"/>
      <c r="N252" s="95"/>
      <c r="O252" s="139">
        <f t="shared" si="28"/>
        <v>0</v>
      </c>
      <c r="P252" s="139">
        <f t="shared" si="29"/>
        <v>0</v>
      </c>
      <c r="Q252" s="139">
        <f t="shared" si="30"/>
        <v>0</v>
      </c>
      <c r="R252" s="140">
        <v>0</v>
      </c>
      <c r="S252" s="141">
        <f t="shared" si="31"/>
        <v>0</v>
      </c>
      <c r="T252" s="139">
        <f t="shared" si="32"/>
        <v>0</v>
      </c>
      <c r="U252" s="141">
        <f t="shared" si="33"/>
        <v>0</v>
      </c>
      <c r="V252" s="144">
        <f t="shared" si="34"/>
        <v>0</v>
      </c>
      <c r="W252" s="135"/>
      <c r="X252" s="134"/>
    </row>
    <row r="253" spans="1:24" ht="25.5" customHeight="1">
      <c r="A253" s="1"/>
      <c r="B253" s="1"/>
      <c r="C253" s="136"/>
      <c r="D253" s="136"/>
      <c r="E253" s="136"/>
      <c r="F253" s="91"/>
      <c r="G253" s="92"/>
      <c r="H253" s="92"/>
      <c r="I253" s="93"/>
      <c r="J253" s="92"/>
      <c r="K253" s="92"/>
      <c r="L253" s="94"/>
      <c r="M253" s="94"/>
      <c r="N253" s="95"/>
      <c r="O253" s="139">
        <f t="shared" si="28"/>
        <v>0</v>
      </c>
      <c r="P253" s="139">
        <f t="shared" si="29"/>
        <v>0</v>
      </c>
      <c r="Q253" s="139">
        <f t="shared" si="30"/>
        <v>0</v>
      </c>
      <c r="R253" s="140">
        <v>0</v>
      </c>
      <c r="S253" s="141">
        <f t="shared" si="31"/>
        <v>0</v>
      </c>
      <c r="T253" s="139">
        <f t="shared" si="32"/>
        <v>0</v>
      </c>
      <c r="U253" s="141">
        <f t="shared" si="33"/>
        <v>0</v>
      </c>
      <c r="V253" s="144">
        <f t="shared" si="34"/>
        <v>0</v>
      </c>
      <c r="W253" s="135"/>
      <c r="X253" s="134"/>
    </row>
    <row r="254" spans="1:24" ht="25.5" customHeight="1">
      <c r="A254" s="1"/>
      <c r="B254" s="1"/>
      <c r="C254" s="136"/>
      <c r="D254" s="136"/>
      <c r="E254" s="136"/>
      <c r="F254" s="91"/>
      <c r="G254" s="92"/>
      <c r="H254" s="92"/>
      <c r="I254" s="93"/>
      <c r="J254" s="92"/>
      <c r="K254" s="92"/>
      <c r="L254" s="94"/>
      <c r="M254" s="94"/>
      <c r="N254" s="95"/>
      <c r="O254" s="139">
        <f t="shared" si="28"/>
        <v>0</v>
      </c>
      <c r="P254" s="139">
        <f t="shared" si="29"/>
        <v>0</v>
      </c>
      <c r="Q254" s="139">
        <f t="shared" si="30"/>
        <v>0</v>
      </c>
      <c r="R254" s="140">
        <v>0</v>
      </c>
      <c r="S254" s="141">
        <f t="shared" si="31"/>
        <v>0</v>
      </c>
      <c r="T254" s="139">
        <f t="shared" si="32"/>
        <v>0</v>
      </c>
      <c r="U254" s="141">
        <f t="shared" si="33"/>
        <v>0</v>
      </c>
      <c r="V254" s="144">
        <f t="shared" si="34"/>
        <v>0</v>
      </c>
      <c r="W254" s="135"/>
      <c r="X254" s="134"/>
    </row>
    <row r="255" spans="1:24" ht="25.5" customHeight="1">
      <c r="A255" s="1"/>
      <c r="B255" s="1"/>
      <c r="C255" s="136"/>
      <c r="D255" s="136"/>
      <c r="E255" s="136"/>
      <c r="F255" s="91"/>
      <c r="G255" s="92"/>
      <c r="H255" s="92"/>
      <c r="I255" s="93"/>
      <c r="J255" s="92"/>
      <c r="K255" s="92"/>
      <c r="L255" s="94"/>
      <c r="M255" s="94"/>
      <c r="N255" s="95"/>
      <c r="O255" s="139">
        <f t="shared" si="28"/>
        <v>0</v>
      </c>
      <c r="P255" s="139">
        <f t="shared" si="29"/>
        <v>0</v>
      </c>
      <c r="Q255" s="139">
        <f t="shared" si="30"/>
        <v>0</v>
      </c>
      <c r="R255" s="140">
        <v>0</v>
      </c>
      <c r="S255" s="141">
        <f t="shared" si="31"/>
        <v>0</v>
      </c>
      <c r="T255" s="139">
        <f t="shared" si="32"/>
        <v>0</v>
      </c>
      <c r="U255" s="141">
        <f t="shared" si="33"/>
        <v>0</v>
      </c>
      <c r="V255" s="144">
        <f t="shared" si="34"/>
        <v>0</v>
      </c>
      <c r="W255" s="135"/>
      <c r="X255" s="134"/>
    </row>
    <row r="256" spans="1:24" ht="25.5" customHeight="1">
      <c r="A256" s="1"/>
      <c r="B256" s="1"/>
      <c r="C256" s="136"/>
      <c r="D256" s="136"/>
      <c r="E256" s="136"/>
      <c r="F256" s="91"/>
      <c r="G256" s="92"/>
      <c r="H256" s="92"/>
      <c r="I256" s="93"/>
      <c r="J256" s="92"/>
      <c r="K256" s="92"/>
      <c r="L256" s="94"/>
      <c r="M256" s="94"/>
      <c r="N256" s="95"/>
      <c r="O256" s="139">
        <f t="shared" si="28"/>
        <v>0</v>
      </c>
      <c r="P256" s="139">
        <f t="shared" si="29"/>
        <v>0</v>
      </c>
      <c r="Q256" s="139">
        <f t="shared" si="30"/>
        <v>0</v>
      </c>
      <c r="R256" s="140">
        <v>0</v>
      </c>
      <c r="S256" s="141">
        <f t="shared" si="31"/>
        <v>0</v>
      </c>
      <c r="T256" s="139">
        <f t="shared" si="32"/>
        <v>0</v>
      </c>
      <c r="U256" s="141">
        <f t="shared" si="33"/>
        <v>0</v>
      </c>
      <c r="V256" s="144">
        <f t="shared" si="34"/>
        <v>0</v>
      </c>
      <c r="W256" s="135"/>
      <c r="X256" s="134"/>
    </row>
    <row r="257" spans="1:24" ht="25.5" customHeight="1">
      <c r="A257" s="1"/>
      <c r="B257" s="1"/>
      <c r="C257" s="136"/>
      <c r="D257" s="136"/>
      <c r="E257" s="136"/>
      <c r="F257" s="91"/>
      <c r="G257" s="92"/>
      <c r="H257" s="92"/>
      <c r="I257" s="93"/>
      <c r="J257" s="92"/>
      <c r="K257" s="92"/>
      <c r="L257" s="94"/>
      <c r="M257" s="94"/>
      <c r="N257" s="95"/>
      <c r="O257" s="139">
        <f t="shared" si="28"/>
        <v>0</v>
      </c>
      <c r="P257" s="139">
        <f t="shared" si="29"/>
        <v>0</v>
      </c>
      <c r="Q257" s="139">
        <f t="shared" si="30"/>
        <v>0</v>
      </c>
      <c r="R257" s="140">
        <v>0</v>
      </c>
      <c r="S257" s="141">
        <f t="shared" si="31"/>
        <v>0</v>
      </c>
      <c r="T257" s="139">
        <f t="shared" si="32"/>
        <v>0</v>
      </c>
      <c r="U257" s="141">
        <f t="shared" si="33"/>
        <v>0</v>
      </c>
      <c r="V257" s="144">
        <f t="shared" si="34"/>
        <v>0</v>
      </c>
      <c r="W257" s="135"/>
      <c r="X257" s="134"/>
    </row>
    <row r="258" spans="1:24" ht="25.5" customHeight="1">
      <c r="A258" s="1"/>
      <c r="B258" s="1"/>
      <c r="C258" s="136"/>
      <c r="D258" s="136"/>
      <c r="E258" s="136"/>
      <c r="F258" s="91"/>
      <c r="G258" s="92"/>
      <c r="H258" s="92"/>
      <c r="I258" s="93"/>
      <c r="J258" s="92"/>
      <c r="K258" s="92"/>
      <c r="L258" s="94"/>
      <c r="M258" s="94"/>
      <c r="N258" s="95"/>
      <c r="O258" s="139">
        <f t="shared" si="28"/>
        <v>0</v>
      </c>
      <c r="P258" s="139">
        <f t="shared" si="29"/>
        <v>0</v>
      </c>
      <c r="Q258" s="139">
        <f t="shared" si="30"/>
        <v>0</v>
      </c>
      <c r="R258" s="140">
        <v>0</v>
      </c>
      <c r="S258" s="141">
        <f t="shared" si="31"/>
        <v>0</v>
      </c>
      <c r="T258" s="139">
        <f t="shared" si="32"/>
        <v>0</v>
      </c>
      <c r="U258" s="141">
        <f t="shared" si="33"/>
        <v>0</v>
      </c>
      <c r="V258" s="144">
        <f t="shared" si="34"/>
        <v>0</v>
      </c>
      <c r="W258" s="135"/>
      <c r="X258" s="134"/>
    </row>
    <row r="259" spans="1:24" ht="25.5" customHeight="1">
      <c r="A259" s="1"/>
      <c r="B259" s="1"/>
      <c r="C259" s="136"/>
      <c r="D259" s="136"/>
      <c r="E259" s="136"/>
      <c r="F259" s="91"/>
      <c r="G259" s="92"/>
      <c r="H259" s="92"/>
      <c r="I259" s="93"/>
      <c r="J259" s="92"/>
      <c r="K259" s="92"/>
      <c r="L259" s="94"/>
      <c r="M259" s="94"/>
      <c r="N259" s="95"/>
      <c r="O259" s="139">
        <f t="shared" si="28"/>
        <v>0</v>
      </c>
      <c r="P259" s="139">
        <f t="shared" si="29"/>
        <v>0</v>
      </c>
      <c r="Q259" s="139">
        <f t="shared" si="30"/>
        <v>0</v>
      </c>
      <c r="R259" s="140">
        <v>0</v>
      </c>
      <c r="S259" s="141">
        <f t="shared" si="31"/>
        <v>0</v>
      </c>
      <c r="T259" s="139">
        <f t="shared" si="32"/>
        <v>0</v>
      </c>
      <c r="U259" s="141">
        <f t="shared" si="33"/>
        <v>0</v>
      </c>
      <c r="V259" s="144">
        <f t="shared" si="34"/>
        <v>0</v>
      </c>
      <c r="W259" s="135"/>
      <c r="X259" s="134"/>
    </row>
    <row r="260" spans="1:24" ht="25.5" customHeight="1">
      <c r="A260" s="1"/>
      <c r="B260" s="1"/>
      <c r="C260" s="136"/>
      <c r="D260" s="136"/>
      <c r="E260" s="136"/>
      <c r="F260" s="91"/>
      <c r="G260" s="92"/>
      <c r="H260" s="92"/>
      <c r="I260" s="93"/>
      <c r="J260" s="92"/>
      <c r="K260" s="92"/>
      <c r="L260" s="94"/>
      <c r="M260" s="94"/>
      <c r="N260" s="95"/>
      <c r="O260" s="139">
        <f t="shared" si="28"/>
        <v>0</v>
      </c>
      <c r="P260" s="139">
        <f t="shared" si="29"/>
        <v>0</v>
      </c>
      <c r="Q260" s="139">
        <f t="shared" si="30"/>
        <v>0</v>
      </c>
      <c r="R260" s="140">
        <v>0</v>
      </c>
      <c r="S260" s="141">
        <f t="shared" si="31"/>
        <v>0</v>
      </c>
      <c r="T260" s="139">
        <f t="shared" si="32"/>
        <v>0</v>
      </c>
      <c r="U260" s="141">
        <f t="shared" si="33"/>
        <v>0</v>
      </c>
      <c r="V260" s="144">
        <f t="shared" si="34"/>
        <v>0</v>
      </c>
      <c r="W260" s="135"/>
      <c r="X260" s="134"/>
    </row>
    <row r="261" spans="1:24" ht="25.5" customHeight="1">
      <c r="A261" s="1"/>
      <c r="B261" s="1"/>
      <c r="C261" s="136"/>
      <c r="D261" s="136"/>
      <c r="E261" s="136"/>
      <c r="F261" s="91"/>
      <c r="G261" s="92"/>
      <c r="H261" s="92"/>
      <c r="I261" s="93"/>
      <c r="J261" s="92"/>
      <c r="K261" s="92"/>
      <c r="L261" s="94"/>
      <c r="M261" s="94"/>
      <c r="N261" s="95"/>
      <c r="O261" s="139">
        <f t="shared" si="28"/>
        <v>0</v>
      </c>
      <c r="P261" s="139">
        <f t="shared" si="29"/>
        <v>0</v>
      </c>
      <c r="Q261" s="139">
        <f t="shared" si="30"/>
        <v>0</v>
      </c>
      <c r="R261" s="140">
        <v>0</v>
      </c>
      <c r="S261" s="141">
        <f t="shared" si="31"/>
        <v>0</v>
      </c>
      <c r="T261" s="139">
        <f t="shared" si="32"/>
        <v>0</v>
      </c>
      <c r="U261" s="141">
        <f t="shared" si="33"/>
        <v>0</v>
      </c>
      <c r="V261" s="144">
        <f t="shared" si="34"/>
        <v>0</v>
      </c>
      <c r="W261" s="135"/>
      <c r="X261" s="134"/>
    </row>
    <row r="262" spans="1:24" ht="25.5" customHeight="1">
      <c r="A262" s="1"/>
      <c r="B262" s="1"/>
      <c r="C262" s="136"/>
      <c r="D262" s="136"/>
      <c r="E262" s="136"/>
      <c r="F262" s="91"/>
      <c r="G262" s="92"/>
      <c r="H262" s="92"/>
      <c r="I262" s="93"/>
      <c r="J262" s="92"/>
      <c r="K262" s="92"/>
      <c r="L262" s="94"/>
      <c r="M262" s="94"/>
      <c r="N262" s="95"/>
      <c r="O262" s="139">
        <f t="shared" si="28"/>
        <v>0</v>
      </c>
      <c r="P262" s="139">
        <f t="shared" si="29"/>
        <v>0</v>
      </c>
      <c r="Q262" s="139">
        <f t="shared" si="30"/>
        <v>0</v>
      </c>
      <c r="R262" s="140">
        <v>0</v>
      </c>
      <c r="S262" s="141">
        <f t="shared" si="31"/>
        <v>0</v>
      </c>
      <c r="T262" s="139">
        <f t="shared" si="32"/>
        <v>0</v>
      </c>
      <c r="U262" s="141">
        <f t="shared" si="33"/>
        <v>0</v>
      </c>
      <c r="V262" s="144">
        <f t="shared" si="34"/>
        <v>0</v>
      </c>
      <c r="W262" s="135"/>
      <c r="X262" s="134"/>
    </row>
    <row r="263" spans="1:24" ht="25.5" customHeight="1">
      <c r="A263" s="1"/>
      <c r="B263" s="1"/>
      <c r="C263" s="136"/>
      <c r="D263" s="136"/>
      <c r="E263" s="136"/>
      <c r="F263" s="91"/>
      <c r="G263" s="92"/>
      <c r="H263" s="92"/>
      <c r="I263" s="93"/>
      <c r="J263" s="92"/>
      <c r="K263" s="92"/>
      <c r="L263" s="94"/>
      <c r="M263" s="94"/>
      <c r="N263" s="95"/>
      <c r="O263" s="139">
        <f t="shared" si="28"/>
        <v>0</v>
      </c>
      <c r="P263" s="139">
        <f t="shared" si="29"/>
        <v>0</v>
      </c>
      <c r="Q263" s="139">
        <f t="shared" si="30"/>
        <v>0</v>
      </c>
      <c r="R263" s="140">
        <v>0</v>
      </c>
      <c r="S263" s="141">
        <f t="shared" si="31"/>
        <v>0</v>
      </c>
      <c r="T263" s="139">
        <f t="shared" si="32"/>
        <v>0</v>
      </c>
      <c r="U263" s="141">
        <f t="shared" si="33"/>
        <v>0</v>
      </c>
      <c r="V263" s="144">
        <f t="shared" si="34"/>
        <v>0</v>
      </c>
      <c r="W263" s="135"/>
      <c r="X263" s="134"/>
    </row>
    <row r="264" spans="1:24" ht="25.5" customHeight="1">
      <c r="A264" s="1"/>
      <c r="B264" s="1"/>
      <c r="C264" s="136"/>
      <c r="D264" s="136"/>
      <c r="E264" s="136"/>
      <c r="F264" s="91"/>
      <c r="G264" s="92"/>
      <c r="H264" s="92"/>
      <c r="I264" s="93"/>
      <c r="J264" s="92"/>
      <c r="K264" s="92"/>
      <c r="L264" s="94"/>
      <c r="M264" s="94"/>
      <c r="N264" s="95"/>
      <c r="O264" s="139">
        <f t="shared" si="28"/>
        <v>0</v>
      </c>
      <c r="P264" s="139">
        <f t="shared" si="29"/>
        <v>0</v>
      </c>
      <c r="Q264" s="139">
        <f t="shared" si="30"/>
        <v>0</v>
      </c>
      <c r="R264" s="140">
        <v>0</v>
      </c>
      <c r="S264" s="141">
        <f t="shared" si="31"/>
        <v>0</v>
      </c>
      <c r="T264" s="139">
        <f t="shared" si="32"/>
        <v>0</v>
      </c>
      <c r="U264" s="141">
        <f t="shared" si="33"/>
        <v>0</v>
      </c>
      <c r="V264" s="144">
        <f t="shared" si="34"/>
        <v>0</v>
      </c>
      <c r="W264" s="135"/>
      <c r="X264" s="134"/>
    </row>
    <row r="265" spans="1:24" ht="25.5" customHeight="1">
      <c r="A265" s="1"/>
      <c r="B265" s="1"/>
      <c r="C265" s="136"/>
      <c r="D265" s="136"/>
      <c r="E265" s="136"/>
      <c r="F265" s="91"/>
      <c r="G265" s="92"/>
      <c r="H265" s="92"/>
      <c r="I265" s="93"/>
      <c r="J265" s="92"/>
      <c r="K265" s="92"/>
      <c r="L265" s="94"/>
      <c r="M265" s="94"/>
      <c r="N265" s="95"/>
      <c r="O265" s="139">
        <f t="shared" si="28"/>
        <v>0</v>
      </c>
      <c r="P265" s="139">
        <f t="shared" si="29"/>
        <v>0</v>
      </c>
      <c r="Q265" s="139">
        <f t="shared" si="30"/>
        <v>0</v>
      </c>
      <c r="R265" s="140">
        <v>0</v>
      </c>
      <c r="S265" s="141">
        <f t="shared" si="31"/>
        <v>0</v>
      </c>
      <c r="T265" s="139">
        <f t="shared" si="32"/>
        <v>0</v>
      </c>
      <c r="U265" s="141">
        <f t="shared" si="33"/>
        <v>0</v>
      </c>
      <c r="V265" s="144">
        <f t="shared" si="34"/>
        <v>0</v>
      </c>
      <c r="W265" s="135"/>
      <c r="X265" s="134"/>
    </row>
    <row r="266" spans="1:24" ht="25.5" customHeight="1">
      <c r="A266" s="1"/>
      <c r="B266" s="1"/>
      <c r="C266" s="136"/>
      <c r="D266" s="136"/>
      <c r="E266" s="136"/>
      <c r="F266" s="91"/>
      <c r="G266" s="92"/>
      <c r="H266" s="92"/>
      <c r="I266" s="93"/>
      <c r="J266" s="92"/>
      <c r="K266" s="92"/>
      <c r="L266" s="94"/>
      <c r="M266" s="94"/>
      <c r="N266" s="95"/>
      <c r="O266" s="139">
        <f t="shared" si="28"/>
        <v>0</v>
      </c>
      <c r="P266" s="139">
        <f t="shared" si="29"/>
        <v>0</v>
      </c>
      <c r="Q266" s="139">
        <f t="shared" si="30"/>
        <v>0</v>
      </c>
      <c r="R266" s="140">
        <v>0</v>
      </c>
      <c r="S266" s="141">
        <f t="shared" si="31"/>
        <v>0</v>
      </c>
      <c r="T266" s="139">
        <f t="shared" si="32"/>
        <v>0</v>
      </c>
      <c r="U266" s="141">
        <f t="shared" si="33"/>
        <v>0</v>
      </c>
      <c r="V266" s="144">
        <f t="shared" si="34"/>
        <v>0</v>
      </c>
      <c r="W266" s="135"/>
      <c r="X266" s="134"/>
    </row>
    <row r="267" spans="1:24" ht="25.5" customHeight="1">
      <c r="A267" s="1"/>
      <c r="B267" s="1"/>
      <c r="C267" s="136"/>
      <c r="D267" s="136"/>
      <c r="E267" s="136"/>
      <c r="F267" s="91"/>
      <c r="G267" s="92"/>
      <c r="H267" s="92"/>
      <c r="I267" s="93"/>
      <c r="J267" s="92"/>
      <c r="K267" s="92"/>
      <c r="L267" s="94"/>
      <c r="M267" s="94"/>
      <c r="N267" s="95"/>
      <c r="O267" s="139">
        <f t="shared" si="28"/>
        <v>0</v>
      </c>
      <c r="P267" s="139">
        <f t="shared" si="29"/>
        <v>0</v>
      </c>
      <c r="Q267" s="139">
        <f t="shared" si="30"/>
        <v>0</v>
      </c>
      <c r="R267" s="140">
        <v>0</v>
      </c>
      <c r="S267" s="141">
        <f t="shared" si="31"/>
        <v>0</v>
      </c>
      <c r="T267" s="139">
        <f t="shared" si="32"/>
        <v>0</v>
      </c>
      <c r="U267" s="141">
        <f t="shared" si="33"/>
        <v>0</v>
      </c>
      <c r="V267" s="144">
        <f t="shared" si="34"/>
        <v>0</v>
      </c>
      <c r="W267" s="135"/>
      <c r="X267" s="134"/>
    </row>
    <row r="268" spans="1:24" ht="25.5" customHeight="1">
      <c r="A268" s="1"/>
      <c r="B268" s="1"/>
      <c r="C268" s="136"/>
      <c r="D268" s="136"/>
      <c r="E268" s="136"/>
      <c r="F268" s="91"/>
      <c r="G268" s="92"/>
      <c r="H268" s="92"/>
      <c r="I268" s="93"/>
      <c r="J268" s="92"/>
      <c r="K268" s="92"/>
      <c r="L268" s="94"/>
      <c r="M268" s="94"/>
      <c r="N268" s="95"/>
      <c r="O268" s="139">
        <f t="shared" si="28"/>
        <v>0</v>
      </c>
      <c r="P268" s="139">
        <f t="shared" si="29"/>
        <v>0</v>
      </c>
      <c r="Q268" s="139">
        <f t="shared" si="30"/>
        <v>0</v>
      </c>
      <c r="R268" s="140">
        <v>0</v>
      </c>
      <c r="S268" s="141">
        <f t="shared" si="31"/>
        <v>0</v>
      </c>
      <c r="T268" s="139">
        <f t="shared" si="32"/>
        <v>0</v>
      </c>
      <c r="U268" s="141">
        <f t="shared" si="33"/>
        <v>0</v>
      </c>
      <c r="V268" s="144">
        <f t="shared" si="34"/>
        <v>0</v>
      </c>
      <c r="W268" s="135"/>
      <c r="X268" s="134"/>
    </row>
    <row r="269" spans="1:24" ht="25.5" customHeight="1">
      <c r="A269" s="1"/>
      <c r="B269" s="1"/>
      <c r="C269" s="136"/>
      <c r="D269" s="136"/>
      <c r="E269" s="136"/>
      <c r="F269" s="91"/>
      <c r="G269" s="92"/>
      <c r="H269" s="92"/>
      <c r="I269" s="93"/>
      <c r="J269" s="92"/>
      <c r="K269" s="92"/>
      <c r="L269" s="94"/>
      <c r="M269" s="94"/>
      <c r="N269" s="95"/>
      <c r="O269" s="139">
        <f t="shared" si="28"/>
        <v>0</v>
      </c>
      <c r="P269" s="139">
        <f t="shared" si="29"/>
        <v>0</v>
      </c>
      <c r="Q269" s="139">
        <f t="shared" si="30"/>
        <v>0</v>
      </c>
      <c r="R269" s="140">
        <v>0</v>
      </c>
      <c r="S269" s="141">
        <f t="shared" si="31"/>
        <v>0</v>
      </c>
      <c r="T269" s="139">
        <f t="shared" si="32"/>
        <v>0</v>
      </c>
      <c r="U269" s="141">
        <f t="shared" si="33"/>
        <v>0</v>
      </c>
      <c r="V269" s="144">
        <f t="shared" si="34"/>
        <v>0</v>
      </c>
      <c r="W269" s="135"/>
      <c r="X269" s="134"/>
    </row>
    <row r="270" spans="1:24" ht="25.5" customHeight="1">
      <c r="A270" s="1"/>
      <c r="B270" s="1"/>
      <c r="C270" s="136"/>
      <c r="D270" s="136"/>
      <c r="E270" s="136"/>
      <c r="F270" s="91"/>
      <c r="G270" s="92"/>
      <c r="H270" s="92"/>
      <c r="I270" s="93"/>
      <c r="J270" s="92"/>
      <c r="K270" s="92"/>
      <c r="L270" s="94"/>
      <c r="M270" s="94"/>
      <c r="N270" s="95"/>
      <c r="O270" s="139">
        <f t="shared" si="28"/>
        <v>0</v>
      </c>
      <c r="P270" s="139">
        <f t="shared" si="29"/>
        <v>0</v>
      </c>
      <c r="Q270" s="139">
        <f t="shared" si="30"/>
        <v>0</v>
      </c>
      <c r="R270" s="140">
        <v>0</v>
      </c>
      <c r="S270" s="141">
        <f t="shared" si="31"/>
        <v>0</v>
      </c>
      <c r="T270" s="139">
        <f t="shared" si="32"/>
        <v>0</v>
      </c>
      <c r="U270" s="141">
        <f t="shared" si="33"/>
        <v>0</v>
      </c>
      <c r="V270" s="144">
        <f t="shared" si="34"/>
        <v>0</v>
      </c>
      <c r="W270" s="135"/>
      <c r="X270" s="134"/>
    </row>
    <row r="271" spans="1:24" ht="25.5" customHeight="1">
      <c r="A271" s="1"/>
      <c r="B271" s="1"/>
      <c r="C271" s="41" t="s">
        <v>261</v>
      </c>
      <c r="D271" s="89"/>
      <c r="H271"/>
      <c r="R271" s="140">
        <v>0</v>
      </c>
    </row>
    <row r="272" spans="1:24" ht="25.5" customHeight="1">
      <c r="A272" s="1"/>
      <c r="B272" s="1"/>
      <c r="H272"/>
    </row>
    <row r="273" spans="1:8" ht="25.5" customHeight="1">
      <c r="A273" s="1"/>
      <c r="B273" s="1"/>
      <c r="H273"/>
    </row>
    <row r="274" spans="1:8" ht="25.5" customHeight="1">
      <c r="A274" s="1"/>
      <c r="B274" s="1"/>
      <c r="H274"/>
    </row>
    <row r="275" spans="1:8" ht="25.5" customHeight="1">
      <c r="A275" s="1"/>
      <c r="B275" s="1"/>
      <c r="H275"/>
    </row>
    <row r="276" spans="1:8" ht="25.5" customHeight="1">
      <c r="A276" s="1"/>
      <c r="B276" s="1"/>
      <c r="H276"/>
    </row>
    <row r="277" spans="1:8" ht="25.5" customHeight="1">
      <c r="A277" s="1"/>
      <c r="B277" s="1"/>
      <c r="H277"/>
    </row>
    <row r="278" spans="1:8" ht="25.5" customHeight="1">
      <c r="A278" s="1"/>
      <c r="B278" s="1"/>
      <c r="H278"/>
    </row>
    <row r="279" spans="1:8" ht="25.5" customHeight="1">
      <c r="A279" s="1"/>
      <c r="B279" s="1"/>
      <c r="H279"/>
    </row>
    <row r="280" spans="1:8" ht="25.5" customHeight="1">
      <c r="A280" s="1"/>
      <c r="B280" s="1"/>
      <c r="H280"/>
    </row>
    <row r="281" spans="1:8" ht="25.5" customHeight="1">
      <c r="A281" s="1"/>
      <c r="B281" s="1"/>
      <c r="H281"/>
    </row>
    <row r="282" spans="1:8" ht="25.5" customHeight="1">
      <c r="A282" s="1"/>
      <c r="B282" s="1"/>
      <c r="H282"/>
    </row>
    <row r="283" spans="1:8" ht="25.5" customHeight="1">
      <c r="A283" s="1"/>
      <c r="B283" s="1"/>
      <c r="H283"/>
    </row>
    <row r="284" spans="1:8" ht="25.5" customHeight="1">
      <c r="A284" s="1"/>
      <c r="B284" s="1"/>
      <c r="H284"/>
    </row>
    <row r="285" spans="1:8" ht="25.5" customHeight="1">
      <c r="A285" s="1"/>
      <c r="B285" s="1"/>
      <c r="H285"/>
    </row>
    <row r="286" spans="1:8" ht="25.5" customHeight="1">
      <c r="A286" s="1"/>
      <c r="B286" s="1"/>
      <c r="H286"/>
    </row>
    <row r="287" spans="1:8" ht="25.5" customHeight="1">
      <c r="A287" s="1"/>
      <c r="B287" s="1"/>
      <c r="H287"/>
    </row>
    <row r="288" spans="1:8" ht="25.5" customHeight="1">
      <c r="A288" s="1"/>
      <c r="B288" s="1"/>
      <c r="H288"/>
    </row>
    <row r="289" spans="1:8" ht="25.5" customHeight="1">
      <c r="A289" s="1"/>
      <c r="B289" s="1"/>
      <c r="H289"/>
    </row>
    <row r="290" spans="1:8" ht="25.5" customHeight="1">
      <c r="A290" s="1"/>
      <c r="B290" s="1"/>
      <c r="H290"/>
    </row>
    <row r="291" spans="1:8" ht="25.5" customHeight="1">
      <c r="A291" s="1"/>
      <c r="B291" s="1"/>
      <c r="H291"/>
    </row>
    <row r="292" spans="1:8" ht="25.5" customHeight="1">
      <c r="A292" s="1"/>
      <c r="B292" s="1"/>
      <c r="H292"/>
    </row>
    <row r="293" spans="1:8" ht="25.5" customHeight="1">
      <c r="A293" s="1"/>
      <c r="B293" s="1"/>
      <c r="H293"/>
    </row>
    <row r="294" spans="1:8" ht="25.5" customHeight="1">
      <c r="A294" s="1"/>
      <c r="B294" s="1"/>
      <c r="H294"/>
    </row>
    <row r="295" spans="1:8" ht="25.5" customHeight="1">
      <c r="A295" s="1"/>
      <c r="B295" s="1"/>
      <c r="H295"/>
    </row>
    <row r="296" spans="1:8" ht="25.5" customHeight="1">
      <c r="A296" s="1"/>
      <c r="B296" s="1"/>
      <c r="H296"/>
    </row>
    <row r="297" spans="1:8" ht="25.5" customHeight="1">
      <c r="A297" s="1"/>
      <c r="B297" s="1"/>
      <c r="H297"/>
    </row>
    <row r="298" spans="1:8" ht="25.5" customHeight="1">
      <c r="A298" s="1"/>
      <c r="B298" s="1"/>
      <c r="H298"/>
    </row>
    <row r="299" spans="1:8" ht="25.5" customHeight="1">
      <c r="A299" s="1"/>
      <c r="B299" s="1"/>
      <c r="H299"/>
    </row>
    <row r="300" spans="1:8" ht="25.5" customHeight="1">
      <c r="A300" s="1"/>
      <c r="B300" s="1"/>
      <c r="H300"/>
    </row>
    <row r="301" spans="1:8" ht="25.5" customHeight="1">
      <c r="A301" s="1"/>
      <c r="B301" s="1"/>
      <c r="H301"/>
    </row>
    <row r="302" spans="1:8" ht="25.5" customHeight="1">
      <c r="A302" s="1"/>
      <c r="B302" s="1"/>
      <c r="H302"/>
    </row>
    <row r="303" spans="1:8" ht="25.5" customHeight="1">
      <c r="A303" s="1"/>
      <c r="B303" s="1"/>
      <c r="H303"/>
    </row>
    <row r="304" spans="1:8" ht="25.5" customHeight="1">
      <c r="A304" s="1"/>
      <c r="B304" s="1"/>
      <c r="H304"/>
    </row>
    <row r="305" spans="1:8" ht="25.5" customHeight="1">
      <c r="A305" s="1"/>
      <c r="B305" s="1"/>
      <c r="H305"/>
    </row>
    <row r="306" spans="1:8" ht="25.5" customHeight="1">
      <c r="A306" s="1"/>
      <c r="B306" s="1"/>
      <c r="H306"/>
    </row>
    <row r="307" spans="1:8" ht="25.5" customHeight="1">
      <c r="A307" s="1"/>
      <c r="B307" s="1"/>
      <c r="H307"/>
    </row>
    <row r="308" spans="1:8" ht="25.5" customHeight="1">
      <c r="A308" s="1"/>
      <c r="B308" s="1"/>
      <c r="H308"/>
    </row>
    <row r="309" spans="1:8" ht="25.5" customHeight="1">
      <c r="A309" s="1"/>
      <c r="B309" s="1"/>
      <c r="H309"/>
    </row>
    <row r="310" spans="1:8" ht="25.5" customHeight="1">
      <c r="A310" s="1"/>
      <c r="B310" s="1"/>
      <c r="H310"/>
    </row>
    <row r="311" spans="1:8" ht="25.5" customHeight="1">
      <c r="A311" s="1"/>
      <c r="B311" s="1"/>
      <c r="H311"/>
    </row>
    <row r="312" spans="1:8" ht="25.5" customHeight="1">
      <c r="A312" s="1"/>
      <c r="B312" s="1"/>
      <c r="H312"/>
    </row>
    <row r="313" spans="1:8" ht="25.5" customHeight="1">
      <c r="A313" s="1"/>
      <c r="B313" s="1"/>
      <c r="H313"/>
    </row>
    <row r="314" spans="1:8" ht="25.5" customHeight="1">
      <c r="A314" s="1"/>
      <c r="B314" s="1"/>
      <c r="H314"/>
    </row>
    <row r="315" spans="1:8" ht="25.5" customHeight="1">
      <c r="A315" s="1"/>
      <c r="B315" s="1"/>
      <c r="H315"/>
    </row>
    <row r="316" spans="1:8" ht="25.5" customHeight="1">
      <c r="A316" s="1"/>
      <c r="B316" s="1"/>
      <c r="H316"/>
    </row>
    <row r="317" spans="1:8" ht="25.5" customHeight="1">
      <c r="A317" s="1"/>
      <c r="B317" s="1"/>
      <c r="H317"/>
    </row>
    <row r="318" spans="1:8" ht="25.5" customHeight="1">
      <c r="A318" s="1"/>
      <c r="B318" s="1"/>
      <c r="H318"/>
    </row>
    <row r="319" spans="1:8" ht="25.5" customHeight="1">
      <c r="A319" s="1"/>
      <c r="B319" s="1"/>
      <c r="H319"/>
    </row>
    <row r="320" spans="1:8" ht="25.5" customHeight="1">
      <c r="A320" s="1"/>
      <c r="B320" s="1"/>
      <c r="H320"/>
    </row>
    <row r="321" spans="1:8" ht="25.5" customHeight="1">
      <c r="A321" s="1"/>
      <c r="B321" s="1"/>
      <c r="H321"/>
    </row>
    <row r="322" spans="1:8" ht="25.5" customHeight="1">
      <c r="A322" s="1"/>
      <c r="B322" s="1"/>
      <c r="H322"/>
    </row>
    <row r="323" spans="1:8" ht="25.5" customHeight="1">
      <c r="A323" s="1"/>
      <c r="B323" s="1"/>
      <c r="H323"/>
    </row>
    <row r="324" spans="1:8" ht="25.5" customHeight="1">
      <c r="A324" s="1"/>
      <c r="B324" s="1"/>
      <c r="H324"/>
    </row>
    <row r="325" spans="1:8" ht="25.5" customHeight="1">
      <c r="A325" s="1"/>
      <c r="B325" s="1"/>
      <c r="H325"/>
    </row>
    <row r="326" spans="1:8" ht="25.5" customHeight="1">
      <c r="A326" s="1"/>
      <c r="B326" s="1"/>
      <c r="H326"/>
    </row>
    <row r="327" spans="1:8" ht="25.5" customHeight="1">
      <c r="A327" s="1"/>
      <c r="B327" s="1"/>
      <c r="H327"/>
    </row>
    <row r="328" spans="1:8" ht="25.5" customHeight="1">
      <c r="A328" s="1"/>
      <c r="B328" s="1"/>
      <c r="H328"/>
    </row>
    <row r="329" spans="1:8" ht="25.5" customHeight="1">
      <c r="A329" s="1"/>
      <c r="B329" s="1"/>
      <c r="H329"/>
    </row>
    <row r="330" spans="1:8" ht="25.5" customHeight="1">
      <c r="A330" s="1"/>
      <c r="B330" s="1"/>
      <c r="H330"/>
    </row>
    <row r="331" spans="1:8" ht="25.5" customHeight="1">
      <c r="A331" s="1"/>
      <c r="B331" s="1"/>
      <c r="H331"/>
    </row>
    <row r="332" spans="1:8" ht="25.5" customHeight="1">
      <c r="A332" s="1"/>
      <c r="B332" s="1"/>
      <c r="H332"/>
    </row>
    <row r="333" spans="1:8" ht="25.5" customHeight="1">
      <c r="A333" s="1"/>
      <c r="B333" s="1"/>
      <c r="H333"/>
    </row>
    <row r="334" spans="1:8" ht="25.5" customHeight="1">
      <c r="A334" s="1"/>
      <c r="B334" s="1"/>
      <c r="H334"/>
    </row>
    <row r="335" spans="1:8" ht="25.5" customHeight="1">
      <c r="A335" s="1"/>
      <c r="B335" s="1"/>
      <c r="H335"/>
    </row>
    <row r="336" spans="1:8" ht="25.5" customHeight="1">
      <c r="A336" s="1"/>
      <c r="B336" s="1"/>
      <c r="H336"/>
    </row>
    <row r="337" spans="1:8" ht="25.5" customHeight="1">
      <c r="A337" s="1"/>
      <c r="B337" s="1"/>
      <c r="H337"/>
    </row>
    <row r="338" spans="1:8" ht="25.5" customHeight="1">
      <c r="A338" s="1"/>
      <c r="B338" s="1"/>
      <c r="H338"/>
    </row>
    <row r="339" spans="1:8" ht="25.5" customHeight="1">
      <c r="A339" s="1"/>
      <c r="B339" s="1"/>
      <c r="H339"/>
    </row>
    <row r="340" spans="1:8" ht="25.5" customHeight="1">
      <c r="A340" s="1"/>
      <c r="B340" s="1"/>
      <c r="H340"/>
    </row>
    <row r="341" spans="1:8" ht="25.5" customHeight="1">
      <c r="A341" s="1"/>
      <c r="B341" s="1"/>
      <c r="H341"/>
    </row>
    <row r="342" spans="1:8" ht="25.5" customHeight="1">
      <c r="A342" s="1"/>
      <c r="B342" s="1"/>
      <c r="H342"/>
    </row>
    <row r="343" spans="1:8" ht="25.5" customHeight="1">
      <c r="A343" s="1"/>
      <c r="B343" s="1"/>
      <c r="H343"/>
    </row>
    <row r="344" spans="1:8" ht="25.5" customHeight="1">
      <c r="A344" s="1"/>
      <c r="B344" s="1"/>
      <c r="H344"/>
    </row>
    <row r="345" spans="1:8" ht="25.5" customHeight="1">
      <c r="A345" s="1"/>
      <c r="B345" s="1"/>
      <c r="H345"/>
    </row>
    <row r="346" spans="1:8" ht="25.5" customHeight="1">
      <c r="A346" s="1"/>
      <c r="B346" s="1"/>
      <c r="H346"/>
    </row>
    <row r="347" spans="1:8" ht="25.5" customHeight="1">
      <c r="A347" s="1"/>
      <c r="B347" s="1"/>
      <c r="H347"/>
    </row>
    <row r="348" spans="1:8" ht="25.5" customHeight="1">
      <c r="A348" s="1"/>
      <c r="B348" s="1"/>
      <c r="H348"/>
    </row>
    <row r="349" spans="1:8" ht="25.5" customHeight="1">
      <c r="A349" s="1"/>
      <c r="B349" s="1"/>
      <c r="H349"/>
    </row>
    <row r="350" spans="1:8" ht="25.5" customHeight="1">
      <c r="A350" s="1"/>
      <c r="B350" s="1"/>
      <c r="H350"/>
    </row>
    <row r="351" spans="1:8" ht="25.5" customHeight="1">
      <c r="A351" s="1"/>
      <c r="B351" s="1"/>
      <c r="H351"/>
    </row>
    <row r="352" spans="1:8" ht="25.5" customHeight="1">
      <c r="A352" s="1"/>
      <c r="B352" s="1"/>
      <c r="H352"/>
    </row>
    <row r="353" spans="1:8" ht="25.5" customHeight="1">
      <c r="A353" s="1"/>
      <c r="B353" s="1"/>
      <c r="H353"/>
    </row>
    <row r="354" spans="1:8" ht="25.5" customHeight="1">
      <c r="A354" s="1"/>
      <c r="B354" s="1"/>
      <c r="H354"/>
    </row>
    <row r="355" spans="1:8" ht="25.5" customHeight="1">
      <c r="A355" s="1"/>
      <c r="B355" s="1"/>
      <c r="H355"/>
    </row>
    <row r="356" spans="1:8" ht="25.5" customHeight="1">
      <c r="A356" s="1"/>
      <c r="B356" s="1"/>
      <c r="H356"/>
    </row>
    <row r="357" spans="1:8" ht="25.5" customHeight="1">
      <c r="A357" s="1"/>
      <c r="B357" s="1"/>
      <c r="H357"/>
    </row>
    <row r="358" spans="1:8" ht="25.5" customHeight="1">
      <c r="A358" s="1"/>
      <c r="B358" s="1"/>
      <c r="H358"/>
    </row>
    <row r="359" spans="1:8" ht="25.5" customHeight="1">
      <c r="A359" s="1"/>
      <c r="B359" s="1"/>
      <c r="H359"/>
    </row>
    <row r="360" spans="1:8" ht="25.5" customHeight="1">
      <c r="A360" s="1"/>
      <c r="B360" s="1"/>
      <c r="H360"/>
    </row>
    <row r="361" spans="1:8" ht="25.5" customHeight="1">
      <c r="A361" s="1"/>
      <c r="B361" s="1"/>
      <c r="H361"/>
    </row>
    <row r="362" spans="1:8" ht="25.5" customHeight="1">
      <c r="A362" s="1"/>
      <c r="B362" s="1"/>
      <c r="H362"/>
    </row>
    <row r="363" spans="1:8" ht="25.5" customHeight="1">
      <c r="A363" s="1"/>
      <c r="B363" s="1"/>
      <c r="H363"/>
    </row>
    <row r="364" spans="1:8" ht="25.5" customHeight="1">
      <c r="A364" s="1"/>
      <c r="B364" s="1"/>
      <c r="H364"/>
    </row>
    <row r="365" spans="1:8" ht="25.5" customHeight="1">
      <c r="A365" s="1"/>
      <c r="B365" s="1"/>
      <c r="H365"/>
    </row>
    <row r="366" spans="1:8" ht="25.5" customHeight="1">
      <c r="A366" s="1"/>
      <c r="B366" s="1"/>
      <c r="H366"/>
    </row>
    <row r="367" spans="1:8" ht="25.5" customHeight="1">
      <c r="A367" s="1"/>
      <c r="B367" s="1"/>
      <c r="H367"/>
    </row>
    <row r="368" spans="1:8" ht="25.5" customHeight="1">
      <c r="A368" s="1"/>
      <c r="B368" s="1"/>
      <c r="H368"/>
    </row>
    <row r="369" spans="1:8" ht="25.5" customHeight="1">
      <c r="A369" s="1"/>
      <c r="B369" s="1"/>
      <c r="H369"/>
    </row>
    <row r="370" spans="1:8" ht="25.5" customHeight="1">
      <c r="A370" s="1"/>
      <c r="B370" s="1"/>
      <c r="H370"/>
    </row>
    <row r="371" spans="1:8" ht="25.5" customHeight="1">
      <c r="A371" s="1"/>
      <c r="B371" s="1"/>
      <c r="H371"/>
    </row>
    <row r="372" spans="1:8" ht="25.5" customHeight="1">
      <c r="A372" s="1"/>
      <c r="B372" s="1"/>
      <c r="H372"/>
    </row>
    <row r="373" spans="1:8" ht="25.5" customHeight="1">
      <c r="A373" s="1"/>
      <c r="B373" s="1"/>
      <c r="H373"/>
    </row>
    <row r="374" spans="1:8" ht="25.5" customHeight="1">
      <c r="A374" s="1"/>
      <c r="B374" s="1"/>
      <c r="H374"/>
    </row>
    <row r="375" spans="1:8" ht="25.5" customHeight="1">
      <c r="A375" s="1"/>
      <c r="B375" s="1"/>
      <c r="H375"/>
    </row>
    <row r="376" spans="1:8" ht="25.5" customHeight="1">
      <c r="A376" s="1"/>
      <c r="B376" s="1"/>
      <c r="H376"/>
    </row>
    <row r="377" spans="1:8" ht="25.5" customHeight="1">
      <c r="A377" s="1"/>
      <c r="B377" s="1"/>
      <c r="H377"/>
    </row>
    <row r="378" spans="1:8" ht="25.5" customHeight="1">
      <c r="A378" s="1"/>
      <c r="B378" s="1"/>
      <c r="H378"/>
    </row>
    <row r="379" spans="1:8" ht="25.5" customHeight="1">
      <c r="A379" s="1"/>
      <c r="B379" s="1"/>
      <c r="H379"/>
    </row>
    <row r="380" spans="1:8" ht="25.5" customHeight="1">
      <c r="A380" s="1"/>
      <c r="B380" s="1"/>
      <c r="H380"/>
    </row>
    <row r="381" spans="1:8" ht="25.5" customHeight="1">
      <c r="A381" s="1"/>
      <c r="B381" s="1"/>
      <c r="H381"/>
    </row>
    <row r="382" spans="1:8" ht="25.5" customHeight="1">
      <c r="A382" s="1"/>
      <c r="B382" s="1"/>
      <c r="H382"/>
    </row>
    <row r="383" spans="1:8" ht="25.5" customHeight="1">
      <c r="A383" s="1"/>
      <c r="B383" s="1"/>
      <c r="H383"/>
    </row>
    <row r="384" spans="1:8" ht="25.5" customHeight="1">
      <c r="A384" s="1"/>
      <c r="B384" s="1"/>
      <c r="H384"/>
    </row>
    <row r="385" spans="1:8" ht="25.5" customHeight="1">
      <c r="A385" s="1"/>
      <c r="B385" s="1"/>
      <c r="H385"/>
    </row>
    <row r="386" spans="1:8" ht="25.5" customHeight="1">
      <c r="A386" s="1"/>
      <c r="B386" s="1"/>
      <c r="H386"/>
    </row>
    <row r="387" spans="1:8" ht="25.5" customHeight="1">
      <c r="A387" s="1"/>
      <c r="B387" s="1"/>
      <c r="H387"/>
    </row>
    <row r="388" spans="1:8" ht="25.5" customHeight="1">
      <c r="A388" s="1"/>
      <c r="B388" s="1"/>
      <c r="H388"/>
    </row>
    <row r="389" spans="1:8" ht="25.5" customHeight="1">
      <c r="A389" s="1"/>
      <c r="B389" s="1"/>
      <c r="H389"/>
    </row>
    <row r="390" spans="1:8" ht="25.5" customHeight="1">
      <c r="A390" s="1"/>
      <c r="B390" s="1"/>
      <c r="H390"/>
    </row>
    <row r="391" spans="1:8" ht="25.5" customHeight="1">
      <c r="A391" s="1"/>
      <c r="B391" s="1"/>
      <c r="H391"/>
    </row>
    <row r="392" spans="1:8" ht="25.5" customHeight="1">
      <c r="A392" s="1"/>
      <c r="B392" s="1"/>
      <c r="H392"/>
    </row>
    <row r="393" spans="1:8" ht="25.5" customHeight="1">
      <c r="A393" s="1"/>
      <c r="B393" s="1"/>
      <c r="H393"/>
    </row>
    <row r="394" spans="1:8" ht="25.5" customHeight="1">
      <c r="A394" s="1"/>
      <c r="B394" s="1"/>
      <c r="H394"/>
    </row>
    <row r="395" spans="1:8" ht="25.5" customHeight="1">
      <c r="A395" s="1"/>
      <c r="B395" s="1"/>
      <c r="H395"/>
    </row>
    <row r="396" spans="1:8" ht="25.5" customHeight="1">
      <c r="A396" s="1"/>
      <c r="B396" s="1"/>
      <c r="H396"/>
    </row>
    <row r="397" spans="1:8" ht="25.5" customHeight="1">
      <c r="A397" s="1"/>
      <c r="B397" s="1"/>
      <c r="H397"/>
    </row>
    <row r="398" spans="1:8" ht="25.5" customHeight="1">
      <c r="A398" s="1"/>
      <c r="B398" s="1"/>
      <c r="H398"/>
    </row>
    <row r="399" spans="1:8" ht="25.5" customHeight="1">
      <c r="A399" s="1"/>
      <c r="B399" s="1"/>
      <c r="H399"/>
    </row>
    <row r="400" spans="1:8" ht="25.5" customHeight="1">
      <c r="A400" s="1"/>
      <c r="B400" s="1"/>
      <c r="H400"/>
    </row>
    <row r="401" spans="1:8" ht="25.5" customHeight="1">
      <c r="A401" s="1"/>
      <c r="B401" s="1"/>
      <c r="H401"/>
    </row>
    <row r="402" spans="1:8" ht="25.5" customHeight="1">
      <c r="A402" s="1"/>
      <c r="B402" s="1"/>
      <c r="H402"/>
    </row>
    <row r="403" spans="1:8" ht="25.5" customHeight="1">
      <c r="A403" s="1"/>
      <c r="B403" s="1"/>
      <c r="H403"/>
    </row>
    <row r="404" spans="1:8" ht="25.5" customHeight="1">
      <c r="A404" s="1"/>
      <c r="B404" s="1"/>
      <c r="H404"/>
    </row>
    <row r="405" spans="1:8" ht="25.5" customHeight="1">
      <c r="A405" s="1"/>
      <c r="B405" s="1"/>
      <c r="H405"/>
    </row>
    <row r="406" spans="1:8" ht="25.5" customHeight="1">
      <c r="A406" s="1"/>
      <c r="B406" s="1"/>
      <c r="H406"/>
    </row>
    <row r="407" spans="1:8" ht="25.5" customHeight="1">
      <c r="A407" s="1"/>
      <c r="B407" s="1"/>
      <c r="H407"/>
    </row>
    <row r="408" spans="1:8" ht="25.5" customHeight="1">
      <c r="A408" s="1"/>
      <c r="B408" s="1"/>
      <c r="H408"/>
    </row>
    <row r="409" spans="1:8" ht="25.5" customHeight="1">
      <c r="A409" s="1"/>
      <c r="B409" s="1"/>
      <c r="H409"/>
    </row>
    <row r="410" spans="1:8" ht="25.5" customHeight="1">
      <c r="A410" s="1"/>
      <c r="B410" s="1"/>
      <c r="H410"/>
    </row>
    <row r="411" spans="1:8" ht="25.5" customHeight="1">
      <c r="A411" s="1"/>
      <c r="B411" s="1"/>
      <c r="H411"/>
    </row>
    <row r="412" spans="1:8" ht="25.5" customHeight="1">
      <c r="A412" s="1"/>
      <c r="B412" s="1"/>
      <c r="H412"/>
    </row>
    <row r="413" spans="1:8" ht="25.5" customHeight="1">
      <c r="A413" s="1"/>
      <c r="B413" s="1"/>
      <c r="H413"/>
    </row>
    <row r="414" spans="1:8" ht="25.5" customHeight="1">
      <c r="A414" s="1"/>
      <c r="B414" s="1"/>
      <c r="H414"/>
    </row>
    <row r="415" spans="1:8" ht="25.5" customHeight="1">
      <c r="A415" s="1"/>
      <c r="B415" s="1"/>
      <c r="H415"/>
    </row>
    <row r="416" spans="1:8" ht="25.5" customHeight="1">
      <c r="A416" s="1"/>
      <c r="B416" s="1"/>
      <c r="H416"/>
    </row>
    <row r="417" spans="1:8" ht="25.5" customHeight="1">
      <c r="A417" s="1"/>
      <c r="B417" s="1"/>
      <c r="H417"/>
    </row>
    <row r="418" spans="1:8" ht="25.5" customHeight="1">
      <c r="A418" s="1"/>
      <c r="B418" s="1"/>
      <c r="H418"/>
    </row>
    <row r="419" spans="1:8" ht="25.5" customHeight="1">
      <c r="A419" s="1"/>
      <c r="B419" s="1"/>
      <c r="H419"/>
    </row>
    <row r="420" spans="1:8" ht="25.5" customHeight="1">
      <c r="A420" s="1"/>
      <c r="B420" s="1"/>
      <c r="H420"/>
    </row>
    <row r="421" spans="1:8" ht="25.5" customHeight="1">
      <c r="A421" s="1"/>
      <c r="B421" s="1"/>
      <c r="H421"/>
    </row>
    <row r="422" spans="1:8" ht="25.5" customHeight="1">
      <c r="A422" s="1"/>
      <c r="B422" s="1"/>
      <c r="H422"/>
    </row>
    <row r="423" spans="1:8" ht="25.5" customHeight="1">
      <c r="A423" s="1"/>
      <c r="B423" s="1"/>
      <c r="H423"/>
    </row>
    <row r="424" spans="1:8" ht="25.5" customHeight="1">
      <c r="A424" s="1"/>
      <c r="B424" s="1"/>
      <c r="H424"/>
    </row>
    <row r="425" spans="1:8" ht="25.5" customHeight="1">
      <c r="A425" s="1"/>
      <c r="B425" s="1"/>
      <c r="H425"/>
    </row>
    <row r="426" spans="1:8" ht="25.5" customHeight="1">
      <c r="A426" s="1"/>
      <c r="B426" s="1"/>
      <c r="H426"/>
    </row>
    <row r="427" spans="1:8" ht="25.5" customHeight="1">
      <c r="A427" s="1"/>
      <c r="B427" s="1"/>
      <c r="H427"/>
    </row>
    <row r="428" spans="1:8" ht="25.5" customHeight="1">
      <c r="A428" s="1"/>
      <c r="B428" s="1"/>
      <c r="H428"/>
    </row>
    <row r="429" spans="1:8" ht="25.5" customHeight="1">
      <c r="A429" s="1"/>
      <c r="B429" s="1"/>
      <c r="H429"/>
    </row>
    <row r="430" spans="1:8" ht="25.5" customHeight="1">
      <c r="A430" s="1"/>
      <c r="B430" s="1"/>
      <c r="H430"/>
    </row>
    <row r="431" spans="1:8" ht="25.5" customHeight="1">
      <c r="A431" s="1"/>
      <c r="B431" s="1"/>
      <c r="H431"/>
    </row>
    <row r="432" spans="1:8" ht="25.5" customHeight="1">
      <c r="A432" s="1"/>
      <c r="B432" s="1"/>
      <c r="H432"/>
    </row>
    <row r="433" spans="1:8" ht="25.5" customHeight="1">
      <c r="A433" s="1"/>
      <c r="B433" s="1"/>
      <c r="H433"/>
    </row>
    <row r="434" spans="1:8" ht="25.5" customHeight="1">
      <c r="A434" s="1"/>
      <c r="B434" s="1"/>
      <c r="H434"/>
    </row>
    <row r="435" spans="1:8" ht="25.5" customHeight="1">
      <c r="A435" s="1"/>
      <c r="B435" s="1"/>
      <c r="H435"/>
    </row>
    <row r="436" spans="1:8" ht="25.5" customHeight="1">
      <c r="A436" s="1"/>
      <c r="B436" s="1"/>
      <c r="H436"/>
    </row>
    <row r="437" spans="1:8" ht="25.5" customHeight="1">
      <c r="A437" s="1"/>
      <c r="B437" s="1"/>
      <c r="H437"/>
    </row>
    <row r="438" spans="1:8" ht="25.5" customHeight="1">
      <c r="A438" s="1"/>
      <c r="B438" s="1"/>
      <c r="H438"/>
    </row>
    <row r="439" spans="1:8" ht="25.5" customHeight="1">
      <c r="A439" s="1"/>
      <c r="B439" s="1"/>
      <c r="H439"/>
    </row>
    <row r="440" spans="1:8" ht="25.5" customHeight="1">
      <c r="A440" s="1"/>
      <c r="B440" s="1"/>
      <c r="H440"/>
    </row>
    <row r="441" spans="1:8" ht="25.5" customHeight="1">
      <c r="A441" s="1"/>
      <c r="B441" s="1"/>
      <c r="H441"/>
    </row>
    <row r="442" spans="1:8" ht="25.5" customHeight="1">
      <c r="A442" s="1"/>
      <c r="B442" s="1"/>
      <c r="H442"/>
    </row>
    <row r="443" spans="1:8" ht="25.5" customHeight="1">
      <c r="A443" s="1"/>
      <c r="B443" s="1"/>
      <c r="H443"/>
    </row>
    <row r="444" spans="1:8" ht="25.5" customHeight="1">
      <c r="A444" s="1"/>
      <c r="B444" s="1"/>
      <c r="H444"/>
    </row>
    <row r="445" spans="1:8" ht="25.5" customHeight="1">
      <c r="A445" s="1"/>
      <c r="B445" s="1"/>
      <c r="H445"/>
    </row>
    <row r="446" spans="1:8" ht="25.5" customHeight="1">
      <c r="A446" s="1"/>
      <c r="B446" s="1"/>
      <c r="H446"/>
    </row>
    <row r="447" spans="1:8" ht="25.5" customHeight="1">
      <c r="A447" s="1"/>
      <c r="B447" s="1"/>
      <c r="H447"/>
    </row>
    <row r="448" spans="1:8" ht="25.5" customHeight="1">
      <c r="A448" s="1"/>
      <c r="B448" s="1"/>
      <c r="H448"/>
    </row>
    <row r="449" spans="1:8" ht="25.5" customHeight="1">
      <c r="A449" s="1"/>
      <c r="B449" s="1"/>
      <c r="H449"/>
    </row>
    <row r="450" spans="1:8" ht="25.5" customHeight="1">
      <c r="A450" s="1"/>
      <c r="B450" s="1"/>
      <c r="H450"/>
    </row>
    <row r="451" spans="1:8" ht="25.5" customHeight="1">
      <c r="A451" s="1"/>
      <c r="B451" s="1"/>
      <c r="H451"/>
    </row>
    <row r="452" spans="1:8" ht="25.5" customHeight="1">
      <c r="A452" s="1"/>
      <c r="B452" s="1"/>
      <c r="H452"/>
    </row>
    <row r="453" spans="1:8" ht="25.5" customHeight="1">
      <c r="A453" s="1"/>
      <c r="B453" s="1"/>
      <c r="H453"/>
    </row>
    <row r="454" spans="1:8" ht="25.5" customHeight="1">
      <c r="A454" s="1"/>
      <c r="B454" s="1"/>
      <c r="H454"/>
    </row>
    <row r="455" spans="1:8" ht="25.5" customHeight="1">
      <c r="A455" s="1"/>
      <c r="B455" s="1"/>
      <c r="H455"/>
    </row>
    <row r="456" spans="1:8" ht="25.5" customHeight="1">
      <c r="A456" s="1"/>
      <c r="H456"/>
    </row>
    <row r="457" spans="1:8" ht="25.5" customHeight="1">
      <c r="A457" s="1"/>
      <c r="H457"/>
    </row>
    <row r="458" spans="1:8" ht="25.5" customHeight="1">
      <c r="A458" s="1"/>
      <c r="H458"/>
    </row>
    <row r="459" spans="1:8" ht="25.5" customHeight="1">
      <c r="A459" s="1"/>
      <c r="H459"/>
    </row>
    <row r="460" spans="1:8" ht="25.5" customHeight="1">
      <c r="A460" s="1"/>
      <c r="H460"/>
    </row>
    <row r="461" spans="1:8" ht="25.5" customHeight="1">
      <c r="A461" s="1"/>
      <c r="H461"/>
    </row>
    <row r="462" spans="1:8" ht="25.5" customHeight="1">
      <c r="A462" s="1"/>
      <c r="H462"/>
    </row>
    <row r="463" spans="1:8" ht="25.5" customHeight="1">
      <c r="A463" s="1"/>
      <c r="H463"/>
    </row>
    <row r="464" spans="1:8" ht="25.5" customHeight="1">
      <c r="A464" s="1"/>
      <c r="H464"/>
    </row>
    <row r="465" spans="1:8" ht="25.5" customHeight="1">
      <c r="A465" s="1"/>
      <c r="H465"/>
    </row>
    <row r="466" spans="1:8" ht="25.5" customHeight="1">
      <c r="A466" s="1"/>
      <c r="H466"/>
    </row>
    <row r="467" spans="1:8" ht="25.5" customHeight="1">
      <c r="A467" s="1"/>
      <c r="H467"/>
    </row>
    <row r="468" spans="1:8" ht="25.5" customHeight="1">
      <c r="A468" s="1"/>
      <c r="H468"/>
    </row>
    <row r="469" spans="1:8" ht="25.5" customHeight="1">
      <c r="A469" s="1"/>
      <c r="H469"/>
    </row>
    <row r="470" spans="1:8" ht="25.5" customHeight="1">
      <c r="A470" s="1"/>
      <c r="H470"/>
    </row>
    <row r="471" spans="1:8" ht="25.5" customHeight="1">
      <c r="A471" s="1"/>
      <c r="H471"/>
    </row>
    <row r="472" spans="1:8" ht="25.5" customHeight="1">
      <c r="A472" s="1"/>
      <c r="H472"/>
    </row>
    <row r="473" spans="1:8" ht="25.5" customHeight="1">
      <c r="A473" s="1"/>
      <c r="H473"/>
    </row>
    <row r="474" spans="1:8" ht="25.5" customHeight="1">
      <c r="A474" s="1"/>
      <c r="H474"/>
    </row>
    <row r="475" spans="1:8" ht="25.5" customHeight="1">
      <c r="A475" s="1"/>
      <c r="H475"/>
    </row>
    <row r="476" spans="1:8" ht="25.5" customHeight="1">
      <c r="A476" s="1"/>
      <c r="H476"/>
    </row>
    <row r="477" spans="1:8" ht="25.5" customHeight="1">
      <c r="A477" s="1"/>
      <c r="H477"/>
    </row>
    <row r="478" spans="1:8" ht="25.5" customHeight="1">
      <c r="A478" s="1"/>
      <c r="H478"/>
    </row>
    <row r="479" spans="1:8" ht="25.5" customHeight="1">
      <c r="A479" s="1"/>
      <c r="H479"/>
    </row>
    <row r="480" spans="1:8" ht="25.5" customHeight="1">
      <c r="A480" s="1"/>
      <c r="H480"/>
    </row>
    <row r="481" spans="1:22" ht="25.5" customHeight="1">
      <c r="A481" s="1"/>
      <c r="H481"/>
    </row>
    <row r="482" spans="1:22" ht="25.5" customHeight="1">
      <c r="A482" s="1"/>
      <c r="H482"/>
    </row>
    <row r="483" spans="1:22" ht="25.5" customHeight="1">
      <c r="A483" s="16"/>
      <c r="H483"/>
    </row>
    <row r="484" spans="1:22" ht="25.5" customHeight="1">
      <c r="A484" s="1"/>
      <c r="H484"/>
    </row>
    <row r="485" spans="1:22" ht="25.5" customHeight="1">
      <c r="A485" s="1"/>
      <c r="H485"/>
    </row>
    <row r="486" spans="1:22" ht="25.5" customHeight="1">
      <c r="A486" s="1"/>
      <c r="H486"/>
    </row>
    <row r="487" spans="1:22" ht="25.5" customHeight="1">
      <c r="A487" s="1"/>
      <c r="H487"/>
    </row>
    <row r="488" spans="1:22" ht="25.5" customHeight="1">
      <c r="A488" s="1"/>
      <c r="H488"/>
    </row>
    <row r="489" spans="1:22" ht="25.5" customHeight="1">
      <c r="A489" s="1"/>
      <c r="H489"/>
    </row>
    <row r="490" spans="1:22" ht="25.5" customHeight="1">
      <c r="A490" s="1"/>
      <c r="H490"/>
    </row>
    <row r="491" spans="1:22" ht="25.5" customHeight="1">
      <c r="A491" s="1"/>
      <c r="H491"/>
    </row>
    <row r="492" spans="1:22" ht="25.5" customHeight="1">
      <c r="A492" s="1"/>
      <c r="H492"/>
    </row>
    <row r="493" spans="1:22" ht="25.5" customHeight="1">
      <c r="A493" s="1"/>
      <c r="H493"/>
    </row>
    <row r="494" spans="1:22" ht="25.5" customHeight="1">
      <c r="A494" s="1"/>
      <c r="H494"/>
    </row>
    <row r="495" spans="1:22" ht="18" customHeight="1">
      <c r="A495" s="1"/>
      <c r="B495" s="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</row>
    <row r="496" spans="1:22" ht="18" customHeight="1"/>
  </sheetData>
  <mergeCells count="92">
    <mergeCell ref="D245:D247"/>
    <mergeCell ref="C245:C247"/>
    <mergeCell ref="X245:X247"/>
    <mergeCell ref="J245:J247"/>
    <mergeCell ref="I245:I247"/>
    <mergeCell ref="H245:H247"/>
    <mergeCell ref="G245:G247"/>
    <mergeCell ref="H236:H237"/>
    <mergeCell ref="G236:G237"/>
    <mergeCell ref="F236:F237"/>
    <mergeCell ref="E236:E237"/>
    <mergeCell ref="W245:W247"/>
    <mergeCell ref="F245:F247"/>
    <mergeCell ref="E245:E247"/>
    <mergeCell ref="D225:D235"/>
    <mergeCell ref="C225:C235"/>
    <mergeCell ref="W225:W235"/>
    <mergeCell ref="X225:X235"/>
    <mergeCell ref="J225:J235"/>
    <mergeCell ref="I225:I235"/>
    <mergeCell ref="H225:H235"/>
    <mergeCell ref="G225:G235"/>
    <mergeCell ref="F225:F235"/>
    <mergeCell ref="E225:E235"/>
    <mergeCell ref="X202:X207"/>
    <mergeCell ref="G208:G211"/>
    <mergeCell ref="H208:H211"/>
    <mergeCell ref="I208:I211"/>
    <mergeCell ref="J208:J211"/>
    <mergeCell ref="W208:W211"/>
    <mergeCell ref="X208:X211"/>
    <mergeCell ref="G202:G207"/>
    <mergeCell ref="H202:H207"/>
    <mergeCell ref="I202:I207"/>
    <mergeCell ref="J202:J207"/>
    <mergeCell ref="W202:W207"/>
    <mergeCell ref="X192:X201"/>
    <mergeCell ref="C17:L17"/>
    <mergeCell ref="C2:E5"/>
    <mergeCell ref="F192:F201"/>
    <mergeCell ref="E192:E201"/>
    <mergeCell ref="D192:D201"/>
    <mergeCell ref="C192:C201"/>
    <mergeCell ref="G192:G201"/>
    <mergeCell ref="H192:H201"/>
    <mergeCell ref="I192:I201"/>
    <mergeCell ref="J192:J201"/>
    <mergeCell ref="W192:W201"/>
    <mergeCell ref="F202:F207"/>
    <mergeCell ref="E202:E207"/>
    <mergeCell ref="D202:D207"/>
    <mergeCell ref="C202:C207"/>
    <mergeCell ref="F208:F211"/>
    <mergeCell ref="E208:E211"/>
    <mergeCell ref="D208:D211"/>
    <mergeCell ref="C208:C211"/>
    <mergeCell ref="W212:W224"/>
    <mergeCell ref="X212:X224"/>
    <mergeCell ref="J212:J224"/>
    <mergeCell ref="I212:I224"/>
    <mergeCell ref="H212:H224"/>
    <mergeCell ref="G212:G224"/>
    <mergeCell ref="F212:F224"/>
    <mergeCell ref="E212:E224"/>
    <mergeCell ref="D212:D224"/>
    <mergeCell ref="C212:C224"/>
    <mergeCell ref="D236:D237"/>
    <mergeCell ref="C236:C237"/>
    <mergeCell ref="W238:W244"/>
    <mergeCell ref="X238:X244"/>
    <mergeCell ref="J238:J244"/>
    <mergeCell ref="I238:I244"/>
    <mergeCell ref="H238:H244"/>
    <mergeCell ref="G238:G244"/>
    <mergeCell ref="F238:F244"/>
    <mergeCell ref="E238:E244"/>
    <mergeCell ref="D238:D244"/>
    <mergeCell ref="C238:C244"/>
    <mergeCell ref="W236:W237"/>
    <mergeCell ref="X236:X237"/>
    <mergeCell ref="J236:J237"/>
    <mergeCell ref="I236:I237"/>
    <mergeCell ref="W248:W251"/>
    <mergeCell ref="X248:X251"/>
    <mergeCell ref="J248:J251"/>
    <mergeCell ref="I248:I251"/>
    <mergeCell ref="H248:H251"/>
    <mergeCell ref="G248:G251"/>
    <mergeCell ref="F248:F251"/>
    <mergeCell ref="E248:E251"/>
    <mergeCell ref="D248:D251"/>
    <mergeCell ref="C248:C251"/>
  </mergeCells>
  <phoneticPr fontId="23" type="noConversion"/>
  <dataValidations count="1">
    <dataValidation allowBlank="1" showInputMessage="1" showErrorMessage="1" sqref="L234:L270 L192:L211" xr:uid="{BCB4CD2A-4FB7-41E1-AAD1-090CD113A0CC}"/>
  </dataValidations>
  <hyperlinks>
    <hyperlink ref="X192:X201" r:id="rId1" display="SOPORTE" xr:uid="{C63AC02E-75DA-4C9B-B925-F56FB27A13F1}"/>
    <hyperlink ref="X202:X207" r:id="rId2" display="SOPORTE" xr:uid="{350C2F8C-BD45-4588-A901-642BD0E34A0C}"/>
    <hyperlink ref="X208:X211" r:id="rId3" display="SOPORTE" xr:uid="{7DCF9D3B-4147-427D-AAAE-5098F38DE748}"/>
    <hyperlink ref="X212:X224" r:id="rId4" display="SOPORTE" xr:uid="{E283C629-E7F4-4BFD-B833-880291FFF3E1}"/>
    <hyperlink ref="X225:X235" r:id="rId5" display="SOPORTE" xr:uid="{2C482A1D-AC60-4DA6-8DB1-93BE7F0F5FCD}"/>
    <hyperlink ref="X236:X237" r:id="rId6" display="SOPORTE" xr:uid="{56B3F55C-7A7E-4D4D-87F2-713A101481D3}"/>
    <hyperlink ref="X238:X244" r:id="rId7" display="SOPORTE" xr:uid="{D8D20A70-FA76-41E2-BB15-E27223C19F35}"/>
    <hyperlink ref="X245:X247" r:id="rId8" display="SOPORTE" xr:uid="{F79E29C2-FD25-47F6-8DE9-13F424224177}"/>
    <hyperlink ref="X248:X251" r:id="rId9" display="SOPORTE" xr:uid="{131FC848-F5A4-404C-9ECD-DC3CB9216511}"/>
  </hyperlinks>
  <pageMargins left="0.7" right="0.7" top="0.75" bottom="0.75" header="0.3" footer="0.3"/>
  <pageSetup orientation="portrait" horizontalDpi="4294967294" verticalDpi="4294967294" r:id="rId10"/>
  <legacyDrawing r:id="rId1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L178:L191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5"/>
  <sheetViews>
    <sheetView workbookViewId="0">
      <pane xSplit="1" ySplit="1" topLeftCell="B369" activePane="bottomRight" state="frozen"/>
      <selection pane="bottomRight" sqref="A1:XFD1048576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5.140625" customWidth="1"/>
    <col min="3" max="3" width="14" customWidth="1"/>
  </cols>
  <sheetData>
    <row r="1" spans="1:3" ht="24">
      <c r="A1" s="11" t="s">
        <v>20</v>
      </c>
      <c r="B1" s="11" t="s">
        <v>47</v>
      </c>
      <c r="C1" s="11" t="s">
        <v>46</v>
      </c>
    </row>
    <row r="2" spans="1:3">
      <c r="A2" t="s">
        <v>174</v>
      </c>
      <c r="B2" s="76" t="s">
        <v>262</v>
      </c>
      <c r="C2" s="77" t="s">
        <v>71</v>
      </c>
    </row>
    <row r="3" spans="1:3">
      <c r="A3" t="s">
        <v>121</v>
      </c>
      <c r="B3" s="76" t="s">
        <v>263</v>
      </c>
      <c r="C3" s="77" t="s">
        <v>61</v>
      </c>
    </row>
    <row r="4" spans="1:3">
      <c r="A4" t="s">
        <v>174</v>
      </c>
      <c r="B4" s="76" t="s">
        <v>264</v>
      </c>
      <c r="C4" s="77" t="s">
        <v>61</v>
      </c>
    </row>
    <row r="5" spans="1:3">
      <c r="A5" t="s">
        <v>121</v>
      </c>
      <c r="B5" s="76" t="s">
        <v>180</v>
      </c>
      <c r="C5" s="77" t="s">
        <v>61</v>
      </c>
    </row>
    <row r="6" spans="1:3">
      <c r="A6" t="s">
        <v>121</v>
      </c>
      <c r="B6" s="76" t="s">
        <v>265</v>
      </c>
      <c r="C6" s="77" t="s">
        <v>61</v>
      </c>
    </row>
    <row r="7" spans="1:3">
      <c r="A7" t="s">
        <v>174</v>
      </c>
      <c r="B7" s="76" t="s">
        <v>266</v>
      </c>
      <c r="C7" s="77" t="s">
        <v>61</v>
      </c>
    </row>
    <row r="8" spans="1:3">
      <c r="A8" t="s">
        <v>174</v>
      </c>
      <c r="B8" s="76" t="s">
        <v>102</v>
      </c>
      <c r="C8" s="77" t="s">
        <v>61</v>
      </c>
    </row>
    <row r="9" spans="1:3">
      <c r="A9" t="s">
        <v>174</v>
      </c>
      <c r="B9" s="76" t="s">
        <v>267</v>
      </c>
      <c r="C9" s="77" t="s">
        <v>61</v>
      </c>
    </row>
    <row r="10" spans="1:3">
      <c r="A10" t="s">
        <v>174</v>
      </c>
      <c r="B10" s="76" t="s">
        <v>190</v>
      </c>
      <c r="C10" s="77" t="s">
        <v>61</v>
      </c>
    </row>
    <row r="11" spans="1:3">
      <c r="A11" t="s">
        <v>174</v>
      </c>
      <c r="B11" s="76" t="s">
        <v>268</v>
      </c>
      <c r="C11" s="77" t="s">
        <v>269</v>
      </c>
    </row>
    <row r="12" spans="1:3">
      <c r="A12" t="s">
        <v>121</v>
      </c>
      <c r="B12" s="76" t="s">
        <v>148</v>
      </c>
      <c r="C12" s="77" t="s">
        <v>269</v>
      </c>
    </row>
    <row r="13" spans="1:3" ht="25.5">
      <c r="A13" t="s">
        <v>121</v>
      </c>
      <c r="B13" s="81" t="s">
        <v>270</v>
      </c>
      <c r="C13" s="77" t="s">
        <v>269</v>
      </c>
    </row>
    <row r="14" spans="1:3">
      <c r="A14" t="s">
        <v>121</v>
      </c>
      <c r="B14" s="76" t="s">
        <v>271</v>
      </c>
      <c r="C14" s="77" t="s">
        <v>61</v>
      </c>
    </row>
    <row r="15" spans="1:3">
      <c r="A15" t="s">
        <v>174</v>
      </c>
      <c r="B15" s="76" t="s">
        <v>272</v>
      </c>
      <c r="C15" s="77" t="s">
        <v>71</v>
      </c>
    </row>
    <row r="16" spans="1:3">
      <c r="A16" t="s">
        <v>121</v>
      </c>
      <c r="B16" s="76" t="s">
        <v>273</v>
      </c>
      <c r="C16" s="77" t="s">
        <v>61</v>
      </c>
    </row>
    <row r="17" spans="1:3">
      <c r="A17" t="s">
        <v>174</v>
      </c>
      <c r="B17" s="76" t="s">
        <v>274</v>
      </c>
      <c r="C17" s="77" t="s">
        <v>71</v>
      </c>
    </row>
    <row r="18" spans="1:3">
      <c r="A18" t="s">
        <v>174</v>
      </c>
      <c r="B18" s="76" t="s">
        <v>194</v>
      </c>
      <c r="C18" s="77" t="s">
        <v>61</v>
      </c>
    </row>
    <row r="19" spans="1:3">
      <c r="A19" t="s">
        <v>174</v>
      </c>
      <c r="B19" s="76" t="s">
        <v>275</v>
      </c>
      <c r="C19" s="77" t="s">
        <v>71</v>
      </c>
    </row>
    <row r="20" spans="1:3">
      <c r="A20" t="s">
        <v>121</v>
      </c>
      <c r="B20" s="76" t="s">
        <v>276</v>
      </c>
      <c r="C20" s="77" t="s">
        <v>61</v>
      </c>
    </row>
    <row r="21" spans="1:3">
      <c r="A21" t="s">
        <v>174</v>
      </c>
      <c r="B21" s="76" t="s">
        <v>277</v>
      </c>
      <c r="C21" s="77" t="s">
        <v>61</v>
      </c>
    </row>
    <row r="22" spans="1:3">
      <c r="A22" t="s">
        <v>174</v>
      </c>
      <c r="B22" s="76" t="s">
        <v>278</v>
      </c>
      <c r="C22" s="77" t="s">
        <v>61</v>
      </c>
    </row>
    <row r="23" spans="1:3">
      <c r="A23" t="s">
        <v>174</v>
      </c>
      <c r="B23" s="76" t="s">
        <v>279</v>
      </c>
      <c r="C23" s="77" t="s">
        <v>61</v>
      </c>
    </row>
    <row r="24" spans="1:3">
      <c r="A24" t="s">
        <v>174</v>
      </c>
      <c r="B24" s="76" t="s">
        <v>280</v>
      </c>
      <c r="C24" s="77" t="s">
        <v>61</v>
      </c>
    </row>
    <row r="25" spans="1:3">
      <c r="A25" t="s">
        <v>174</v>
      </c>
      <c r="B25" s="76" t="s">
        <v>160</v>
      </c>
      <c r="C25" s="77" t="s">
        <v>61</v>
      </c>
    </row>
    <row r="26" spans="1:3">
      <c r="A26" t="s">
        <v>121</v>
      </c>
      <c r="B26" s="76" t="s">
        <v>281</v>
      </c>
      <c r="C26" s="77" t="s">
        <v>71</v>
      </c>
    </row>
    <row r="27" spans="1:3">
      <c r="A27" t="s">
        <v>174</v>
      </c>
      <c r="B27" s="76" t="s">
        <v>282</v>
      </c>
      <c r="C27" s="77" t="s">
        <v>71</v>
      </c>
    </row>
    <row r="28" spans="1:3">
      <c r="A28" t="s">
        <v>121</v>
      </c>
      <c r="B28" s="76" t="s">
        <v>283</v>
      </c>
      <c r="C28" s="77" t="s">
        <v>71</v>
      </c>
    </row>
    <row r="29" spans="1:3">
      <c r="A29" t="s">
        <v>174</v>
      </c>
      <c r="B29" s="76" t="s">
        <v>284</v>
      </c>
      <c r="C29" s="77" t="s">
        <v>71</v>
      </c>
    </row>
    <row r="30" spans="1:3">
      <c r="A30" t="s">
        <v>174</v>
      </c>
      <c r="B30" s="76" t="s">
        <v>285</v>
      </c>
      <c r="C30" s="77" t="s">
        <v>71</v>
      </c>
    </row>
    <row r="31" spans="1:3">
      <c r="A31" t="s">
        <v>121</v>
      </c>
      <c r="B31" s="76" t="s">
        <v>286</v>
      </c>
      <c r="C31" s="77" t="s">
        <v>61</v>
      </c>
    </row>
    <row r="32" spans="1:3">
      <c r="A32" t="s">
        <v>121</v>
      </c>
      <c r="B32" s="76" t="s">
        <v>287</v>
      </c>
      <c r="C32" s="77" t="s">
        <v>61</v>
      </c>
    </row>
    <row r="33" spans="1:3">
      <c r="A33" t="s">
        <v>174</v>
      </c>
      <c r="B33" s="76" t="s">
        <v>288</v>
      </c>
      <c r="C33" s="77" t="s">
        <v>71</v>
      </c>
    </row>
    <row r="34" spans="1:3">
      <c r="A34" t="s">
        <v>174</v>
      </c>
      <c r="B34" s="76" t="s">
        <v>289</v>
      </c>
      <c r="C34" s="77" t="s">
        <v>71</v>
      </c>
    </row>
    <row r="35" spans="1:3">
      <c r="A35" t="s">
        <v>174</v>
      </c>
      <c r="B35" s="76" t="s">
        <v>290</v>
      </c>
      <c r="C35" s="77" t="s">
        <v>71</v>
      </c>
    </row>
    <row r="36" spans="1:3">
      <c r="A36" t="s">
        <v>174</v>
      </c>
      <c r="B36" s="76" t="s">
        <v>291</v>
      </c>
      <c r="C36" s="77" t="s">
        <v>61</v>
      </c>
    </row>
    <row r="37" spans="1:3">
      <c r="A37" t="s">
        <v>174</v>
      </c>
      <c r="B37" s="76" t="s">
        <v>292</v>
      </c>
      <c r="C37" s="77" t="s">
        <v>61</v>
      </c>
    </row>
    <row r="38" spans="1:3">
      <c r="A38" t="s">
        <v>121</v>
      </c>
      <c r="B38" s="76" t="s">
        <v>293</v>
      </c>
      <c r="C38" s="77" t="s">
        <v>61</v>
      </c>
    </row>
    <row r="39" spans="1:3">
      <c r="A39" t="s">
        <v>121</v>
      </c>
      <c r="B39" s="76" t="s">
        <v>294</v>
      </c>
      <c r="C39" s="77" t="s">
        <v>71</v>
      </c>
    </row>
    <row r="40" spans="1:3">
      <c r="A40" t="s">
        <v>174</v>
      </c>
      <c r="B40" s="76" t="s">
        <v>295</v>
      </c>
      <c r="C40" s="77" t="s">
        <v>71</v>
      </c>
    </row>
    <row r="41" spans="1:3">
      <c r="A41" t="s">
        <v>174</v>
      </c>
      <c r="B41" s="76" t="s">
        <v>146</v>
      </c>
      <c r="C41" s="77" t="s">
        <v>61</v>
      </c>
    </row>
    <row r="42" spans="1:3">
      <c r="A42" t="s">
        <v>174</v>
      </c>
      <c r="B42" s="76" t="s">
        <v>296</v>
      </c>
      <c r="C42" s="77" t="s">
        <v>71</v>
      </c>
    </row>
    <row r="43" spans="1:3">
      <c r="A43" t="s">
        <v>121</v>
      </c>
      <c r="B43" s="76" t="s">
        <v>297</v>
      </c>
      <c r="C43" s="77" t="s">
        <v>71</v>
      </c>
    </row>
    <row r="44" spans="1:3">
      <c r="A44" t="s">
        <v>121</v>
      </c>
      <c r="B44" s="76" t="s">
        <v>298</v>
      </c>
      <c r="C44" s="77" t="s">
        <v>71</v>
      </c>
    </row>
    <row r="45" spans="1:3">
      <c r="A45" t="s">
        <v>121</v>
      </c>
      <c r="B45" s="76" t="s">
        <v>123</v>
      </c>
      <c r="C45" s="77" t="s">
        <v>71</v>
      </c>
    </row>
    <row r="46" spans="1:3">
      <c r="A46" t="s">
        <v>121</v>
      </c>
      <c r="B46" s="76" t="s">
        <v>116</v>
      </c>
      <c r="C46" s="77" t="s">
        <v>71</v>
      </c>
    </row>
    <row r="47" spans="1:3">
      <c r="A47" t="s">
        <v>174</v>
      </c>
      <c r="B47" s="76" t="s">
        <v>299</v>
      </c>
      <c r="C47" s="77" t="s">
        <v>71</v>
      </c>
    </row>
    <row r="48" spans="1:3">
      <c r="A48" t="s">
        <v>174</v>
      </c>
      <c r="B48" s="76" t="s">
        <v>300</v>
      </c>
      <c r="C48" s="77" t="s">
        <v>71</v>
      </c>
    </row>
    <row r="49" spans="1:3">
      <c r="A49" t="s">
        <v>121</v>
      </c>
      <c r="B49" s="76" t="s">
        <v>301</v>
      </c>
      <c r="C49" s="77" t="s">
        <v>71</v>
      </c>
    </row>
    <row r="50" spans="1:3">
      <c r="A50" t="s">
        <v>121</v>
      </c>
      <c r="B50" s="76" t="s">
        <v>302</v>
      </c>
      <c r="C50" s="77" t="s">
        <v>71</v>
      </c>
    </row>
    <row r="51" spans="1:3">
      <c r="A51" t="s">
        <v>121</v>
      </c>
      <c r="B51" s="76" t="s">
        <v>303</v>
      </c>
      <c r="C51" s="77" t="s">
        <v>71</v>
      </c>
    </row>
    <row r="52" spans="1:3">
      <c r="A52" t="s">
        <v>174</v>
      </c>
      <c r="B52" s="76" t="s">
        <v>304</v>
      </c>
      <c r="C52" s="77" t="s">
        <v>71</v>
      </c>
    </row>
    <row r="53" spans="1:3">
      <c r="A53" t="s">
        <v>174</v>
      </c>
      <c r="B53" s="76" t="s">
        <v>305</v>
      </c>
      <c r="C53" s="77" t="s">
        <v>71</v>
      </c>
    </row>
    <row r="54" spans="1:3">
      <c r="A54" t="s">
        <v>174</v>
      </c>
      <c r="B54" s="76" t="s">
        <v>306</v>
      </c>
      <c r="C54" s="77" t="s">
        <v>71</v>
      </c>
    </row>
    <row r="55" spans="1:3">
      <c r="A55" t="s">
        <v>174</v>
      </c>
      <c r="B55" s="76" t="s">
        <v>307</v>
      </c>
      <c r="C55" s="77" t="s">
        <v>71</v>
      </c>
    </row>
    <row r="56" spans="1:3">
      <c r="A56" t="s">
        <v>174</v>
      </c>
      <c r="B56" s="76" t="s">
        <v>155</v>
      </c>
      <c r="C56" s="77" t="s">
        <v>71</v>
      </c>
    </row>
    <row r="57" spans="1:3">
      <c r="A57" t="s">
        <v>121</v>
      </c>
      <c r="B57" s="76" t="s">
        <v>308</v>
      </c>
      <c r="C57" s="77" t="s">
        <v>71</v>
      </c>
    </row>
    <row r="58" spans="1:3">
      <c r="A58" t="s">
        <v>174</v>
      </c>
      <c r="B58" s="76" t="s">
        <v>309</v>
      </c>
      <c r="C58" s="77" t="s">
        <v>71</v>
      </c>
    </row>
    <row r="59" spans="1:3">
      <c r="A59" t="s">
        <v>174</v>
      </c>
      <c r="B59" s="76" t="s">
        <v>183</v>
      </c>
      <c r="C59" s="77" t="s">
        <v>71</v>
      </c>
    </row>
    <row r="60" spans="1:3">
      <c r="A60" t="s">
        <v>174</v>
      </c>
      <c r="B60" s="76" t="s">
        <v>184</v>
      </c>
      <c r="C60" s="77" t="s">
        <v>71</v>
      </c>
    </row>
    <row r="61" spans="1:3">
      <c r="A61" t="s">
        <v>174</v>
      </c>
      <c r="B61" s="76" t="s">
        <v>310</v>
      </c>
      <c r="C61" s="77" t="s">
        <v>71</v>
      </c>
    </row>
    <row r="62" spans="1:3">
      <c r="A62" t="s">
        <v>174</v>
      </c>
      <c r="B62" s="76" t="s">
        <v>311</v>
      </c>
      <c r="C62" s="77" t="s">
        <v>71</v>
      </c>
    </row>
    <row r="63" spans="1:3">
      <c r="A63" t="s">
        <v>121</v>
      </c>
      <c r="B63" s="76" t="s">
        <v>312</v>
      </c>
      <c r="C63" s="77" t="s">
        <v>61</v>
      </c>
    </row>
    <row r="64" spans="1:3">
      <c r="A64" t="s">
        <v>174</v>
      </c>
      <c r="B64" s="76" t="s">
        <v>313</v>
      </c>
      <c r="C64" s="77" t="s">
        <v>71</v>
      </c>
    </row>
    <row r="65" spans="1:3">
      <c r="A65" t="s">
        <v>174</v>
      </c>
      <c r="B65" s="76" t="s">
        <v>314</v>
      </c>
      <c r="C65" s="77" t="s">
        <v>71</v>
      </c>
    </row>
    <row r="66" spans="1:3">
      <c r="A66" t="s">
        <v>121</v>
      </c>
      <c r="B66" s="76" t="s">
        <v>315</v>
      </c>
      <c r="C66" s="77" t="s">
        <v>71</v>
      </c>
    </row>
    <row r="67" spans="1:3">
      <c r="A67" t="s">
        <v>174</v>
      </c>
      <c r="B67" s="76" t="s">
        <v>316</v>
      </c>
      <c r="C67" s="77" t="s">
        <v>71</v>
      </c>
    </row>
    <row r="68" spans="1:3">
      <c r="A68" t="s">
        <v>121</v>
      </c>
      <c r="B68" s="76" t="s">
        <v>317</v>
      </c>
      <c r="C68" s="77" t="s">
        <v>61</v>
      </c>
    </row>
    <row r="69" spans="1:3">
      <c r="A69" t="s">
        <v>121</v>
      </c>
      <c r="B69" s="76" t="s">
        <v>318</v>
      </c>
      <c r="C69" s="77" t="s">
        <v>71</v>
      </c>
    </row>
    <row r="70" spans="1:3">
      <c r="A70" t="s">
        <v>121</v>
      </c>
      <c r="B70" s="76" t="s">
        <v>319</v>
      </c>
      <c r="C70" s="77" t="s">
        <v>71</v>
      </c>
    </row>
    <row r="71" spans="1:3">
      <c r="A71" t="s">
        <v>174</v>
      </c>
      <c r="B71" s="76" t="s">
        <v>320</v>
      </c>
      <c r="C71" s="77" t="s">
        <v>71</v>
      </c>
    </row>
    <row r="72" spans="1:3">
      <c r="A72" t="s">
        <v>121</v>
      </c>
      <c r="B72" s="76" t="s">
        <v>321</v>
      </c>
      <c r="C72" s="77" t="s">
        <v>61</v>
      </c>
    </row>
    <row r="73" spans="1:3">
      <c r="A73" t="s">
        <v>174</v>
      </c>
      <c r="B73" s="76" t="s">
        <v>322</v>
      </c>
      <c r="C73" s="77" t="s">
        <v>71</v>
      </c>
    </row>
    <row r="74" spans="1:3">
      <c r="A74" t="s">
        <v>174</v>
      </c>
      <c r="B74" s="76" t="s">
        <v>323</v>
      </c>
      <c r="C74" s="77" t="s">
        <v>71</v>
      </c>
    </row>
    <row r="75" spans="1:3">
      <c r="A75" t="s">
        <v>174</v>
      </c>
      <c r="B75" s="76" t="s">
        <v>324</v>
      </c>
      <c r="C75" s="77" t="s">
        <v>71</v>
      </c>
    </row>
    <row r="76" spans="1:3">
      <c r="A76" t="s">
        <v>174</v>
      </c>
      <c r="B76" s="76" t="s">
        <v>325</v>
      </c>
      <c r="C76" s="77" t="s">
        <v>71</v>
      </c>
    </row>
    <row r="77" spans="1:3">
      <c r="A77" t="s">
        <v>174</v>
      </c>
      <c r="B77" s="76" t="s">
        <v>326</v>
      </c>
      <c r="C77" s="77" t="s">
        <v>61</v>
      </c>
    </row>
    <row r="78" spans="1:3">
      <c r="A78" t="s">
        <v>174</v>
      </c>
      <c r="B78" s="76" t="s">
        <v>327</v>
      </c>
      <c r="C78" s="77" t="s">
        <v>71</v>
      </c>
    </row>
    <row r="79" spans="1:3">
      <c r="A79" t="s">
        <v>174</v>
      </c>
      <c r="B79" s="76" t="s">
        <v>328</v>
      </c>
      <c r="C79" s="77" t="s">
        <v>61</v>
      </c>
    </row>
    <row r="80" spans="1:3">
      <c r="A80" t="s">
        <v>121</v>
      </c>
      <c r="B80" s="76" t="s">
        <v>150</v>
      </c>
      <c r="C80" s="77" t="s">
        <v>71</v>
      </c>
    </row>
    <row r="81" spans="1:3">
      <c r="A81" t="s">
        <v>174</v>
      </c>
      <c r="B81" s="76" t="s">
        <v>329</v>
      </c>
      <c r="C81" s="77" t="s">
        <v>61</v>
      </c>
    </row>
    <row r="82" spans="1:3">
      <c r="A82" t="s">
        <v>121</v>
      </c>
      <c r="B82" s="76" t="s">
        <v>330</v>
      </c>
      <c r="C82" s="77" t="s">
        <v>71</v>
      </c>
    </row>
    <row r="83" spans="1:3">
      <c r="A83" t="s">
        <v>121</v>
      </c>
      <c r="B83" s="76" t="s">
        <v>331</v>
      </c>
      <c r="C83" s="77" t="s">
        <v>71</v>
      </c>
    </row>
    <row r="84" spans="1:3">
      <c r="A84" t="s">
        <v>174</v>
      </c>
      <c r="B84" s="76" t="s">
        <v>332</v>
      </c>
      <c r="C84" s="77" t="s">
        <v>61</v>
      </c>
    </row>
    <row r="85" spans="1:3">
      <c r="A85" t="s">
        <v>121</v>
      </c>
      <c r="B85" s="76" t="s">
        <v>333</v>
      </c>
      <c r="C85" s="77" t="s">
        <v>61</v>
      </c>
    </row>
    <row r="86" spans="1:3">
      <c r="A86" t="s">
        <v>174</v>
      </c>
      <c r="B86" s="76" t="s">
        <v>334</v>
      </c>
      <c r="C86" s="77" t="s">
        <v>71</v>
      </c>
    </row>
    <row r="87" spans="1:3">
      <c r="A87" t="s">
        <v>121</v>
      </c>
      <c r="B87" s="76" t="s">
        <v>335</v>
      </c>
      <c r="C87" s="77" t="s">
        <v>71</v>
      </c>
    </row>
    <row r="88" spans="1:3">
      <c r="A88" t="s">
        <v>121</v>
      </c>
      <c r="B88" s="76" t="s">
        <v>336</v>
      </c>
      <c r="C88" s="77" t="s">
        <v>71</v>
      </c>
    </row>
    <row r="89" spans="1:3">
      <c r="A89" t="s">
        <v>174</v>
      </c>
      <c r="B89" s="76" t="s">
        <v>337</v>
      </c>
      <c r="C89" s="77" t="s">
        <v>61</v>
      </c>
    </row>
    <row r="90" spans="1:3">
      <c r="A90" t="s">
        <v>121</v>
      </c>
      <c r="B90" s="76" t="s">
        <v>338</v>
      </c>
      <c r="C90" s="77" t="s">
        <v>71</v>
      </c>
    </row>
    <row r="91" spans="1:3">
      <c r="A91" t="s">
        <v>121</v>
      </c>
      <c r="B91" s="76" t="s">
        <v>339</v>
      </c>
      <c r="C91" s="77" t="s">
        <v>61</v>
      </c>
    </row>
    <row r="92" spans="1:3">
      <c r="A92" t="s">
        <v>174</v>
      </c>
      <c r="B92" s="76" t="s">
        <v>187</v>
      </c>
      <c r="C92" s="77" t="s">
        <v>61</v>
      </c>
    </row>
    <row r="93" spans="1:3">
      <c r="A93" t="s">
        <v>174</v>
      </c>
      <c r="B93" s="76" t="s">
        <v>340</v>
      </c>
      <c r="C93" s="77" t="s">
        <v>71</v>
      </c>
    </row>
    <row r="94" spans="1:3">
      <c r="A94" t="s">
        <v>121</v>
      </c>
      <c r="B94" s="76" t="s">
        <v>341</v>
      </c>
      <c r="C94" s="77" t="s">
        <v>71</v>
      </c>
    </row>
    <row r="95" spans="1:3">
      <c r="A95" t="s">
        <v>174</v>
      </c>
      <c r="B95" s="76" t="s">
        <v>342</v>
      </c>
      <c r="C95" s="77" t="s">
        <v>61</v>
      </c>
    </row>
    <row r="96" spans="1:3" ht="26.25">
      <c r="A96" t="s">
        <v>174</v>
      </c>
      <c r="B96" s="76" t="s">
        <v>343</v>
      </c>
      <c r="C96" s="77" t="s">
        <v>61</v>
      </c>
    </row>
    <row r="97" spans="1:3">
      <c r="A97" t="s">
        <v>174</v>
      </c>
      <c r="B97" s="76" t="s">
        <v>344</v>
      </c>
      <c r="C97" s="77" t="s">
        <v>61</v>
      </c>
    </row>
    <row r="98" spans="1:3">
      <c r="A98" t="s">
        <v>174</v>
      </c>
      <c r="B98" s="76" t="s">
        <v>188</v>
      </c>
      <c r="C98" s="77" t="s">
        <v>61</v>
      </c>
    </row>
    <row r="99" spans="1:3">
      <c r="A99" t="s">
        <v>174</v>
      </c>
      <c r="B99" s="76" t="s">
        <v>84</v>
      </c>
      <c r="C99" s="77" t="s">
        <v>61</v>
      </c>
    </row>
    <row r="100" spans="1:3">
      <c r="A100" t="s">
        <v>174</v>
      </c>
      <c r="B100" s="76" t="s">
        <v>345</v>
      </c>
      <c r="C100" s="77" t="s">
        <v>61</v>
      </c>
    </row>
    <row r="101" spans="1:3">
      <c r="A101" t="s">
        <v>174</v>
      </c>
      <c r="B101" s="76" t="s">
        <v>346</v>
      </c>
      <c r="C101" s="77" t="s">
        <v>61</v>
      </c>
    </row>
    <row r="102" spans="1:3">
      <c r="A102" t="s">
        <v>174</v>
      </c>
      <c r="B102" s="76" t="s">
        <v>347</v>
      </c>
      <c r="C102" s="77" t="s">
        <v>61</v>
      </c>
    </row>
    <row r="103" spans="1:3">
      <c r="A103" t="s">
        <v>121</v>
      </c>
      <c r="B103" s="76" t="s">
        <v>348</v>
      </c>
      <c r="C103" s="77" t="s">
        <v>61</v>
      </c>
    </row>
    <row r="104" spans="1:3">
      <c r="A104" t="s">
        <v>174</v>
      </c>
      <c r="B104" s="76" t="s">
        <v>349</v>
      </c>
      <c r="C104" s="77" t="s">
        <v>71</v>
      </c>
    </row>
    <row r="105" spans="1:3">
      <c r="A105" t="s">
        <v>121</v>
      </c>
      <c r="B105" s="76" t="s">
        <v>350</v>
      </c>
      <c r="C105" s="77" t="s">
        <v>71</v>
      </c>
    </row>
    <row r="106" spans="1:3">
      <c r="A106" t="s">
        <v>174</v>
      </c>
      <c r="B106" s="76" t="s">
        <v>351</v>
      </c>
      <c r="C106" s="77" t="s">
        <v>61</v>
      </c>
    </row>
    <row r="107" spans="1:3" ht="26.25">
      <c r="A107" t="s">
        <v>121</v>
      </c>
      <c r="B107" s="76" t="s">
        <v>352</v>
      </c>
      <c r="C107" s="77" t="s">
        <v>71</v>
      </c>
    </row>
    <row r="108" spans="1:3">
      <c r="A108" t="s">
        <v>174</v>
      </c>
      <c r="B108" s="76" t="s">
        <v>353</v>
      </c>
      <c r="C108" s="77" t="s">
        <v>71</v>
      </c>
    </row>
    <row r="109" spans="1:3">
      <c r="A109" t="s">
        <v>174</v>
      </c>
      <c r="B109" s="76" t="s">
        <v>354</v>
      </c>
      <c r="C109" s="77" t="s">
        <v>61</v>
      </c>
    </row>
    <row r="110" spans="1:3">
      <c r="A110" t="s">
        <v>121</v>
      </c>
      <c r="B110" s="76" t="s">
        <v>355</v>
      </c>
      <c r="C110" s="77" t="s">
        <v>71</v>
      </c>
    </row>
    <row r="111" spans="1:3">
      <c r="A111" t="s">
        <v>121</v>
      </c>
      <c r="B111" s="76" t="s">
        <v>356</v>
      </c>
      <c r="C111" s="77" t="s">
        <v>61</v>
      </c>
    </row>
    <row r="112" spans="1:3">
      <c r="A112" t="s">
        <v>174</v>
      </c>
      <c r="B112" s="76" t="s">
        <v>357</v>
      </c>
      <c r="C112" s="77" t="s">
        <v>61</v>
      </c>
    </row>
    <row r="113" spans="1:3">
      <c r="A113" t="s">
        <v>174</v>
      </c>
      <c r="B113" s="76" t="s">
        <v>358</v>
      </c>
      <c r="C113" s="77" t="s">
        <v>71</v>
      </c>
    </row>
    <row r="114" spans="1:3">
      <c r="A114" t="s">
        <v>174</v>
      </c>
      <c r="B114" s="76" t="s">
        <v>359</v>
      </c>
      <c r="C114" s="77" t="s">
        <v>61</v>
      </c>
    </row>
    <row r="115" spans="1:3">
      <c r="A115" t="s">
        <v>174</v>
      </c>
      <c r="B115" s="76" t="s">
        <v>360</v>
      </c>
      <c r="C115" s="77" t="s">
        <v>71</v>
      </c>
    </row>
    <row r="116" spans="1:3">
      <c r="A116" t="s">
        <v>121</v>
      </c>
      <c r="B116" s="76" t="s">
        <v>361</v>
      </c>
      <c r="C116" s="77" t="s">
        <v>61</v>
      </c>
    </row>
    <row r="117" spans="1:3">
      <c r="A117" t="s">
        <v>174</v>
      </c>
      <c r="B117" s="76" t="s">
        <v>362</v>
      </c>
      <c r="C117" s="77" t="s">
        <v>61</v>
      </c>
    </row>
    <row r="118" spans="1:3">
      <c r="A118" t="s">
        <v>174</v>
      </c>
      <c r="B118" s="76" t="s">
        <v>363</v>
      </c>
      <c r="C118" s="77" t="s">
        <v>71</v>
      </c>
    </row>
    <row r="119" spans="1:3">
      <c r="A119" t="s">
        <v>121</v>
      </c>
      <c r="B119" s="76" t="s">
        <v>364</v>
      </c>
      <c r="C119" s="77" t="s">
        <v>71</v>
      </c>
    </row>
    <row r="120" spans="1:3">
      <c r="A120" t="s">
        <v>121</v>
      </c>
      <c r="B120" s="76" t="s">
        <v>365</v>
      </c>
      <c r="C120" s="77" t="s">
        <v>71</v>
      </c>
    </row>
    <row r="121" spans="1:3">
      <c r="A121" t="s">
        <v>121</v>
      </c>
      <c r="B121" s="76" t="s">
        <v>366</v>
      </c>
      <c r="C121" s="77" t="s">
        <v>71</v>
      </c>
    </row>
    <row r="122" spans="1:3">
      <c r="A122" t="s">
        <v>121</v>
      </c>
      <c r="B122" s="76" t="s">
        <v>367</v>
      </c>
      <c r="C122" s="77" t="s">
        <v>71</v>
      </c>
    </row>
    <row r="123" spans="1:3">
      <c r="A123" t="s">
        <v>121</v>
      </c>
      <c r="B123" s="76" t="s">
        <v>368</v>
      </c>
      <c r="C123" s="77" t="s">
        <v>71</v>
      </c>
    </row>
    <row r="124" spans="1:3">
      <c r="A124" t="s">
        <v>174</v>
      </c>
      <c r="B124" s="76" t="s">
        <v>369</v>
      </c>
      <c r="C124" s="77" t="s">
        <v>71</v>
      </c>
    </row>
    <row r="125" spans="1:3">
      <c r="A125" t="s">
        <v>174</v>
      </c>
      <c r="B125" s="76" t="s">
        <v>370</v>
      </c>
      <c r="C125" s="77" t="s">
        <v>61</v>
      </c>
    </row>
    <row r="126" spans="1:3">
      <c r="A126" t="s">
        <v>174</v>
      </c>
      <c r="B126" s="76" t="s">
        <v>371</v>
      </c>
      <c r="C126" s="77" t="s">
        <v>61</v>
      </c>
    </row>
    <row r="127" spans="1:3">
      <c r="A127" t="s">
        <v>174</v>
      </c>
      <c r="B127" s="76" t="s">
        <v>372</v>
      </c>
      <c r="C127" s="77" t="s">
        <v>61</v>
      </c>
    </row>
    <row r="128" spans="1:3" ht="26.25">
      <c r="A128" t="s">
        <v>174</v>
      </c>
      <c r="B128" s="76" t="s">
        <v>373</v>
      </c>
      <c r="C128" s="77" t="s">
        <v>61</v>
      </c>
    </row>
    <row r="129" spans="1:3">
      <c r="A129" t="s">
        <v>174</v>
      </c>
      <c r="B129" s="76" t="s">
        <v>374</v>
      </c>
      <c r="C129" s="77" t="s">
        <v>71</v>
      </c>
    </row>
    <row r="130" spans="1:3">
      <c r="A130" t="s">
        <v>174</v>
      </c>
      <c r="B130" s="76" t="s">
        <v>375</v>
      </c>
      <c r="C130" s="77" t="s">
        <v>61</v>
      </c>
    </row>
    <row r="131" spans="1:3">
      <c r="A131" t="s">
        <v>174</v>
      </c>
      <c r="B131" s="76" t="s">
        <v>376</v>
      </c>
      <c r="C131" s="77" t="s">
        <v>61</v>
      </c>
    </row>
    <row r="132" spans="1:3">
      <c r="A132" t="s">
        <v>174</v>
      </c>
      <c r="B132" s="76" t="s">
        <v>377</v>
      </c>
      <c r="C132" s="77" t="s">
        <v>61</v>
      </c>
    </row>
    <row r="133" spans="1:3">
      <c r="A133" t="s">
        <v>174</v>
      </c>
      <c r="B133" s="76" t="s">
        <v>378</v>
      </c>
      <c r="C133" s="77" t="s">
        <v>71</v>
      </c>
    </row>
    <row r="134" spans="1:3">
      <c r="A134" t="s">
        <v>174</v>
      </c>
      <c r="B134" s="76" t="s">
        <v>379</v>
      </c>
      <c r="C134" s="77" t="s">
        <v>71</v>
      </c>
    </row>
    <row r="135" spans="1:3">
      <c r="A135" t="s">
        <v>121</v>
      </c>
      <c r="B135" s="76" t="s">
        <v>380</v>
      </c>
      <c r="C135" s="77" t="s">
        <v>71</v>
      </c>
    </row>
    <row r="136" spans="1:3">
      <c r="A136" t="s">
        <v>174</v>
      </c>
      <c r="B136" s="76" t="s">
        <v>381</v>
      </c>
      <c r="C136" s="77" t="s">
        <v>71</v>
      </c>
    </row>
    <row r="137" spans="1:3">
      <c r="A137" t="s">
        <v>174</v>
      </c>
      <c r="B137" s="76" t="s">
        <v>140</v>
      </c>
      <c r="C137" s="77" t="s">
        <v>71</v>
      </c>
    </row>
    <row r="138" spans="1:3">
      <c r="A138" t="s">
        <v>174</v>
      </c>
      <c r="B138" s="76" t="s">
        <v>223</v>
      </c>
      <c r="C138" s="77" t="s">
        <v>71</v>
      </c>
    </row>
    <row r="139" spans="1:3">
      <c r="A139" t="s">
        <v>174</v>
      </c>
      <c r="B139" s="76" t="s">
        <v>382</v>
      </c>
      <c r="C139" s="77" t="s">
        <v>71</v>
      </c>
    </row>
    <row r="140" spans="1:3">
      <c r="A140" t="s">
        <v>174</v>
      </c>
      <c r="B140" s="76" t="s">
        <v>383</v>
      </c>
      <c r="C140" s="77" t="s">
        <v>71</v>
      </c>
    </row>
    <row r="141" spans="1:3">
      <c r="A141" t="s">
        <v>174</v>
      </c>
      <c r="B141" s="76" t="s">
        <v>384</v>
      </c>
      <c r="C141" s="77" t="s">
        <v>71</v>
      </c>
    </row>
    <row r="142" spans="1:3">
      <c r="A142" t="s">
        <v>121</v>
      </c>
      <c r="B142" s="76" t="s">
        <v>134</v>
      </c>
      <c r="C142" s="77" t="s">
        <v>71</v>
      </c>
    </row>
    <row r="143" spans="1:3">
      <c r="A143" t="s">
        <v>121</v>
      </c>
      <c r="B143" s="76" t="s">
        <v>385</v>
      </c>
      <c r="C143" s="77" t="s">
        <v>61</v>
      </c>
    </row>
    <row r="144" spans="1:3">
      <c r="A144" t="s">
        <v>121</v>
      </c>
      <c r="B144" s="76" t="s">
        <v>386</v>
      </c>
      <c r="C144" s="77" t="s">
        <v>71</v>
      </c>
    </row>
    <row r="145" spans="1:3">
      <c r="A145" t="s">
        <v>121</v>
      </c>
      <c r="B145" s="76" t="s">
        <v>387</v>
      </c>
      <c r="C145" s="77" t="s">
        <v>71</v>
      </c>
    </row>
    <row r="146" spans="1:3">
      <c r="A146" t="s">
        <v>121</v>
      </c>
      <c r="B146" s="76" t="s">
        <v>388</v>
      </c>
      <c r="C146" s="77" t="s">
        <v>61</v>
      </c>
    </row>
    <row r="147" spans="1:3">
      <c r="A147" t="s">
        <v>174</v>
      </c>
      <c r="B147" s="76" t="s">
        <v>389</v>
      </c>
      <c r="C147" s="77" t="s">
        <v>61</v>
      </c>
    </row>
    <row r="148" spans="1:3">
      <c r="A148" t="s">
        <v>174</v>
      </c>
      <c r="B148" s="76" t="s">
        <v>390</v>
      </c>
      <c r="C148" s="77" t="s">
        <v>61</v>
      </c>
    </row>
    <row r="149" spans="1:3">
      <c r="A149" t="s">
        <v>121</v>
      </c>
      <c r="B149" s="76" t="s">
        <v>391</v>
      </c>
      <c r="C149" s="77" t="s">
        <v>61</v>
      </c>
    </row>
    <row r="150" spans="1:3">
      <c r="A150" t="s">
        <v>174</v>
      </c>
      <c r="B150" s="76" t="s">
        <v>392</v>
      </c>
      <c r="C150" s="77" t="s">
        <v>71</v>
      </c>
    </row>
    <row r="151" spans="1:3">
      <c r="A151" t="s">
        <v>174</v>
      </c>
      <c r="B151" s="76" t="s">
        <v>393</v>
      </c>
      <c r="C151" s="77" t="s">
        <v>71</v>
      </c>
    </row>
    <row r="152" spans="1:3">
      <c r="A152" t="s">
        <v>174</v>
      </c>
      <c r="B152" s="76" t="s">
        <v>394</v>
      </c>
      <c r="C152" s="77" t="s">
        <v>71</v>
      </c>
    </row>
    <row r="153" spans="1:3">
      <c r="A153" t="s">
        <v>174</v>
      </c>
      <c r="B153" s="76" t="s">
        <v>395</v>
      </c>
      <c r="C153" s="77" t="s">
        <v>71</v>
      </c>
    </row>
    <row r="154" spans="1:3">
      <c r="A154" t="s">
        <v>174</v>
      </c>
      <c r="B154" s="76" t="s">
        <v>396</v>
      </c>
      <c r="C154" s="77" t="s">
        <v>71</v>
      </c>
    </row>
    <row r="155" spans="1:3" ht="26.25">
      <c r="A155" t="s">
        <v>174</v>
      </c>
      <c r="B155" s="76" t="s">
        <v>397</v>
      </c>
      <c r="C155" s="77" t="s">
        <v>71</v>
      </c>
    </row>
    <row r="156" spans="1:3">
      <c r="A156" t="s">
        <v>174</v>
      </c>
      <c r="B156" s="76" t="s">
        <v>398</v>
      </c>
      <c r="C156" s="77" t="s">
        <v>71</v>
      </c>
    </row>
    <row r="157" spans="1:3">
      <c r="A157" t="s">
        <v>174</v>
      </c>
      <c r="B157" s="76" t="s">
        <v>399</v>
      </c>
      <c r="C157" s="77" t="s">
        <v>71</v>
      </c>
    </row>
    <row r="158" spans="1:3" ht="26.25">
      <c r="A158" t="s">
        <v>174</v>
      </c>
      <c r="B158" s="76" t="s">
        <v>400</v>
      </c>
      <c r="C158" s="77" t="s">
        <v>71</v>
      </c>
    </row>
    <row r="159" spans="1:3">
      <c r="A159" t="s">
        <v>121</v>
      </c>
      <c r="B159" s="81" t="s">
        <v>401</v>
      </c>
      <c r="C159" s="77" t="s">
        <v>71</v>
      </c>
    </row>
    <row r="160" spans="1:3">
      <c r="A160" t="s">
        <v>174</v>
      </c>
      <c r="B160" s="76" t="s">
        <v>402</v>
      </c>
      <c r="C160" s="77" t="s">
        <v>71</v>
      </c>
    </row>
    <row r="161" spans="1:3">
      <c r="A161" t="s">
        <v>121</v>
      </c>
      <c r="B161" s="81" t="s">
        <v>403</v>
      </c>
      <c r="C161" s="77" t="s">
        <v>71</v>
      </c>
    </row>
    <row r="162" spans="1:3">
      <c r="A162" t="s">
        <v>121</v>
      </c>
      <c r="B162" s="76" t="s">
        <v>404</v>
      </c>
      <c r="C162" s="77" t="s">
        <v>71</v>
      </c>
    </row>
    <row r="163" spans="1:3">
      <c r="A163" t="s">
        <v>121</v>
      </c>
      <c r="B163" s="76" t="s">
        <v>232</v>
      </c>
      <c r="C163" s="77" t="s">
        <v>71</v>
      </c>
    </row>
    <row r="164" spans="1:3">
      <c r="A164" t="s">
        <v>174</v>
      </c>
      <c r="B164" s="76" t="s">
        <v>405</v>
      </c>
      <c r="C164" s="77" t="s">
        <v>71</v>
      </c>
    </row>
    <row r="165" spans="1:3" ht="26.25">
      <c r="A165" t="s">
        <v>121</v>
      </c>
      <c r="B165" s="76" t="s">
        <v>406</v>
      </c>
      <c r="C165" s="77" t="s">
        <v>61</v>
      </c>
    </row>
    <row r="166" spans="1:3">
      <c r="A166" t="s">
        <v>121</v>
      </c>
      <c r="B166" s="76" t="s">
        <v>407</v>
      </c>
      <c r="C166" s="77" t="s">
        <v>71</v>
      </c>
    </row>
    <row r="167" spans="1:3">
      <c r="A167" t="s">
        <v>121</v>
      </c>
      <c r="B167" s="76" t="s">
        <v>408</v>
      </c>
      <c r="C167" s="77" t="s">
        <v>71</v>
      </c>
    </row>
    <row r="168" spans="1:3">
      <c r="A168" t="s">
        <v>174</v>
      </c>
      <c r="B168" s="76" t="s">
        <v>409</v>
      </c>
      <c r="C168" s="77" t="s">
        <v>71</v>
      </c>
    </row>
    <row r="169" spans="1:3">
      <c r="A169" t="s">
        <v>174</v>
      </c>
      <c r="B169" s="76" t="s">
        <v>410</v>
      </c>
      <c r="C169" s="77" t="s">
        <v>71</v>
      </c>
    </row>
    <row r="170" spans="1:3">
      <c r="A170" t="s">
        <v>121</v>
      </c>
      <c r="B170" s="76" t="s">
        <v>411</v>
      </c>
      <c r="C170" s="77" t="s">
        <v>71</v>
      </c>
    </row>
    <row r="171" spans="1:3">
      <c r="A171" t="s">
        <v>174</v>
      </c>
      <c r="B171" s="76" t="s">
        <v>135</v>
      </c>
      <c r="C171" s="77" t="s">
        <v>71</v>
      </c>
    </row>
    <row r="172" spans="1:3">
      <c r="A172" t="s">
        <v>121</v>
      </c>
      <c r="B172" s="76" t="s">
        <v>412</v>
      </c>
      <c r="C172" s="77" t="s">
        <v>71</v>
      </c>
    </row>
    <row r="173" spans="1:3">
      <c r="A173" t="s">
        <v>174</v>
      </c>
      <c r="B173" s="76" t="s">
        <v>413</v>
      </c>
      <c r="C173" s="77" t="s">
        <v>71</v>
      </c>
    </row>
    <row r="174" spans="1:3">
      <c r="A174" t="s">
        <v>174</v>
      </c>
      <c r="B174" s="76" t="s">
        <v>414</v>
      </c>
      <c r="C174" s="77" t="s">
        <v>61</v>
      </c>
    </row>
    <row r="175" spans="1:3">
      <c r="A175" t="s">
        <v>174</v>
      </c>
      <c r="B175" s="76" t="s">
        <v>415</v>
      </c>
      <c r="C175" s="77" t="s">
        <v>71</v>
      </c>
    </row>
    <row r="176" spans="1:3">
      <c r="A176" t="s">
        <v>121</v>
      </c>
      <c r="B176" s="76" t="s">
        <v>416</v>
      </c>
      <c r="C176" s="77" t="s">
        <v>71</v>
      </c>
    </row>
    <row r="177" spans="1:3">
      <c r="A177" t="s">
        <v>174</v>
      </c>
      <c r="B177" s="76" t="s">
        <v>417</v>
      </c>
      <c r="C177" s="77" t="s">
        <v>61</v>
      </c>
    </row>
    <row r="178" spans="1:3">
      <c r="A178" t="s">
        <v>174</v>
      </c>
      <c r="B178" s="76" t="s">
        <v>418</v>
      </c>
      <c r="C178" s="77" t="s">
        <v>71</v>
      </c>
    </row>
    <row r="179" spans="1:3">
      <c r="A179" t="s">
        <v>121</v>
      </c>
      <c r="B179" s="76" t="s">
        <v>419</v>
      </c>
      <c r="C179" s="77" t="s">
        <v>71</v>
      </c>
    </row>
    <row r="180" spans="1:3">
      <c r="A180" t="s">
        <v>174</v>
      </c>
      <c r="B180" s="76" t="s">
        <v>420</v>
      </c>
      <c r="C180" s="77" t="s">
        <v>71</v>
      </c>
    </row>
    <row r="181" spans="1:3">
      <c r="A181" t="s">
        <v>174</v>
      </c>
      <c r="B181" s="76" t="s">
        <v>421</v>
      </c>
      <c r="C181" s="77" t="s">
        <v>71</v>
      </c>
    </row>
    <row r="182" spans="1:3">
      <c r="A182" t="s">
        <v>174</v>
      </c>
      <c r="B182" s="76" t="s">
        <v>422</v>
      </c>
      <c r="C182" s="77" t="s">
        <v>61</v>
      </c>
    </row>
    <row r="183" spans="1:3">
      <c r="A183" t="s">
        <v>174</v>
      </c>
      <c r="B183" s="76" t="s">
        <v>423</v>
      </c>
      <c r="C183" s="77" t="s">
        <v>71</v>
      </c>
    </row>
    <row r="184" spans="1:3">
      <c r="A184" t="s">
        <v>174</v>
      </c>
      <c r="B184" s="76" t="s">
        <v>192</v>
      </c>
      <c r="C184" s="77" t="s">
        <v>269</v>
      </c>
    </row>
    <row r="185" spans="1:3">
      <c r="A185" t="s">
        <v>174</v>
      </c>
      <c r="B185" s="76" t="s">
        <v>75</v>
      </c>
      <c r="C185" s="77" t="s">
        <v>61</v>
      </c>
    </row>
    <row r="186" spans="1:3">
      <c r="A186" t="s">
        <v>174</v>
      </c>
      <c r="B186" s="76" t="s">
        <v>76</v>
      </c>
      <c r="C186" s="77" t="s">
        <v>61</v>
      </c>
    </row>
    <row r="187" spans="1:3">
      <c r="A187" t="s">
        <v>174</v>
      </c>
      <c r="B187" s="76" t="s">
        <v>78</v>
      </c>
      <c r="C187" s="77" t="s">
        <v>61</v>
      </c>
    </row>
    <row r="188" spans="1:3">
      <c r="A188" t="s">
        <v>174</v>
      </c>
      <c r="B188" s="76" t="s">
        <v>424</v>
      </c>
      <c r="C188" s="77" t="s">
        <v>61</v>
      </c>
    </row>
    <row r="189" spans="1:3">
      <c r="A189" t="s">
        <v>121</v>
      </c>
      <c r="B189" s="76" t="s">
        <v>425</v>
      </c>
      <c r="C189" s="77" t="s">
        <v>71</v>
      </c>
    </row>
    <row r="190" spans="1:3">
      <c r="A190" t="s">
        <v>174</v>
      </c>
      <c r="B190" s="76" t="s">
        <v>426</v>
      </c>
      <c r="C190" s="77" t="s">
        <v>61</v>
      </c>
    </row>
    <row r="191" spans="1:3">
      <c r="A191" t="s">
        <v>174</v>
      </c>
      <c r="B191" s="76" t="s">
        <v>427</v>
      </c>
      <c r="C191" s="77" t="s">
        <v>61</v>
      </c>
    </row>
    <row r="192" spans="1:3">
      <c r="A192" t="s">
        <v>121</v>
      </c>
      <c r="B192" s="76" t="s">
        <v>428</v>
      </c>
      <c r="C192" s="77" t="s">
        <v>61</v>
      </c>
    </row>
    <row r="193" spans="1:3">
      <c r="A193" t="s">
        <v>121</v>
      </c>
      <c r="B193" s="76" t="s">
        <v>429</v>
      </c>
      <c r="C193" s="77" t="s">
        <v>61</v>
      </c>
    </row>
    <row r="194" spans="1:3">
      <c r="A194" t="s">
        <v>174</v>
      </c>
      <c r="B194" s="76" t="s">
        <v>143</v>
      </c>
      <c r="C194" s="77" t="s">
        <v>71</v>
      </c>
    </row>
    <row r="195" spans="1:3">
      <c r="A195" t="s">
        <v>174</v>
      </c>
      <c r="B195" s="76" t="s">
        <v>147</v>
      </c>
      <c r="C195" s="77" t="s">
        <v>71</v>
      </c>
    </row>
    <row r="196" spans="1:3">
      <c r="A196" t="s">
        <v>121</v>
      </c>
      <c r="B196" s="76" t="s">
        <v>430</v>
      </c>
      <c r="C196" s="77" t="s">
        <v>61</v>
      </c>
    </row>
    <row r="197" spans="1:3">
      <c r="A197" t="s">
        <v>174</v>
      </c>
      <c r="B197" s="76" t="s">
        <v>431</v>
      </c>
      <c r="C197" s="77" t="s">
        <v>71</v>
      </c>
    </row>
    <row r="198" spans="1:3">
      <c r="A198" t="s">
        <v>174</v>
      </c>
      <c r="B198" s="76" t="s">
        <v>432</v>
      </c>
      <c r="C198" s="77" t="s">
        <v>71</v>
      </c>
    </row>
    <row r="199" spans="1:3">
      <c r="A199" t="s">
        <v>121</v>
      </c>
      <c r="B199" s="76" t="s">
        <v>433</v>
      </c>
      <c r="C199" s="77" t="s">
        <v>71</v>
      </c>
    </row>
    <row r="200" spans="1:3">
      <c r="A200" t="s">
        <v>121</v>
      </c>
      <c r="B200" s="76" t="s">
        <v>434</v>
      </c>
      <c r="C200" s="77" t="s">
        <v>71</v>
      </c>
    </row>
    <row r="201" spans="1:3">
      <c r="A201" t="s">
        <v>174</v>
      </c>
      <c r="B201" s="76" t="s">
        <v>435</v>
      </c>
      <c r="C201" s="77" t="s">
        <v>71</v>
      </c>
    </row>
    <row r="202" spans="1:3">
      <c r="A202" t="s">
        <v>174</v>
      </c>
      <c r="B202" s="76" t="s">
        <v>436</v>
      </c>
      <c r="C202" s="77" t="s">
        <v>71</v>
      </c>
    </row>
    <row r="203" spans="1:3">
      <c r="A203" t="s">
        <v>174</v>
      </c>
      <c r="B203" s="76" t="s">
        <v>437</v>
      </c>
      <c r="C203" s="77" t="s">
        <v>61</v>
      </c>
    </row>
    <row r="204" spans="1:3">
      <c r="A204" t="s">
        <v>121</v>
      </c>
      <c r="B204" s="76" t="s">
        <v>438</v>
      </c>
      <c r="C204" s="77" t="s">
        <v>71</v>
      </c>
    </row>
    <row r="205" spans="1:3">
      <c r="A205" t="s">
        <v>174</v>
      </c>
      <c r="B205" s="76" t="s">
        <v>105</v>
      </c>
      <c r="C205" s="77" t="s">
        <v>61</v>
      </c>
    </row>
    <row r="206" spans="1:3">
      <c r="A206" t="s">
        <v>121</v>
      </c>
      <c r="B206" s="76" t="s">
        <v>439</v>
      </c>
      <c r="C206" s="77" t="s">
        <v>71</v>
      </c>
    </row>
    <row r="207" spans="1:3">
      <c r="A207" t="s">
        <v>174</v>
      </c>
      <c r="B207" s="76" t="s">
        <v>440</v>
      </c>
      <c r="C207" s="77" t="s">
        <v>71</v>
      </c>
    </row>
    <row r="208" spans="1:3">
      <c r="A208" t="s">
        <v>121</v>
      </c>
      <c r="B208" s="76" t="s">
        <v>441</v>
      </c>
      <c r="C208" s="77" t="s">
        <v>71</v>
      </c>
    </row>
    <row r="209" spans="1:3">
      <c r="A209" t="s">
        <v>174</v>
      </c>
      <c r="B209" s="76" t="s">
        <v>442</v>
      </c>
      <c r="C209" s="77" t="s">
        <v>71</v>
      </c>
    </row>
    <row r="210" spans="1:3">
      <c r="A210" t="s">
        <v>174</v>
      </c>
      <c r="B210" s="76" t="s">
        <v>443</v>
      </c>
      <c r="C210" s="77" t="s">
        <v>71</v>
      </c>
    </row>
    <row r="211" spans="1:3">
      <c r="A211" t="s">
        <v>174</v>
      </c>
      <c r="B211" s="76" t="s">
        <v>444</v>
      </c>
      <c r="C211" s="77" t="s">
        <v>71</v>
      </c>
    </row>
    <row r="212" spans="1:3">
      <c r="A212" t="s">
        <v>174</v>
      </c>
      <c r="B212" s="76" t="s">
        <v>445</v>
      </c>
      <c r="C212" s="77" t="s">
        <v>71</v>
      </c>
    </row>
    <row r="213" spans="1:3">
      <c r="A213" t="s">
        <v>174</v>
      </c>
      <c r="B213" s="76" t="s">
        <v>446</v>
      </c>
      <c r="C213" s="77" t="s">
        <v>61</v>
      </c>
    </row>
    <row r="214" spans="1:3">
      <c r="A214" t="s">
        <v>174</v>
      </c>
      <c r="B214" s="76" t="s">
        <v>100</v>
      </c>
      <c r="C214" s="77" t="s">
        <v>71</v>
      </c>
    </row>
    <row r="215" spans="1:3">
      <c r="A215" t="s">
        <v>174</v>
      </c>
      <c r="B215" s="76" t="s">
        <v>447</v>
      </c>
      <c r="C215" s="77" t="s">
        <v>61</v>
      </c>
    </row>
    <row r="216" spans="1:3">
      <c r="A216" t="s">
        <v>121</v>
      </c>
      <c r="B216" s="76" t="s">
        <v>448</v>
      </c>
      <c r="C216" s="77" t="s">
        <v>61</v>
      </c>
    </row>
    <row r="217" spans="1:3">
      <c r="A217" t="s">
        <v>174</v>
      </c>
      <c r="B217" s="76" t="s">
        <v>449</v>
      </c>
      <c r="C217" s="77" t="s">
        <v>61</v>
      </c>
    </row>
    <row r="218" spans="1:3">
      <c r="A218" t="s">
        <v>174</v>
      </c>
      <c r="B218" s="76" t="s">
        <v>450</v>
      </c>
      <c r="C218" s="77" t="s">
        <v>71</v>
      </c>
    </row>
    <row r="219" spans="1:3">
      <c r="A219" t="s">
        <v>121</v>
      </c>
      <c r="B219" s="76" t="s">
        <v>129</v>
      </c>
      <c r="C219" s="77" t="s">
        <v>71</v>
      </c>
    </row>
    <row r="220" spans="1:3">
      <c r="A220" t="s">
        <v>121</v>
      </c>
      <c r="B220" s="76" t="s">
        <v>451</v>
      </c>
      <c r="C220" s="77" t="s">
        <v>71</v>
      </c>
    </row>
    <row r="221" spans="1:3" ht="26.25">
      <c r="A221" t="s">
        <v>121</v>
      </c>
      <c r="B221" s="76" t="s">
        <v>452</v>
      </c>
      <c r="C221" s="77" t="s">
        <v>71</v>
      </c>
    </row>
    <row r="222" spans="1:3">
      <c r="A222" t="s">
        <v>174</v>
      </c>
      <c r="B222" s="76" t="s">
        <v>453</v>
      </c>
      <c r="C222" s="77" t="s">
        <v>71</v>
      </c>
    </row>
    <row r="223" spans="1:3">
      <c r="A223" t="s">
        <v>174</v>
      </c>
      <c r="B223" s="76" t="s">
        <v>454</v>
      </c>
      <c r="C223" s="77" t="s">
        <v>71</v>
      </c>
    </row>
    <row r="224" spans="1:3" ht="15" customHeight="1">
      <c r="A224" t="s">
        <v>121</v>
      </c>
      <c r="B224" s="76" t="s">
        <v>193</v>
      </c>
      <c r="C224" s="77" t="s">
        <v>61</v>
      </c>
    </row>
    <row r="225" spans="1:3" ht="15" customHeight="1">
      <c r="A225" t="s">
        <v>174</v>
      </c>
      <c r="B225" s="76" t="s">
        <v>455</v>
      </c>
      <c r="C225" s="77" t="s">
        <v>71</v>
      </c>
    </row>
    <row r="226" spans="1:3" ht="15" customHeight="1">
      <c r="A226" t="s">
        <v>174</v>
      </c>
      <c r="B226" s="76" t="s">
        <v>456</v>
      </c>
      <c r="C226" s="77" t="s">
        <v>61</v>
      </c>
    </row>
    <row r="227" spans="1:3" ht="15" customHeight="1">
      <c r="A227" t="s">
        <v>174</v>
      </c>
      <c r="B227" s="76" t="s">
        <v>63</v>
      </c>
      <c r="C227" s="77" t="s">
        <v>61</v>
      </c>
    </row>
    <row r="228" spans="1:3" ht="15" customHeight="1">
      <c r="A228" t="s">
        <v>174</v>
      </c>
      <c r="B228" s="76" t="s">
        <v>62</v>
      </c>
      <c r="C228" s="77" t="s">
        <v>61</v>
      </c>
    </row>
    <row r="229" spans="1:3" ht="15" customHeight="1">
      <c r="A229" t="s">
        <v>121</v>
      </c>
      <c r="B229" s="76" t="s">
        <v>144</v>
      </c>
      <c r="C229" s="77" t="s">
        <v>71</v>
      </c>
    </row>
    <row r="230" spans="1:3" ht="15" customHeight="1">
      <c r="A230" t="s">
        <v>174</v>
      </c>
      <c r="B230" s="76" t="s">
        <v>457</v>
      </c>
      <c r="C230" s="77" t="s">
        <v>61</v>
      </c>
    </row>
    <row r="231" spans="1:3" ht="15" customHeight="1">
      <c r="A231" t="s">
        <v>174</v>
      </c>
      <c r="B231" s="76" t="s">
        <v>458</v>
      </c>
      <c r="C231" s="77" t="s">
        <v>61</v>
      </c>
    </row>
    <row r="232" spans="1:3" ht="15" customHeight="1">
      <c r="A232" t="s">
        <v>174</v>
      </c>
      <c r="B232" s="76" t="s">
        <v>69</v>
      </c>
      <c r="C232" s="77" t="s">
        <v>61</v>
      </c>
    </row>
    <row r="233" spans="1:3" ht="15" customHeight="1">
      <c r="A233" t="s">
        <v>174</v>
      </c>
      <c r="B233" s="76" t="s">
        <v>459</v>
      </c>
      <c r="C233" s="77" t="s">
        <v>61</v>
      </c>
    </row>
    <row r="234" spans="1:3" ht="26.25">
      <c r="A234" t="s">
        <v>174</v>
      </c>
      <c r="B234" s="76" t="s">
        <v>460</v>
      </c>
      <c r="C234" s="77" t="s">
        <v>61</v>
      </c>
    </row>
    <row r="235" spans="1:3">
      <c r="A235" t="s">
        <v>121</v>
      </c>
      <c r="B235" s="76" t="s">
        <v>461</v>
      </c>
      <c r="C235" s="77" t="s">
        <v>71</v>
      </c>
    </row>
    <row r="236" spans="1:3">
      <c r="A236" t="s">
        <v>174</v>
      </c>
      <c r="B236" s="76" t="s">
        <v>462</v>
      </c>
      <c r="C236" s="77" t="s">
        <v>71</v>
      </c>
    </row>
    <row r="237" spans="1:3">
      <c r="A237" t="s">
        <v>174</v>
      </c>
      <c r="B237" s="76" t="s">
        <v>463</v>
      </c>
      <c r="C237" s="77" t="s">
        <v>61</v>
      </c>
    </row>
    <row r="238" spans="1:3">
      <c r="A238" t="s">
        <v>174</v>
      </c>
      <c r="B238" s="76" t="s">
        <v>464</v>
      </c>
      <c r="C238" s="77" t="s">
        <v>61</v>
      </c>
    </row>
    <row r="239" spans="1:3">
      <c r="A239" t="s">
        <v>174</v>
      </c>
      <c r="B239" s="76" t="s">
        <v>465</v>
      </c>
      <c r="C239" s="77" t="s">
        <v>61</v>
      </c>
    </row>
    <row r="240" spans="1:3">
      <c r="A240" t="s">
        <v>174</v>
      </c>
      <c r="B240" s="76" t="s">
        <v>127</v>
      </c>
      <c r="C240" s="77" t="s">
        <v>61</v>
      </c>
    </row>
    <row r="241" spans="1:3">
      <c r="A241" t="s">
        <v>121</v>
      </c>
      <c r="B241" s="81" t="s">
        <v>466</v>
      </c>
      <c r="C241" s="77" t="s">
        <v>71</v>
      </c>
    </row>
    <row r="242" spans="1:3">
      <c r="A242" t="s">
        <v>174</v>
      </c>
      <c r="B242" s="76" t="s">
        <v>81</v>
      </c>
      <c r="C242" s="77" t="s">
        <v>61</v>
      </c>
    </row>
    <row r="243" spans="1:3">
      <c r="A243" t="s">
        <v>174</v>
      </c>
      <c r="B243" s="76" t="s">
        <v>209</v>
      </c>
      <c r="C243" s="77" t="s">
        <v>61</v>
      </c>
    </row>
    <row r="244" spans="1:3">
      <c r="A244" t="s">
        <v>121</v>
      </c>
      <c r="B244" s="76" t="s">
        <v>467</v>
      </c>
      <c r="C244" s="77" t="s">
        <v>61</v>
      </c>
    </row>
    <row r="245" spans="1:3">
      <c r="A245" t="s">
        <v>121</v>
      </c>
      <c r="B245" s="76" t="s">
        <v>468</v>
      </c>
      <c r="C245" s="77" t="s">
        <v>61</v>
      </c>
    </row>
    <row r="246" spans="1:3">
      <c r="A246" t="s">
        <v>174</v>
      </c>
      <c r="B246" s="76" t="s">
        <v>469</v>
      </c>
      <c r="C246" s="77" t="s">
        <v>71</v>
      </c>
    </row>
    <row r="247" spans="1:3">
      <c r="A247" t="s">
        <v>121</v>
      </c>
      <c r="B247" s="76" t="s">
        <v>470</v>
      </c>
      <c r="C247" s="77" t="s">
        <v>61</v>
      </c>
    </row>
    <row r="248" spans="1:3">
      <c r="A248" t="s">
        <v>121</v>
      </c>
      <c r="B248" s="76" t="s">
        <v>471</v>
      </c>
      <c r="C248" s="77" t="s">
        <v>71</v>
      </c>
    </row>
    <row r="249" spans="1:3">
      <c r="A249" t="s">
        <v>121</v>
      </c>
      <c r="B249" s="76" t="s">
        <v>472</v>
      </c>
      <c r="C249" s="77" t="s">
        <v>71</v>
      </c>
    </row>
    <row r="250" spans="1:3">
      <c r="A250" t="s">
        <v>121</v>
      </c>
      <c r="B250" s="76" t="s">
        <v>136</v>
      </c>
      <c r="C250" s="77" t="s">
        <v>71</v>
      </c>
    </row>
    <row r="251" spans="1:3">
      <c r="A251" t="s">
        <v>121</v>
      </c>
      <c r="B251" s="76" t="s">
        <v>473</v>
      </c>
      <c r="C251" s="77" t="s">
        <v>71</v>
      </c>
    </row>
    <row r="252" spans="1:3">
      <c r="A252" t="s">
        <v>174</v>
      </c>
      <c r="B252" s="76" t="s">
        <v>474</v>
      </c>
      <c r="C252" s="77" t="s">
        <v>61</v>
      </c>
    </row>
    <row r="253" spans="1:3">
      <c r="A253" t="s">
        <v>121</v>
      </c>
      <c r="B253" s="81" t="s">
        <v>475</v>
      </c>
      <c r="C253" s="77" t="s">
        <v>61</v>
      </c>
    </row>
    <row r="254" spans="1:3">
      <c r="A254" t="s">
        <v>121</v>
      </c>
      <c r="B254" s="76" t="s">
        <v>476</v>
      </c>
      <c r="C254" s="77" t="s">
        <v>61</v>
      </c>
    </row>
    <row r="255" spans="1:3">
      <c r="A255" t="s">
        <v>121</v>
      </c>
      <c r="B255" s="81" t="s">
        <v>477</v>
      </c>
      <c r="C255" s="77" t="s">
        <v>61</v>
      </c>
    </row>
    <row r="256" spans="1:3" ht="26.25">
      <c r="A256" t="s">
        <v>174</v>
      </c>
      <c r="B256" s="76" t="s">
        <v>478</v>
      </c>
      <c r="C256" s="77" t="s">
        <v>61</v>
      </c>
    </row>
    <row r="257" spans="1:3">
      <c r="A257" t="s">
        <v>174</v>
      </c>
      <c r="B257" s="76" t="s">
        <v>479</v>
      </c>
      <c r="C257" s="77" t="s">
        <v>61</v>
      </c>
    </row>
    <row r="258" spans="1:3">
      <c r="A258" t="s">
        <v>174</v>
      </c>
      <c r="B258" s="76" t="s">
        <v>480</v>
      </c>
      <c r="C258" s="77" t="s">
        <v>71</v>
      </c>
    </row>
    <row r="259" spans="1:3">
      <c r="A259" t="s">
        <v>174</v>
      </c>
      <c r="B259" s="76" t="s">
        <v>481</v>
      </c>
      <c r="C259" s="77" t="s">
        <v>71</v>
      </c>
    </row>
    <row r="260" spans="1:3">
      <c r="A260" t="s">
        <v>121</v>
      </c>
      <c r="B260" s="76" t="s">
        <v>482</v>
      </c>
      <c r="C260" s="77" t="s">
        <v>61</v>
      </c>
    </row>
    <row r="261" spans="1:3">
      <c r="A261" t="s">
        <v>121</v>
      </c>
      <c r="B261" s="76" t="s">
        <v>483</v>
      </c>
      <c r="C261" s="77" t="s">
        <v>61</v>
      </c>
    </row>
    <row r="262" spans="1:3">
      <c r="A262" t="s">
        <v>121</v>
      </c>
      <c r="B262" s="76" t="s">
        <v>484</v>
      </c>
      <c r="C262" s="77" t="s">
        <v>61</v>
      </c>
    </row>
    <row r="263" spans="1:3" ht="15" customHeight="1">
      <c r="A263" t="s">
        <v>174</v>
      </c>
      <c r="B263" s="76" t="s">
        <v>485</v>
      </c>
      <c r="C263" s="77" t="s">
        <v>61</v>
      </c>
    </row>
    <row r="264" spans="1:3" ht="15" customHeight="1">
      <c r="A264" t="s">
        <v>174</v>
      </c>
      <c r="B264" s="76" t="s">
        <v>486</v>
      </c>
      <c r="C264" s="77" t="s">
        <v>71</v>
      </c>
    </row>
    <row r="265" spans="1:3" ht="15" customHeight="1">
      <c r="A265" t="s">
        <v>174</v>
      </c>
      <c r="B265" s="76" t="s">
        <v>487</v>
      </c>
      <c r="C265" s="77" t="s">
        <v>61</v>
      </c>
    </row>
    <row r="266" spans="1:3">
      <c r="A266" t="s">
        <v>174</v>
      </c>
      <c r="B266" s="76" t="s">
        <v>488</v>
      </c>
      <c r="C266" s="77" t="s">
        <v>71</v>
      </c>
    </row>
    <row r="267" spans="1:3">
      <c r="A267" t="s">
        <v>121</v>
      </c>
      <c r="B267" s="76" t="s">
        <v>489</v>
      </c>
      <c r="C267" s="77" t="s">
        <v>71</v>
      </c>
    </row>
    <row r="268" spans="1:3">
      <c r="A268" t="s">
        <v>121</v>
      </c>
      <c r="B268" s="76" t="s">
        <v>221</v>
      </c>
      <c r="C268" s="77" t="s">
        <v>61</v>
      </c>
    </row>
    <row r="269" spans="1:3">
      <c r="A269" t="s">
        <v>121</v>
      </c>
      <c r="B269" s="76" t="s">
        <v>490</v>
      </c>
      <c r="C269" s="77" t="s">
        <v>61</v>
      </c>
    </row>
    <row r="270" spans="1:3">
      <c r="A270" t="s">
        <v>121</v>
      </c>
      <c r="B270" s="76" t="s">
        <v>491</v>
      </c>
      <c r="C270" s="77" t="s">
        <v>71</v>
      </c>
    </row>
    <row r="271" spans="1:3">
      <c r="A271" t="s">
        <v>174</v>
      </c>
      <c r="B271" s="76" t="s">
        <v>492</v>
      </c>
      <c r="C271" s="77" t="s">
        <v>71</v>
      </c>
    </row>
    <row r="272" spans="1:3">
      <c r="A272" t="s">
        <v>121</v>
      </c>
      <c r="B272" s="76" t="s">
        <v>493</v>
      </c>
      <c r="C272" s="77" t="s">
        <v>71</v>
      </c>
    </row>
    <row r="273" spans="1:3">
      <c r="A273" t="s">
        <v>174</v>
      </c>
      <c r="B273" s="76" t="s">
        <v>494</v>
      </c>
      <c r="C273" s="77" t="s">
        <v>71</v>
      </c>
    </row>
    <row r="274" spans="1:3">
      <c r="A274" t="s">
        <v>121</v>
      </c>
      <c r="B274" s="76" t="s">
        <v>495</v>
      </c>
      <c r="C274" s="77" t="s">
        <v>61</v>
      </c>
    </row>
    <row r="275" spans="1:3">
      <c r="A275" t="s">
        <v>174</v>
      </c>
      <c r="B275" s="76" t="s">
        <v>496</v>
      </c>
      <c r="C275" s="77" t="s">
        <v>61</v>
      </c>
    </row>
    <row r="276" spans="1:3">
      <c r="A276" t="s">
        <v>174</v>
      </c>
      <c r="B276" s="76" t="s">
        <v>497</v>
      </c>
      <c r="C276" s="77" t="s">
        <v>61</v>
      </c>
    </row>
    <row r="277" spans="1:3">
      <c r="A277" t="s">
        <v>174</v>
      </c>
      <c r="B277" s="76" t="s">
        <v>498</v>
      </c>
      <c r="C277" s="77" t="s">
        <v>61</v>
      </c>
    </row>
    <row r="278" spans="1:3">
      <c r="A278" t="s">
        <v>121</v>
      </c>
      <c r="B278" s="76" t="s">
        <v>499</v>
      </c>
      <c r="C278" s="77" t="s">
        <v>71</v>
      </c>
    </row>
    <row r="279" spans="1:3">
      <c r="A279" t="s">
        <v>174</v>
      </c>
      <c r="B279" s="76" t="s">
        <v>500</v>
      </c>
      <c r="C279" s="77" t="s">
        <v>71</v>
      </c>
    </row>
    <row r="280" spans="1:3">
      <c r="A280" t="s">
        <v>174</v>
      </c>
      <c r="B280" s="76" t="s">
        <v>501</v>
      </c>
      <c r="C280" s="77" t="s">
        <v>71</v>
      </c>
    </row>
    <row r="281" spans="1:3">
      <c r="A281" t="s">
        <v>121</v>
      </c>
      <c r="B281" s="76" t="s">
        <v>502</v>
      </c>
      <c r="C281" s="77" t="s">
        <v>71</v>
      </c>
    </row>
    <row r="282" spans="1:3">
      <c r="A282" t="s">
        <v>121</v>
      </c>
      <c r="B282" s="76" t="s">
        <v>502</v>
      </c>
      <c r="C282" s="77" t="s">
        <v>71</v>
      </c>
    </row>
    <row r="283" spans="1:3">
      <c r="A283" t="s">
        <v>174</v>
      </c>
      <c r="B283" s="76" t="s">
        <v>503</v>
      </c>
      <c r="C283" s="77" t="s">
        <v>71</v>
      </c>
    </row>
    <row r="284" spans="1:3">
      <c r="A284" t="s">
        <v>121</v>
      </c>
      <c r="B284" s="76" t="s">
        <v>504</v>
      </c>
      <c r="C284" s="77" t="s">
        <v>71</v>
      </c>
    </row>
    <row r="285" spans="1:3">
      <c r="A285" t="s">
        <v>174</v>
      </c>
      <c r="B285" s="76" t="s">
        <v>505</v>
      </c>
      <c r="C285" s="77" t="s">
        <v>71</v>
      </c>
    </row>
    <row r="286" spans="1:3">
      <c r="A286" t="s">
        <v>121</v>
      </c>
      <c r="B286" s="76" t="s">
        <v>506</v>
      </c>
      <c r="C286" s="77" t="s">
        <v>61</v>
      </c>
    </row>
    <row r="287" spans="1:3" ht="26.25">
      <c r="A287" t="s">
        <v>121</v>
      </c>
      <c r="B287" s="76" t="s">
        <v>507</v>
      </c>
      <c r="C287" s="77" t="s">
        <v>61</v>
      </c>
    </row>
    <row r="288" spans="1:3">
      <c r="A288" t="s">
        <v>121</v>
      </c>
      <c r="B288" s="76" t="s">
        <v>508</v>
      </c>
      <c r="C288" s="77" t="s">
        <v>71</v>
      </c>
    </row>
    <row r="289" spans="1:3">
      <c r="A289" t="s">
        <v>174</v>
      </c>
      <c r="B289" s="76" t="s">
        <v>509</v>
      </c>
      <c r="C289" s="77" t="s">
        <v>71</v>
      </c>
    </row>
    <row r="290" spans="1:3">
      <c r="A290" t="s">
        <v>174</v>
      </c>
      <c r="B290" s="76" t="s">
        <v>510</v>
      </c>
      <c r="C290" s="77" t="s">
        <v>71</v>
      </c>
    </row>
    <row r="291" spans="1:3">
      <c r="A291" t="s">
        <v>174</v>
      </c>
      <c r="B291" s="76" t="s">
        <v>511</v>
      </c>
      <c r="C291" s="77" t="s">
        <v>71</v>
      </c>
    </row>
    <row r="292" spans="1:3">
      <c r="A292" t="s">
        <v>174</v>
      </c>
      <c r="B292" s="76" t="s">
        <v>512</v>
      </c>
      <c r="C292" s="77" t="s">
        <v>71</v>
      </c>
    </row>
    <row r="293" spans="1:3">
      <c r="A293" t="s">
        <v>174</v>
      </c>
      <c r="B293" s="76" t="s">
        <v>513</v>
      </c>
      <c r="C293" s="77" t="s">
        <v>71</v>
      </c>
    </row>
    <row r="294" spans="1:3">
      <c r="A294" t="s">
        <v>174</v>
      </c>
      <c r="B294" s="76" t="s">
        <v>514</v>
      </c>
      <c r="C294" s="77" t="s">
        <v>71</v>
      </c>
    </row>
    <row r="295" spans="1:3">
      <c r="A295" t="s">
        <v>174</v>
      </c>
      <c r="B295" s="76" t="s">
        <v>101</v>
      </c>
      <c r="C295" s="77" t="s">
        <v>71</v>
      </c>
    </row>
    <row r="296" spans="1:3" ht="26.25">
      <c r="A296" t="s">
        <v>174</v>
      </c>
      <c r="B296" s="76" t="s">
        <v>515</v>
      </c>
      <c r="C296" s="77" t="s">
        <v>61</v>
      </c>
    </row>
    <row r="297" spans="1:3">
      <c r="A297" t="s">
        <v>121</v>
      </c>
      <c r="B297" s="76" t="s">
        <v>516</v>
      </c>
      <c r="C297" s="77" t="s">
        <v>71</v>
      </c>
    </row>
    <row r="298" spans="1:3">
      <c r="A298" t="s">
        <v>121</v>
      </c>
      <c r="B298" s="76" t="s">
        <v>517</v>
      </c>
      <c r="C298" s="77" t="s">
        <v>71</v>
      </c>
    </row>
    <row r="299" spans="1:3">
      <c r="A299" t="s">
        <v>174</v>
      </c>
      <c r="B299" s="76" t="s">
        <v>518</v>
      </c>
      <c r="C299" s="77" t="s">
        <v>61</v>
      </c>
    </row>
    <row r="300" spans="1:3" ht="15" customHeight="1">
      <c r="A300" t="s">
        <v>174</v>
      </c>
      <c r="B300" s="76" t="s">
        <v>519</v>
      </c>
      <c r="C300" s="77" t="s">
        <v>71</v>
      </c>
    </row>
    <row r="301" spans="1:3" ht="15" customHeight="1">
      <c r="A301" t="s">
        <v>121</v>
      </c>
      <c r="B301" s="76" t="s">
        <v>520</v>
      </c>
      <c r="C301" s="77" t="s">
        <v>71</v>
      </c>
    </row>
    <row r="302" spans="1:3" ht="26.25">
      <c r="A302" t="s">
        <v>121</v>
      </c>
      <c r="B302" s="76" t="s">
        <v>521</v>
      </c>
      <c r="C302" s="77" t="s">
        <v>71</v>
      </c>
    </row>
    <row r="303" spans="1:3">
      <c r="A303" t="s">
        <v>174</v>
      </c>
      <c r="B303" s="76" t="s">
        <v>522</v>
      </c>
      <c r="C303" s="77" t="s">
        <v>71</v>
      </c>
    </row>
    <row r="304" spans="1:3">
      <c r="A304" t="s">
        <v>174</v>
      </c>
      <c r="B304" s="76" t="s">
        <v>523</v>
      </c>
      <c r="C304" s="77" t="s">
        <v>71</v>
      </c>
    </row>
    <row r="305" spans="1:3">
      <c r="A305" t="s">
        <v>121</v>
      </c>
      <c r="B305" s="76" t="s">
        <v>524</v>
      </c>
      <c r="C305" s="77" t="s">
        <v>61</v>
      </c>
    </row>
    <row r="306" spans="1:3">
      <c r="A306" t="s">
        <v>174</v>
      </c>
      <c r="B306" s="76" t="s">
        <v>525</v>
      </c>
      <c r="C306" s="77" t="s">
        <v>71</v>
      </c>
    </row>
    <row r="307" spans="1:3">
      <c r="A307" t="s">
        <v>121</v>
      </c>
      <c r="B307" s="76" t="s">
        <v>133</v>
      </c>
      <c r="C307" s="77" t="s">
        <v>71</v>
      </c>
    </row>
    <row r="308" spans="1:3">
      <c r="A308" t="s">
        <v>174</v>
      </c>
      <c r="B308" s="76" t="s">
        <v>526</v>
      </c>
      <c r="C308" s="77" t="s">
        <v>71</v>
      </c>
    </row>
    <row r="309" spans="1:3">
      <c r="A309" t="s">
        <v>121</v>
      </c>
      <c r="B309" s="76" t="s">
        <v>527</v>
      </c>
      <c r="C309" s="77" t="s">
        <v>71</v>
      </c>
    </row>
    <row r="310" spans="1:3">
      <c r="A310" t="s">
        <v>121</v>
      </c>
      <c r="B310" s="76" t="s">
        <v>528</v>
      </c>
      <c r="C310" s="77" t="s">
        <v>71</v>
      </c>
    </row>
    <row r="311" spans="1:3">
      <c r="A311" t="s">
        <v>174</v>
      </c>
      <c r="B311" s="76" t="s">
        <v>529</v>
      </c>
      <c r="C311" s="77" t="s">
        <v>61</v>
      </c>
    </row>
    <row r="312" spans="1:3">
      <c r="A312" t="s">
        <v>174</v>
      </c>
      <c r="B312" s="76" t="s">
        <v>530</v>
      </c>
      <c r="C312" s="77" t="s">
        <v>71</v>
      </c>
    </row>
    <row r="313" spans="1:3">
      <c r="A313" t="s">
        <v>174</v>
      </c>
      <c r="B313" s="76" t="s">
        <v>531</v>
      </c>
      <c r="C313" s="77" t="s">
        <v>61</v>
      </c>
    </row>
    <row r="314" spans="1:3">
      <c r="A314" t="s">
        <v>121</v>
      </c>
      <c r="B314" s="76" t="s">
        <v>532</v>
      </c>
      <c r="C314" s="77" t="s">
        <v>61</v>
      </c>
    </row>
    <row r="315" spans="1:3">
      <c r="A315" t="s">
        <v>174</v>
      </c>
      <c r="B315" s="76" t="s">
        <v>533</v>
      </c>
      <c r="C315" s="77" t="s">
        <v>61</v>
      </c>
    </row>
    <row r="316" spans="1:3">
      <c r="A316" t="s">
        <v>174</v>
      </c>
      <c r="B316" s="76" t="s">
        <v>534</v>
      </c>
      <c r="C316" s="77" t="s">
        <v>61</v>
      </c>
    </row>
    <row r="317" spans="1:3" ht="26.25">
      <c r="A317" t="s">
        <v>174</v>
      </c>
      <c r="B317" s="76" t="s">
        <v>535</v>
      </c>
      <c r="C317" s="77" t="s">
        <v>61</v>
      </c>
    </row>
    <row r="318" spans="1:3" ht="15" customHeight="1">
      <c r="A318" t="s">
        <v>174</v>
      </c>
      <c r="B318" s="76" t="s">
        <v>536</v>
      </c>
      <c r="C318" s="77" t="s">
        <v>61</v>
      </c>
    </row>
    <row r="319" spans="1:3" ht="15" customHeight="1">
      <c r="A319" t="s">
        <v>174</v>
      </c>
      <c r="B319" s="76" t="s">
        <v>189</v>
      </c>
      <c r="C319" s="77" t="s">
        <v>61</v>
      </c>
    </row>
    <row r="320" spans="1:3" ht="15" customHeight="1">
      <c r="A320" t="s">
        <v>121</v>
      </c>
      <c r="B320" s="76" t="s">
        <v>537</v>
      </c>
      <c r="C320" s="77" t="s">
        <v>61</v>
      </c>
    </row>
    <row r="321" spans="1:3" ht="15" customHeight="1">
      <c r="A321" t="s">
        <v>174</v>
      </c>
      <c r="B321" s="76" t="s">
        <v>538</v>
      </c>
      <c r="C321" s="77" t="s">
        <v>61</v>
      </c>
    </row>
    <row r="322" spans="1:3" ht="15" customHeight="1">
      <c r="A322" t="s">
        <v>121</v>
      </c>
      <c r="B322" s="76" t="s">
        <v>539</v>
      </c>
      <c r="C322" s="77" t="s">
        <v>61</v>
      </c>
    </row>
    <row r="323" spans="1:3" ht="15" customHeight="1">
      <c r="A323" t="s">
        <v>174</v>
      </c>
      <c r="B323" s="76" t="s">
        <v>540</v>
      </c>
      <c r="C323" s="77" t="s">
        <v>61</v>
      </c>
    </row>
    <row r="324" spans="1:3" ht="15" customHeight="1">
      <c r="A324" t="s">
        <v>121</v>
      </c>
      <c r="B324" s="76" t="s">
        <v>541</v>
      </c>
      <c r="C324" s="77" t="s">
        <v>71</v>
      </c>
    </row>
    <row r="325" spans="1:3" ht="15" customHeight="1">
      <c r="A325" t="s">
        <v>174</v>
      </c>
      <c r="B325" s="76" t="s">
        <v>542</v>
      </c>
      <c r="C325" s="77" t="s">
        <v>61</v>
      </c>
    </row>
    <row r="326" spans="1:3" ht="15" customHeight="1">
      <c r="A326" t="s">
        <v>121</v>
      </c>
      <c r="B326" s="81" t="s">
        <v>543</v>
      </c>
      <c r="C326" s="77" t="s">
        <v>61</v>
      </c>
    </row>
    <row r="327" spans="1:3">
      <c r="A327" t="s">
        <v>174</v>
      </c>
      <c r="B327" s="76" t="s">
        <v>544</v>
      </c>
      <c r="C327" s="77" t="s">
        <v>71</v>
      </c>
    </row>
    <row r="328" spans="1:3">
      <c r="A328" t="s">
        <v>174</v>
      </c>
      <c r="B328" s="76" t="s">
        <v>545</v>
      </c>
      <c r="C328" s="77" t="s">
        <v>71</v>
      </c>
    </row>
    <row r="329" spans="1:3">
      <c r="A329" t="s">
        <v>121</v>
      </c>
      <c r="B329" s="76" t="s">
        <v>128</v>
      </c>
      <c r="C329" s="77" t="s">
        <v>71</v>
      </c>
    </row>
    <row r="330" spans="1:3">
      <c r="A330" t="s">
        <v>121</v>
      </c>
      <c r="B330" s="76" t="s">
        <v>546</v>
      </c>
      <c r="C330" s="77" t="s">
        <v>71</v>
      </c>
    </row>
    <row r="331" spans="1:3">
      <c r="A331" t="s">
        <v>121</v>
      </c>
      <c r="B331" s="76" t="s">
        <v>547</v>
      </c>
      <c r="C331" s="77" t="s">
        <v>71</v>
      </c>
    </row>
    <row r="332" spans="1:3">
      <c r="A332" t="s">
        <v>121</v>
      </c>
      <c r="B332" s="76" t="s">
        <v>548</v>
      </c>
      <c r="C332" s="77" t="s">
        <v>71</v>
      </c>
    </row>
    <row r="333" spans="1:3">
      <c r="A333" t="s">
        <v>174</v>
      </c>
      <c r="B333" s="76" t="s">
        <v>132</v>
      </c>
      <c r="C333" s="77" t="s">
        <v>71</v>
      </c>
    </row>
    <row r="334" spans="1:3">
      <c r="A334" t="s">
        <v>121</v>
      </c>
      <c r="B334" s="76" t="s">
        <v>549</v>
      </c>
      <c r="C334" s="77" t="s">
        <v>71</v>
      </c>
    </row>
    <row r="335" spans="1:3">
      <c r="A335" t="s">
        <v>174</v>
      </c>
      <c r="B335" s="76" t="s">
        <v>550</v>
      </c>
      <c r="C335" s="77" t="s">
        <v>71</v>
      </c>
    </row>
    <row r="336" spans="1:3">
      <c r="A336" t="s">
        <v>174</v>
      </c>
      <c r="B336" s="76" t="s">
        <v>551</v>
      </c>
      <c r="C336" s="77" t="s">
        <v>71</v>
      </c>
    </row>
    <row r="337" spans="1:3">
      <c r="A337" t="s">
        <v>121</v>
      </c>
      <c r="B337" s="76" t="s">
        <v>552</v>
      </c>
      <c r="C337" s="77" t="s">
        <v>71</v>
      </c>
    </row>
    <row r="338" spans="1:3">
      <c r="A338" t="s">
        <v>174</v>
      </c>
      <c r="B338" s="76" t="s">
        <v>553</v>
      </c>
      <c r="C338" s="77" t="s">
        <v>71</v>
      </c>
    </row>
    <row r="339" spans="1:3">
      <c r="A339" t="s">
        <v>174</v>
      </c>
      <c r="B339" s="76" t="s">
        <v>554</v>
      </c>
      <c r="C339" s="77" t="s">
        <v>71</v>
      </c>
    </row>
    <row r="340" spans="1:3">
      <c r="A340" t="s">
        <v>121</v>
      </c>
      <c r="B340" s="76" t="s">
        <v>555</v>
      </c>
      <c r="C340" s="77" t="s">
        <v>61</v>
      </c>
    </row>
    <row r="341" spans="1:3">
      <c r="A341" t="s">
        <v>121</v>
      </c>
      <c r="B341" s="76" t="s">
        <v>556</v>
      </c>
      <c r="C341" s="77" t="s">
        <v>61</v>
      </c>
    </row>
    <row r="342" spans="1:3">
      <c r="A342" t="s">
        <v>121</v>
      </c>
      <c r="B342" s="76" t="s">
        <v>557</v>
      </c>
      <c r="C342" s="77" t="s">
        <v>71</v>
      </c>
    </row>
    <row r="343" spans="1:3">
      <c r="A343" t="s">
        <v>121</v>
      </c>
      <c r="B343" s="76" t="s">
        <v>558</v>
      </c>
      <c r="C343" s="77" t="s">
        <v>71</v>
      </c>
    </row>
    <row r="344" spans="1:3">
      <c r="A344" t="s">
        <v>121</v>
      </c>
      <c r="B344" s="76" t="s">
        <v>141</v>
      </c>
      <c r="C344" s="77" t="s">
        <v>71</v>
      </c>
    </row>
    <row r="345" spans="1:3">
      <c r="A345" t="s">
        <v>121</v>
      </c>
      <c r="B345" s="76" t="s">
        <v>559</v>
      </c>
      <c r="C345" s="77" t="s">
        <v>71</v>
      </c>
    </row>
    <row r="346" spans="1:3">
      <c r="A346" t="s">
        <v>174</v>
      </c>
      <c r="B346" s="76" t="s">
        <v>560</v>
      </c>
      <c r="C346" s="77" t="s">
        <v>61</v>
      </c>
    </row>
    <row r="347" spans="1:3" ht="15" customHeight="1">
      <c r="A347" t="s">
        <v>174</v>
      </c>
      <c r="B347" s="76" t="s">
        <v>118</v>
      </c>
      <c r="C347" s="77" t="s">
        <v>61</v>
      </c>
    </row>
    <row r="348" spans="1:3">
      <c r="A348" t="s">
        <v>121</v>
      </c>
      <c r="B348" s="76" t="s">
        <v>561</v>
      </c>
      <c r="C348" s="77" t="s">
        <v>61</v>
      </c>
    </row>
    <row r="349" spans="1:3">
      <c r="A349" t="s">
        <v>121</v>
      </c>
      <c r="B349" s="76" t="s">
        <v>562</v>
      </c>
      <c r="C349" s="77" t="s">
        <v>61</v>
      </c>
    </row>
    <row r="350" spans="1:3">
      <c r="A350" t="s">
        <v>121</v>
      </c>
      <c r="B350" s="76" t="s">
        <v>563</v>
      </c>
      <c r="C350" s="77" t="s">
        <v>61</v>
      </c>
    </row>
    <row r="351" spans="1:3">
      <c r="A351" t="s">
        <v>174</v>
      </c>
      <c r="B351" s="76" t="s">
        <v>564</v>
      </c>
      <c r="C351" s="77" t="s">
        <v>71</v>
      </c>
    </row>
    <row r="352" spans="1:3">
      <c r="A352" t="s">
        <v>174</v>
      </c>
      <c r="B352" s="76" t="s">
        <v>565</v>
      </c>
      <c r="C352" s="77" t="s">
        <v>71</v>
      </c>
    </row>
    <row r="353" spans="1:3">
      <c r="A353" t="s">
        <v>121</v>
      </c>
      <c r="B353" s="76" t="s">
        <v>566</v>
      </c>
      <c r="C353" s="77" t="s">
        <v>61</v>
      </c>
    </row>
    <row r="354" spans="1:3">
      <c r="A354" t="s">
        <v>174</v>
      </c>
      <c r="B354" s="76" t="s">
        <v>567</v>
      </c>
      <c r="C354" s="77" t="s">
        <v>71</v>
      </c>
    </row>
    <row r="355" spans="1:3">
      <c r="A355" t="s">
        <v>174</v>
      </c>
      <c r="B355" s="82" t="s">
        <v>138</v>
      </c>
      <c r="C355" s="77" t="s">
        <v>71</v>
      </c>
    </row>
    <row r="356" spans="1:3">
      <c r="A356" t="s">
        <v>174</v>
      </c>
      <c r="B356" s="76" t="s">
        <v>568</v>
      </c>
      <c r="C356" s="77" t="s">
        <v>71</v>
      </c>
    </row>
    <row r="357" spans="1:3">
      <c r="A357" t="s">
        <v>174</v>
      </c>
      <c r="B357" s="76" t="s">
        <v>569</v>
      </c>
      <c r="C357" s="77" t="s">
        <v>71</v>
      </c>
    </row>
    <row r="358" spans="1:3">
      <c r="A358" t="s">
        <v>121</v>
      </c>
      <c r="B358" s="76" t="s">
        <v>570</v>
      </c>
      <c r="C358" s="77" t="s">
        <v>71</v>
      </c>
    </row>
    <row r="359" spans="1:3">
      <c r="A359" t="s">
        <v>174</v>
      </c>
      <c r="B359" s="76" t="s">
        <v>571</v>
      </c>
      <c r="C359" s="77" t="s">
        <v>61</v>
      </c>
    </row>
    <row r="360" spans="1:3">
      <c r="A360" t="s">
        <v>174</v>
      </c>
      <c r="B360" s="76" t="s">
        <v>572</v>
      </c>
      <c r="C360" s="77" t="s">
        <v>71</v>
      </c>
    </row>
    <row r="361" spans="1:3">
      <c r="A361" t="s">
        <v>174</v>
      </c>
      <c r="B361" s="76" t="s">
        <v>573</v>
      </c>
      <c r="C361" s="77" t="s">
        <v>71</v>
      </c>
    </row>
    <row r="362" spans="1:3">
      <c r="A362" t="s">
        <v>174</v>
      </c>
      <c r="B362" s="76" t="s">
        <v>186</v>
      </c>
      <c r="C362" s="77" t="s">
        <v>71</v>
      </c>
    </row>
    <row r="363" spans="1:3">
      <c r="A363" t="s">
        <v>174</v>
      </c>
      <c r="B363" s="76" t="s">
        <v>574</v>
      </c>
      <c r="C363" s="77" t="s">
        <v>71</v>
      </c>
    </row>
    <row r="364" spans="1:3">
      <c r="A364" t="s">
        <v>121</v>
      </c>
      <c r="B364" s="76" t="s">
        <v>575</v>
      </c>
      <c r="C364" s="77" t="s">
        <v>71</v>
      </c>
    </row>
    <row r="365" spans="1:3">
      <c r="A365" t="s">
        <v>174</v>
      </c>
      <c r="B365" s="76" t="s">
        <v>576</v>
      </c>
      <c r="C365" s="77" t="s">
        <v>71</v>
      </c>
    </row>
    <row r="366" spans="1:3">
      <c r="A366" t="s">
        <v>174</v>
      </c>
      <c r="B366" s="76" t="s">
        <v>92</v>
      </c>
      <c r="C366" s="77" t="s">
        <v>71</v>
      </c>
    </row>
    <row r="367" spans="1:3">
      <c r="A367" t="s">
        <v>121</v>
      </c>
      <c r="B367" s="76" t="s">
        <v>577</v>
      </c>
      <c r="C367" s="77" t="s">
        <v>71</v>
      </c>
    </row>
    <row r="368" spans="1:3">
      <c r="A368" t="s">
        <v>121</v>
      </c>
      <c r="B368" s="76" t="s">
        <v>139</v>
      </c>
      <c r="C368" s="77" t="s">
        <v>71</v>
      </c>
    </row>
    <row r="369" spans="1:3">
      <c r="A369" t="s">
        <v>174</v>
      </c>
      <c r="B369" s="76" t="s">
        <v>578</v>
      </c>
      <c r="C369" s="77" t="s">
        <v>71</v>
      </c>
    </row>
    <row r="370" spans="1:3">
      <c r="A370" t="s">
        <v>174</v>
      </c>
      <c r="B370" s="76" t="s">
        <v>579</v>
      </c>
      <c r="C370" s="77" t="s">
        <v>71</v>
      </c>
    </row>
    <row r="371" spans="1:3">
      <c r="A371" t="s">
        <v>174</v>
      </c>
      <c r="B371" s="76" t="s">
        <v>580</v>
      </c>
      <c r="C371" s="77" t="s">
        <v>71</v>
      </c>
    </row>
    <row r="372" spans="1:3">
      <c r="A372" t="s">
        <v>174</v>
      </c>
      <c r="B372" s="76" t="s">
        <v>581</v>
      </c>
      <c r="C372" s="77" t="s">
        <v>71</v>
      </c>
    </row>
    <row r="373" spans="1:3">
      <c r="A373" t="s">
        <v>121</v>
      </c>
      <c r="B373" s="76" t="s">
        <v>582</v>
      </c>
      <c r="C373" s="77" t="s">
        <v>71</v>
      </c>
    </row>
    <row r="374" spans="1:3">
      <c r="A374" t="s">
        <v>174</v>
      </c>
      <c r="B374" s="76" t="s">
        <v>210</v>
      </c>
      <c r="C374" s="77" t="s">
        <v>71</v>
      </c>
    </row>
    <row r="375" spans="1:3">
      <c r="A375" t="s">
        <v>174</v>
      </c>
      <c r="B375" s="76" t="s">
        <v>583</v>
      </c>
      <c r="C375" s="77" t="s">
        <v>71</v>
      </c>
    </row>
    <row r="376" spans="1:3">
      <c r="A376" t="s">
        <v>174</v>
      </c>
      <c r="B376" s="76" t="s">
        <v>584</v>
      </c>
      <c r="C376" s="77" t="s">
        <v>71</v>
      </c>
    </row>
    <row r="377" spans="1:3">
      <c r="A377" t="s">
        <v>174</v>
      </c>
      <c r="B377" s="76" t="s">
        <v>585</v>
      </c>
      <c r="C377" s="77" t="s">
        <v>71</v>
      </c>
    </row>
    <row r="378" spans="1:3">
      <c r="A378" t="s">
        <v>121</v>
      </c>
      <c r="B378" s="76" t="s">
        <v>131</v>
      </c>
      <c r="C378" s="77" t="s">
        <v>71</v>
      </c>
    </row>
    <row r="379" spans="1:3">
      <c r="A379" t="s">
        <v>174</v>
      </c>
      <c r="B379" s="76" t="s">
        <v>586</v>
      </c>
      <c r="C379" s="77" t="s">
        <v>71</v>
      </c>
    </row>
    <row r="380" spans="1:3">
      <c r="A380" t="s">
        <v>174</v>
      </c>
      <c r="B380" s="76" t="s">
        <v>587</v>
      </c>
      <c r="C380" s="77" t="s">
        <v>71</v>
      </c>
    </row>
    <row r="381" spans="1:3">
      <c r="A381" t="s">
        <v>121</v>
      </c>
      <c r="B381" s="76" t="s">
        <v>588</v>
      </c>
      <c r="C381" s="77" t="s">
        <v>71</v>
      </c>
    </row>
    <row r="382" spans="1:3">
      <c r="A382" t="s">
        <v>174</v>
      </c>
      <c r="B382" s="76" t="s">
        <v>589</v>
      </c>
      <c r="C382" s="77" t="s">
        <v>61</v>
      </c>
    </row>
    <row r="383" spans="1:3">
      <c r="A383" t="s">
        <v>121</v>
      </c>
      <c r="B383" s="76" t="s">
        <v>590</v>
      </c>
      <c r="C383" s="77" t="s">
        <v>71</v>
      </c>
    </row>
    <row r="384" spans="1:3">
      <c r="A384" t="s">
        <v>174</v>
      </c>
      <c r="B384" s="76" t="s">
        <v>591</v>
      </c>
      <c r="C384" s="77" t="s">
        <v>71</v>
      </c>
    </row>
    <row r="385" spans="1:3">
      <c r="A385" t="s">
        <v>174</v>
      </c>
      <c r="B385" s="76" t="s">
        <v>592</v>
      </c>
      <c r="C385" s="77" t="s">
        <v>71</v>
      </c>
    </row>
  </sheetData>
  <sortState xmlns:xlrd2="http://schemas.microsoft.com/office/spreadsheetml/2017/richdata2" ref="A2:C326">
    <sortCondition ref="B2:B3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2024-09-23T15:13:30Z</dcterms:modified>
  <cp:category/>
  <cp:contentStatus/>
</cp:coreProperties>
</file>