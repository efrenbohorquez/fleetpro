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775" documentId="13_ncr:1_{A1B126EB-89CA-4AB3-9C6D-C96EBF145BA4}" xr6:coauthVersionLast="47" xr6:coauthVersionMax="47" xr10:uidLastSave="{CDC0A7AB-333D-4F11-A8B0-06A84BE6977E}"/>
  <bookViews>
    <workbookView xWindow="0" yWindow="360" windowWidth="29040" windowHeight="15840" xr2:uid="{00000000-000D-0000-FFFF-FFFF00000000}"/>
  </bookViews>
  <sheets>
    <sheet name="OBG37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S41" i="1" l="1"/>
  <c r="S42" i="1"/>
  <c r="S43" i="1"/>
  <c r="S44" i="1"/>
  <c r="S45" i="1"/>
  <c r="S46" i="1"/>
  <c r="S47" i="1"/>
  <c r="S48" i="1"/>
  <c r="S49" i="1"/>
  <c r="S50" i="1"/>
  <c r="S51" i="1"/>
  <c r="S52" i="1"/>
  <c r="S53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S54" i="1"/>
  <c r="S55" i="1"/>
  <c r="S56" i="1"/>
  <c r="S57" i="1"/>
  <c r="O54" i="1"/>
  <c r="O55" i="1"/>
  <c r="O56" i="1"/>
  <c r="O57" i="1"/>
  <c r="S29" i="1"/>
  <c r="S30" i="1"/>
  <c r="S31" i="1"/>
  <c r="S32" i="1"/>
  <c r="S33" i="1"/>
  <c r="S34" i="1"/>
  <c r="S35" i="1"/>
  <c r="S36" i="1"/>
  <c r="S37" i="1"/>
  <c r="O29" i="1"/>
  <c r="O30" i="1"/>
  <c r="O31" i="1"/>
  <c r="O32" i="1"/>
  <c r="O33" i="1"/>
  <c r="O34" i="1"/>
  <c r="O35" i="1"/>
  <c r="O36" i="1"/>
  <c r="S20" i="1"/>
  <c r="S21" i="1"/>
  <c r="S22" i="1"/>
  <c r="S23" i="1"/>
  <c r="S24" i="1"/>
  <c r="S25" i="1"/>
  <c r="S26" i="1"/>
  <c r="S27" i="1"/>
  <c r="S28" i="1"/>
  <c r="S38" i="1"/>
  <c r="S39" i="1"/>
  <c r="S40" i="1"/>
  <c r="O20" i="1"/>
  <c r="O21" i="1"/>
  <c r="O22" i="1"/>
  <c r="O23" i="1"/>
  <c r="O24" i="1"/>
  <c r="O25" i="1"/>
  <c r="O26" i="1"/>
  <c r="O27" i="1"/>
  <c r="O28" i="1"/>
  <c r="O37" i="1"/>
  <c r="O38" i="1"/>
  <c r="O39" i="1"/>
  <c r="O40" i="1"/>
  <c r="S19" i="1"/>
  <c r="O19" i="1"/>
  <c r="P54" i="1" l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T53" i="1"/>
  <c r="U53" i="1" s="1"/>
  <c r="V53" i="1" s="1"/>
  <c r="T52" i="1"/>
  <c r="U52" i="1" s="1"/>
  <c r="V52" i="1" s="1"/>
  <c r="T51" i="1"/>
  <c r="U51" i="1" s="1"/>
  <c r="V51" i="1" s="1"/>
  <c r="T50" i="1"/>
  <c r="U50" i="1" s="1"/>
  <c r="V50" i="1" s="1"/>
  <c r="T49" i="1"/>
  <c r="U49" i="1" s="1"/>
  <c r="V49" i="1" s="1"/>
  <c r="T48" i="1"/>
  <c r="U48" i="1" s="1"/>
  <c r="V48" i="1" s="1"/>
  <c r="P47" i="1"/>
  <c r="Q47" i="1" s="1"/>
  <c r="T47" i="1"/>
  <c r="U47" i="1" s="1"/>
  <c r="V47" i="1" s="1"/>
  <c r="P46" i="1"/>
  <c r="Q46" i="1" s="1"/>
  <c r="T46" i="1"/>
  <c r="U46" i="1" s="1"/>
  <c r="V46" i="1" s="1"/>
  <c r="W46" i="1" s="1"/>
  <c r="P44" i="1"/>
  <c r="Q44" i="1" s="1"/>
  <c r="P45" i="1"/>
  <c r="Q45" i="1" s="1"/>
  <c r="T45" i="1"/>
  <c r="U45" i="1" s="1"/>
  <c r="V45" i="1" s="1"/>
  <c r="T44" i="1"/>
  <c r="U44" i="1" s="1"/>
  <c r="V44" i="1" s="1"/>
  <c r="P43" i="1"/>
  <c r="Q43" i="1" s="1"/>
  <c r="T43" i="1"/>
  <c r="U43" i="1" s="1"/>
  <c r="V43" i="1" s="1"/>
  <c r="P42" i="1"/>
  <c r="Q42" i="1" s="1"/>
  <c r="T42" i="1"/>
  <c r="U42" i="1" s="1"/>
  <c r="V42" i="1" s="1"/>
  <c r="P41" i="1"/>
  <c r="Q41" i="1" s="1"/>
  <c r="T41" i="1"/>
  <c r="U41" i="1" s="1"/>
  <c r="V41" i="1" s="1"/>
  <c r="W41" i="1" s="1"/>
  <c r="P57" i="1"/>
  <c r="Q57" i="1" s="1"/>
  <c r="P56" i="1"/>
  <c r="Q56" i="1" s="1"/>
  <c r="P55" i="1"/>
  <c r="Q55" i="1" s="1"/>
  <c r="T56" i="1"/>
  <c r="U56" i="1" s="1"/>
  <c r="V56" i="1" s="1"/>
  <c r="T55" i="1"/>
  <c r="U55" i="1" s="1"/>
  <c r="V55" i="1" s="1"/>
  <c r="T54" i="1"/>
  <c r="U54" i="1" s="1"/>
  <c r="V54" i="1" s="1"/>
  <c r="T38" i="1"/>
  <c r="U38" i="1" s="1"/>
  <c r="T37" i="1"/>
  <c r="U37" i="1" s="1"/>
  <c r="P36" i="1"/>
  <c r="Q36" i="1" s="1"/>
  <c r="T36" i="1"/>
  <c r="U36" i="1" s="1"/>
  <c r="V36" i="1" s="1"/>
  <c r="P35" i="1"/>
  <c r="Q35" i="1" s="1"/>
  <c r="T35" i="1"/>
  <c r="U35" i="1" s="1"/>
  <c r="V35" i="1" s="1"/>
  <c r="P34" i="1"/>
  <c r="Q34" i="1" s="1"/>
  <c r="T34" i="1"/>
  <c r="U34" i="1" s="1"/>
  <c r="V34" i="1" s="1"/>
  <c r="P33" i="1"/>
  <c r="Q33" i="1" s="1"/>
  <c r="T33" i="1"/>
  <c r="U33" i="1" s="1"/>
  <c r="V33" i="1" s="1"/>
  <c r="P32" i="1"/>
  <c r="Q32" i="1" s="1"/>
  <c r="T32" i="1"/>
  <c r="U32" i="1" s="1"/>
  <c r="V32" i="1" s="1"/>
  <c r="P31" i="1"/>
  <c r="Q31" i="1" s="1"/>
  <c r="T31" i="1"/>
  <c r="U31" i="1" s="1"/>
  <c r="V31" i="1" s="1"/>
  <c r="P30" i="1"/>
  <c r="Q30" i="1" s="1"/>
  <c r="T30" i="1"/>
  <c r="U30" i="1" s="1"/>
  <c r="V30" i="1" s="1"/>
  <c r="P29" i="1"/>
  <c r="Q29" i="1" s="1"/>
  <c r="T29" i="1"/>
  <c r="U29" i="1" s="1"/>
  <c r="V29" i="1" s="1"/>
  <c r="P19" i="1"/>
  <c r="Q19" i="1" s="1"/>
  <c r="T19" i="1"/>
  <c r="U19" i="1" s="1"/>
  <c r="V19" i="1" s="1"/>
  <c r="P40" i="1"/>
  <c r="Q40" i="1" s="1"/>
  <c r="P39" i="1"/>
  <c r="Q39" i="1" s="1"/>
  <c r="P38" i="1"/>
  <c r="Q38" i="1" s="1"/>
  <c r="P37" i="1"/>
  <c r="Q37" i="1" s="1"/>
  <c r="T57" i="1"/>
  <c r="U57" i="1" s="1"/>
  <c r="V57" i="1" s="1"/>
  <c r="T40" i="1"/>
  <c r="U40" i="1" s="1"/>
  <c r="V40" i="1" s="1"/>
  <c r="T39" i="1"/>
  <c r="U39" i="1" s="1"/>
  <c r="V39" i="1" s="1"/>
  <c r="P28" i="1"/>
  <c r="Q28" i="1" s="1"/>
  <c r="T28" i="1"/>
  <c r="U28" i="1" s="1"/>
  <c r="V28" i="1" s="1"/>
  <c r="P27" i="1"/>
  <c r="Q27" i="1" s="1"/>
  <c r="T27" i="1"/>
  <c r="U27" i="1" s="1"/>
  <c r="V27" i="1" s="1"/>
  <c r="P26" i="1"/>
  <c r="Q26" i="1" s="1"/>
  <c r="T26" i="1"/>
  <c r="U26" i="1" s="1"/>
  <c r="V26" i="1" s="1"/>
  <c r="P25" i="1"/>
  <c r="Q25" i="1" s="1"/>
  <c r="T25" i="1"/>
  <c r="U25" i="1" s="1"/>
  <c r="V25" i="1" s="1"/>
  <c r="P24" i="1"/>
  <c r="Q24" i="1" s="1"/>
  <c r="T24" i="1"/>
  <c r="U24" i="1" s="1"/>
  <c r="V24" i="1" s="1"/>
  <c r="P23" i="1"/>
  <c r="Q23" i="1" s="1"/>
  <c r="T23" i="1"/>
  <c r="U23" i="1" s="1"/>
  <c r="V23" i="1" s="1"/>
  <c r="P22" i="1"/>
  <c r="Q22" i="1" s="1"/>
  <c r="T22" i="1"/>
  <c r="U22" i="1" s="1"/>
  <c r="V22" i="1" s="1"/>
  <c r="P21" i="1"/>
  <c r="Q21" i="1" s="1"/>
  <c r="T21" i="1"/>
  <c r="U21" i="1" s="1"/>
  <c r="V21" i="1" s="1"/>
  <c r="P20" i="1"/>
  <c r="Q20" i="1" s="1"/>
  <c r="T20" i="1"/>
  <c r="U20" i="1" s="1"/>
  <c r="V20" i="1" s="1"/>
  <c r="N8" i="1"/>
  <c r="V38" i="1" l="1"/>
  <c r="V37" i="1"/>
  <c r="W21" i="1" s="1"/>
  <c r="W19" i="1"/>
</calcChain>
</file>

<file path=xl/sharedStrings.xml><?xml version="1.0" encoding="utf-8"?>
<sst xmlns="http://schemas.openxmlformats.org/spreadsheetml/2006/main" count="152" uniqueCount="110">
  <si>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</si>
  <si>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</si>
  <si>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</si>
  <si>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</si>
  <si>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</si>
  <si>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</si>
  <si>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</si>
  <si>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</si>
  <si>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</si>
  <si>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</si>
  <si>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</si>
  <si>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</si>
  <si>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</si>
  <si>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</si>
  <si>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</si>
  <si>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</si>
  <si>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</si>
  <si>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</si>
  <si>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</si>
  <si>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</si>
  <si>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</si>
  <si>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OBG376</t>
  </si>
  <si>
    <t>PRADO VXA</t>
  </si>
  <si>
    <t>CABINA</t>
  </si>
  <si>
    <t>TOYOTA</t>
  </si>
  <si>
    <t>GRIS PLATINA</t>
  </si>
  <si>
    <t>9FH11VJ9599016947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</si>
  <si>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</si>
  <si>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</si>
  <si>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</si>
  <si>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</si>
  <si>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</si>
  <si>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</si>
  <si>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</si>
  <si>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</si>
  <si>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</si>
  <si>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</si>
  <si>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</si>
  <si>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 12/02/2022</t>
  </si>
  <si>
    <t> 11/02/2023</t>
  </si>
  <si>
    <t>CDA RUEDE SEGURO LTDA</t>
  </si>
  <si>
    <t xml:space="preserve"> </t>
  </si>
  <si>
    <t> 12/02/2023</t>
  </si>
  <si>
    <t> 11/02/2024</t>
  </si>
  <si>
    <t>CDA PUENTE ARANDA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</si>
  <si>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</si>
  <si>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</si>
  <si>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</si>
  <si>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</si>
  <si>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</si>
  <si>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</si>
  <si>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</si>
  <si>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</si>
  <si>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</si>
  <si>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</si>
  <si>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</si>
  <si>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</si>
  <si>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</si>
  <si>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</si>
  <si>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</si>
  <si>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</si>
  <si>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</si>
  <si>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</si>
  <si>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</si>
  <si>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</si>
  <si>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</si>
  <si>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</si>
  <si>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>DOCUMENTOS SOPORTE</t>
  </si>
  <si>
    <t>REVISIÓN SISTEMA ELÉCTRICO - BATERIA, VAHICULO HAY QUE INICIAR LA BATERÍA EN LAS MAÑANAS</t>
  </si>
  <si>
    <t>UNION TEMPORAL EL NORTE</t>
  </si>
  <si>
    <t>FVUN 155</t>
  </si>
  <si>
    <t>CORRECTIVO</t>
  </si>
  <si>
    <t>BATERÍA</t>
  </si>
  <si>
    <t xml:space="preserve"> SOPORTE </t>
  </si>
  <si>
    <t>CAMBIO DE ACEITE MOTOR Y FILTROS, REVISIÓN Y AJUSTE SUSPENCIÓN, SINCRINIZACIÓN MOTOR. PREVENTIVO POR KILOMETRAJE CUMPLIDO, PRESENTA RUIDOS.</t>
  </si>
  <si>
    <t xml:space="preserve">REVISIÓN GENERAL Y AJUSTE DE SUSPENCIÓN </t>
  </si>
  <si>
    <t>FVUN 189</t>
  </si>
  <si>
    <t>BUJES BARRA ESTABILIZADORA (CENTRALES CAUCHO)</t>
  </si>
  <si>
    <t>MUÑECO O TEMPLETE ESTABILIZADORA</t>
  </si>
  <si>
    <t>AMORTIGUADOR TRASERO</t>
  </si>
  <si>
    <t>BUJES BARRA ESTABILIZADORA (CAUCHO) X2 UNI</t>
  </si>
  <si>
    <t>PREVENTIVO</t>
  </si>
  <si>
    <t>PASTILLAS FRENOS X4 UNI TRASERAS</t>
  </si>
  <si>
    <t>INSTALACIÓN DE ALTA</t>
  </si>
  <si>
    <t xml:space="preserve">BUJÍA MOTOR </t>
  </si>
  <si>
    <t>EMPAQUE TAPA VALVULAS</t>
  </si>
  <si>
    <t xml:space="preserve">RETEN BUJIA PARA TAPA VAVULA </t>
  </si>
  <si>
    <t xml:space="preserve">MANGUERA MULTIPLE DE ADMISIÓM </t>
  </si>
  <si>
    <t xml:space="preserve">SILICINA ALTA TEMPERATURA </t>
  </si>
  <si>
    <t>VARSOL</t>
  </si>
  <si>
    <t>CAMBIO DE BUJES BARRA ESTABILIZADORA</t>
  </si>
  <si>
    <t>CAMBIO MUÑECOS</t>
  </si>
  <si>
    <t>ALINEACIÓN</t>
  </si>
  <si>
    <t>LAVADO GENERAL CAMIONETA</t>
  </si>
  <si>
    <t>CAMBIO AMORTIGUADORES - (DELANTEROS O TRASEROS)</t>
  </si>
  <si>
    <t>CAMBIO EMPAQUE TAPA VALVULAS</t>
  </si>
  <si>
    <t xml:space="preserve">CAMBIO MANGUERAS MULTIPLES DE ADMISIÓN </t>
  </si>
  <si>
    <t xml:space="preserve">PUESTA A PUNTO </t>
  </si>
  <si>
    <t>CAMBIO DE ACEITE MOTOR Y FULTROS (AIRE-ACEITE) PREVENTIVO POR KILOMETRAJE CUMPLIDO</t>
  </si>
  <si>
    <t>FVUN 199</t>
  </si>
  <si>
    <t xml:space="preserve">ACEITE MOTOR X1 CUARTO </t>
  </si>
  <si>
    <t xml:space="preserve">FILTRO DE ACEITE </t>
  </si>
  <si>
    <t>FILTRO DE AIRE</t>
  </si>
  <si>
    <t xml:space="preserve">CAMBIO DE ACEITE MOTOR </t>
  </si>
  <si>
    <t>CAMBIO DE FILTROS</t>
  </si>
  <si>
    <t>CAMBIO BUJES MUÑECOS SUSPENCIÓN DELANTERA</t>
  </si>
  <si>
    <t>FVUN 214</t>
  </si>
  <si>
    <t xml:space="preserve">BUJES BARRA ESTABILIZADORA (CAUCHO) X2 </t>
  </si>
  <si>
    <t>CAMBIO BUJES TENSORES</t>
  </si>
  <si>
    <t>Nota: Si este documento se encuentra impreso se considera Copia no Controlada. La versión vigente está publicada en la intranet de la Personería de Bogotá, D.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</si>
</sst>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_(&quot;$&quot;\ * #,##0.00_);_(&quot;$&quot;\ * \(#,##0.00\);_(&quot;$&quot;\ * &quot;-&quot;??_);_(@_)"/>
    <numFmt numFmtId="166" formatCode="_-[$$-240A]\ * #,##0.00_-;\-[$$-240A]\ * #,##0.00_-;_-[$$-240A]\ 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0" tint="-0.249977111117893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10"/>
      <color rgb="FF34383C"/>
      <name val="Arial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theme="1"/>
      <name val="Bahnschrift"/>
      <family val="2"/>
    </font>
    <font>
      <sz val="7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0" applyFont="1"/>
    <xf numFmtId="3" fontId="0" fillId="0" borderId="0" xfId="0" applyNumberFormat="1"/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Font="1" applyFill="1" applyBorder="1" applyAlignment="1">
      <alignment horizontal="center" vertical="center"/>
    </xf>
    <xf numFmtId="0" fontId="16" fillId="0" borderId="1" xfId="0" applyFont="1" applyBorder="1"/>
    <xf numFmtId="3" fontId="10" fillId="0" borderId="1" xfId="0" applyNumberFormat="1" applyFont="1" applyBorder="1" applyAlignment="1">
      <alignment horizontal="center" vertical="center"/>
    </xf>
    <xf numFmtId="14" fontId="18" fillId="0" borderId="0" xfId="0" applyNumberFormat="1" applyFont="1"/>
    <xf numFmtId="0" fontId="12" fillId="4" borderId="13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3" fontId="12" fillId="0" borderId="13" xfId="0" applyNumberFormat="1" applyFont="1" applyBorder="1" applyAlignment="1" applyProtection="1">
      <alignment horizontal="center" wrapText="1"/>
      <protection locked="0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14" fontId="9" fillId="0" borderId="0" xfId="0" applyNumberFormat="1" applyFont="1"/>
    <xf numFmtId="1" fontId="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12" fillId="3" borderId="13" xfId="0" applyFont="1" applyFill="1" applyBorder="1" applyAlignment="1">
      <alignment horizontal="center" vertical="center" wrapText="1"/>
    </xf>
    <xf numFmtId="3" fontId="12" fillId="3" borderId="13" xfId="0" applyNumberFormat="1" applyFont="1" applyFill="1" applyBorder="1" applyAlignment="1">
      <alignment horizontal="center" vertical="center" wrapText="1"/>
    </xf>
    <xf numFmtId="14" fontId="12" fillId="3" borderId="13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2" borderId="1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center"/>
    </xf>
    <xf numFmtId="0" fontId="23" fillId="0" borderId="5" xfId="0" applyFont="1" applyBorder="1" applyAlignment="1">
      <alignment vertical="top"/>
    </xf>
    <xf numFmtId="0" fontId="10" fillId="0" borderId="17" xfId="0" applyFont="1" applyBorder="1" applyAlignment="1">
      <alignment vertical="center"/>
    </xf>
    <xf numFmtId="165" fontId="10" fillId="0" borderId="1" xfId="1" applyFont="1" applyBorder="1" applyAlignment="1">
      <alignment horizontal="center" vertical="center"/>
    </xf>
    <xf numFmtId="165" fontId="10" fillId="0" borderId="5" xfId="1" applyFont="1" applyBorder="1" applyAlignment="1">
      <alignment horizontal="center" vertical="center"/>
    </xf>
    <xf numFmtId="165" fontId="10" fillId="0" borderId="17" xfId="1" applyFont="1" applyBorder="1" applyAlignment="1">
      <alignment horizontal="center" vertical="center"/>
    </xf>
    <xf numFmtId="165" fontId="22" fillId="0" borderId="17" xfId="2" applyNumberFormat="1" applyFont="1" applyFill="1" applyBorder="1" applyAlignment="1">
      <alignment vertical="center"/>
    </xf>
    <xf numFmtId="165" fontId="10" fillId="0" borderId="5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5" fontId="20" fillId="0" borderId="18" xfId="2" applyNumberForma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vertical="top"/>
    </xf>
    <xf numFmtId="3" fontId="11" fillId="0" borderId="10" xfId="0" applyNumberFormat="1" applyFont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24" xfId="0" applyFont="1" applyBorder="1" applyAlignment="1">
      <alignment vertical="center"/>
    </xf>
    <xf numFmtId="0" fontId="23" fillId="0" borderId="2" xfId="0" applyFont="1" applyBorder="1" applyAlignment="1">
      <alignment vertical="top"/>
    </xf>
    <xf numFmtId="0" fontId="16" fillId="0" borderId="14" xfId="0" applyFont="1" applyBorder="1"/>
    <xf numFmtId="0" fontId="23" fillId="0" borderId="14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center" wrapText="1"/>
    </xf>
    <xf numFmtId="3" fontId="11" fillId="0" borderId="18" xfId="0" applyNumberFormat="1" applyFont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23" fillId="0" borderId="11" xfId="0" applyFont="1" applyBorder="1" applyAlignment="1">
      <alignment vertical="top"/>
    </xf>
    <xf numFmtId="14" fontId="16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3" fontId="11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vertical="center"/>
    </xf>
    <xf numFmtId="0" fontId="16" fillId="0" borderId="17" xfId="0" applyFont="1" applyBorder="1"/>
    <xf numFmtId="0" fontId="23" fillId="0" borderId="17" xfId="0" applyFont="1" applyBorder="1" applyAlignment="1">
      <alignment horizontal="center" vertical="top"/>
    </xf>
    <xf numFmtId="164" fontId="10" fillId="0" borderId="25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4" fontId="16" fillId="0" borderId="20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horizontal="center" vertical="center"/>
    </xf>
    <xf numFmtId="165" fontId="10" fillId="0" borderId="22" xfId="0" applyNumberFormat="1" applyFont="1" applyBorder="1" applyAlignment="1">
      <alignment horizontal="center" vertical="center"/>
    </xf>
    <xf numFmtId="165" fontId="20" fillId="0" borderId="20" xfId="2" applyNumberFormat="1" applyFill="1" applyBorder="1" applyAlignment="1">
      <alignment horizontal="center" vertical="center"/>
    </xf>
    <xf numFmtId="165" fontId="20" fillId="0" borderId="18" xfId="2" applyNumberForma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3" fontId="11" fillId="0" borderId="20" xfId="0" applyNumberFormat="1" applyFont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14" fontId="16" fillId="0" borderId="13" xfId="0" applyNumberFormat="1" applyFont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14" fontId="23" fillId="0" borderId="23" xfId="0" applyNumberFormat="1" applyFont="1" applyBorder="1" applyAlignment="1">
      <alignment horizontal="center" vertical="center"/>
    </xf>
    <xf numFmtId="3" fontId="23" fillId="0" borderId="1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20" fillId="0" borderId="21" xfId="2" applyNumberForma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14" fontId="16" fillId="0" borderId="30" xfId="0" applyNumberFormat="1" applyFont="1" applyBorder="1" applyAlignment="1">
      <alignment horizontal="center" vertical="center"/>
    </xf>
    <xf numFmtId="14" fontId="16" fillId="0" borderId="28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0" borderId="24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3" fontId="11" fillId="0" borderId="26" xfId="0" applyNumberFormat="1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PRADO%20OBG376/AUT_OBG376_370615_FACT_FVUN199.pdf?csf=1&amp;web=1&amp;e=pGNr0D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PRADO%20OBG376/AUT_OBG376_369485_FACT_FVUN189.pdf?csf=1&amp;web=1&amp;e=byN5cg" TargetMode="External"/><Relationship Id="rId1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PRADO%20OBG376/AUT_OBG376_368978_FACT_FVUN155.pdf?csf=1&amp;web=1&amp;e=GFgzBz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PRADO%20OBG376/AUT_OBG376_372193_FACT_FVUN214.pdf?csf=1&amp;web=1&amp;e=intU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topLeftCell="H33" zoomScale="80" zoomScaleNormal="80" workbookViewId="0">
      <selection activeCell="J21" sqref="J21:J40"/>
    </sheetView>
  </sheetViews>
  <sheetFormatPr defaultColWidth="0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21.5703125" customWidth="1"/>
    <col min="7" max="7" width="23" bestFit="1" customWidth="1"/>
    <col min="8" max="8" width="14.7109375" style="2" customWidth="1"/>
    <col min="9" max="9" width="11.5703125" customWidth="1"/>
    <col min="10" max="10" width="12.7109375" customWidth="1"/>
    <col min="11" max="11" width="13.140625" customWidth="1"/>
    <col min="12" max="12" width="48" customWidth="1"/>
    <col min="13" max="13" width="6.28515625" customWidth="1"/>
    <col min="14" max="14" width="13.85546875" bestFit="1" customWidth="1"/>
    <col min="15" max="15" width="12.85546875" customWidth="1"/>
    <col min="16" max="16" width="11.42578125" customWidth="1"/>
    <col min="17" max="17" width="12.42578125" bestFit="1" customWidth="1"/>
    <col min="18" max="18" width="14.140625" customWidth="1"/>
    <col min="19" max="19" width="12" customWidth="1"/>
    <col min="20" max="20" width="13.42578125" customWidth="1"/>
    <col min="21" max="21" width="15.7109375" customWidth="1"/>
    <col min="22" max="23" width="14.140625" customWidth="1"/>
    <col min="24" max="24" width="14.28515625" bestFit="1" customWidth="1"/>
    <col min="25" max="25" width="11.42578125" customWidth="1"/>
  </cols>
  <sheetData>
    <row r="1" spans="1:23" ht="15" customHeight="1">
      <c r="A1" s="1"/>
      <c r="B1" s="1"/>
      <c r="C1" s="151" t="s">
        <v>0</v>
      </c>
      <c r="D1" s="152"/>
      <c r="E1" s="152"/>
      <c r="F1" s="153" t="s">
        <v>1</v>
      </c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5"/>
      <c r="T1" s="162" t="s">
        <v>2</v>
      </c>
      <c r="U1" s="163"/>
      <c r="V1" s="164"/>
      <c r="W1" s="43"/>
    </row>
    <row r="2" spans="1:23" ht="15" customHeight="1">
      <c r="A2" s="1"/>
      <c r="B2" s="1"/>
      <c r="C2" s="152"/>
      <c r="D2" s="152"/>
      <c r="E2" s="152"/>
      <c r="F2" s="156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8"/>
      <c r="T2" s="165" t="s">
        <v>3</v>
      </c>
      <c r="U2" s="166"/>
      <c r="V2" s="3" t="s">
        <v>4</v>
      </c>
      <c r="W2" s="44"/>
    </row>
    <row r="3" spans="1:23" ht="15" customHeight="1">
      <c r="A3" s="1"/>
      <c r="B3" s="1"/>
      <c r="C3" s="152"/>
      <c r="D3" s="152"/>
      <c r="E3" s="152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8"/>
      <c r="T3" s="167" t="s">
        <v>5</v>
      </c>
      <c r="U3" s="168"/>
      <c r="V3" s="169"/>
      <c r="W3" s="44"/>
    </row>
    <row r="4" spans="1:23" ht="15" customHeight="1">
      <c r="A4" s="1"/>
      <c r="B4" s="1"/>
      <c r="C4" s="152"/>
      <c r="D4" s="152"/>
      <c r="E4" s="152"/>
      <c r="F4" s="159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1"/>
      <c r="T4" s="170"/>
      <c r="U4" s="171"/>
      <c r="V4" s="172"/>
      <c r="W4" s="44"/>
    </row>
    <row r="5" spans="1:23" ht="23.25">
      <c r="A5" s="1"/>
      <c r="B5" s="1"/>
      <c r="C5" s="133" t="s">
        <v>6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5"/>
      <c r="W5" s="45"/>
    </row>
    <row r="6" spans="1:23" ht="18" customHeight="1">
      <c r="A6" s="1"/>
      <c r="B6" s="1"/>
      <c r="C6" s="136" t="s">
        <v>7</v>
      </c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8"/>
      <c r="W6" s="46"/>
    </row>
    <row r="7" spans="1:23" ht="35.25">
      <c r="A7" s="1"/>
      <c r="B7" s="1"/>
      <c r="C7" s="4" t="s">
        <v>8</v>
      </c>
      <c r="D7" s="4" t="s">
        <v>9</v>
      </c>
      <c r="E7" s="5" t="s">
        <v>10</v>
      </c>
      <c r="F7" s="139" t="s">
        <v>11</v>
      </c>
      <c r="G7" s="140"/>
      <c r="H7" s="139" t="s">
        <v>12</v>
      </c>
      <c r="I7" s="140"/>
      <c r="J7" s="139" t="s">
        <v>13</v>
      </c>
      <c r="K7" s="140"/>
      <c r="L7" s="4" t="s">
        <v>14</v>
      </c>
      <c r="M7" s="4" t="s">
        <v>15</v>
      </c>
      <c r="N7" s="139" t="s">
        <v>16</v>
      </c>
      <c r="O7" s="140"/>
      <c r="P7" s="139" t="s">
        <v>17</v>
      </c>
      <c r="Q7" s="140"/>
      <c r="R7" s="139" t="s">
        <v>18</v>
      </c>
      <c r="S7" s="140"/>
      <c r="T7" s="4" t="s">
        <v>19</v>
      </c>
      <c r="U7" s="139" t="s">
        <v>20</v>
      </c>
      <c r="V7" s="140"/>
      <c r="W7" s="47"/>
    </row>
    <row r="8" spans="1:23" s="10" customFormat="1" ht="12">
      <c r="A8" s="6"/>
      <c r="B8" s="6"/>
      <c r="C8" s="7" t="s">
        <v>21</v>
      </c>
      <c r="D8" s="8" t="s">
        <v>22</v>
      </c>
      <c r="E8" s="9" t="s">
        <v>23</v>
      </c>
      <c r="F8" s="149" t="s">
        <v>24</v>
      </c>
      <c r="G8" s="150"/>
      <c r="H8" s="149" t="s">
        <v>25</v>
      </c>
      <c r="I8" s="150"/>
      <c r="J8" s="173">
        <v>1900091</v>
      </c>
      <c r="K8" s="174"/>
      <c r="L8" s="8" t="s">
        <v>26</v>
      </c>
      <c r="M8" s="8">
        <v>3400</v>
      </c>
      <c r="N8" s="149" t="str">
        <f>L8</f>
        <v>9FH11VJ9599016947</v>
      </c>
      <c r="O8" s="150"/>
      <c r="P8" s="175" t="s">
        <v>23</v>
      </c>
      <c r="Q8" s="176"/>
      <c r="R8" s="149">
        <v>4099047</v>
      </c>
      <c r="S8" s="150"/>
      <c r="T8" s="10">
        <v>8</v>
      </c>
      <c r="U8" s="177" t="s">
        <v>27</v>
      </c>
      <c r="V8" s="178"/>
    </row>
    <row r="9" spans="1:23" ht="18" customHeight="1">
      <c r="A9" s="11"/>
      <c r="B9" s="11"/>
      <c r="C9" s="136" t="s">
        <v>28</v>
      </c>
      <c r="D9" s="137"/>
      <c r="E9" s="137"/>
      <c r="F9" s="137"/>
      <c r="G9" s="137"/>
      <c r="H9" s="138"/>
      <c r="I9" s="136" t="s">
        <v>29</v>
      </c>
      <c r="J9" s="137"/>
      <c r="K9" s="137"/>
      <c r="L9" s="137"/>
      <c r="M9" s="137"/>
      <c r="N9" s="137"/>
      <c r="O9" s="138"/>
      <c r="P9" s="136" t="s">
        <v>30</v>
      </c>
      <c r="Q9" s="137"/>
      <c r="R9" s="137"/>
      <c r="S9" s="137"/>
      <c r="T9" s="137"/>
      <c r="U9" s="137"/>
      <c r="V9" s="138"/>
      <c r="W9" s="46"/>
    </row>
    <row r="10" spans="1:23" ht="36" customHeight="1">
      <c r="A10" s="12"/>
      <c r="B10" s="12"/>
      <c r="C10" s="27" t="s">
        <v>31</v>
      </c>
      <c r="D10" s="28" t="s">
        <v>32</v>
      </c>
      <c r="E10" s="28" t="s">
        <v>33</v>
      </c>
      <c r="F10" s="27" t="s">
        <v>31</v>
      </c>
      <c r="G10" s="28" t="s">
        <v>32</v>
      </c>
      <c r="H10" s="29" t="s">
        <v>33</v>
      </c>
      <c r="I10" s="141" t="s">
        <v>34</v>
      </c>
      <c r="J10" s="142"/>
      <c r="K10" s="13" t="s">
        <v>32</v>
      </c>
      <c r="L10" s="13" t="s">
        <v>33</v>
      </c>
      <c r="M10" s="14" t="s">
        <v>34</v>
      </c>
      <c r="N10" s="13" t="s">
        <v>32</v>
      </c>
      <c r="O10" s="13" t="s">
        <v>33</v>
      </c>
      <c r="P10" s="13" t="s">
        <v>35</v>
      </c>
      <c r="Q10" s="143" t="s">
        <v>36</v>
      </c>
      <c r="R10" s="144"/>
      <c r="S10" s="145"/>
      <c r="T10" s="146" t="s">
        <v>37</v>
      </c>
      <c r="U10" s="147"/>
      <c r="V10" s="148"/>
      <c r="W10" s="48"/>
    </row>
    <row r="11" spans="1:23" s="10" customFormat="1" ht="12.75">
      <c r="A11" s="6"/>
      <c r="B11" s="6"/>
      <c r="C11" s="30">
        <v>82977862</v>
      </c>
      <c r="D11" s="31" t="s">
        <v>38</v>
      </c>
      <c r="E11" s="30" t="s">
        <v>39</v>
      </c>
      <c r="F11" s="30"/>
      <c r="G11" s="37"/>
      <c r="H11" s="32"/>
      <c r="I11" s="179" t="s">
        <v>40</v>
      </c>
      <c r="J11" s="180"/>
      <c r="K11" s="33">
        <v>44610</v>
      </c>
      <c r="L11" s="32">
        <v>44975</v>
      </c>
      <c r="M11" s="9"/>
      <c r="N11" s="26"/>
      <c r="O11" s="17"/>
      <c r="P11" s="17"/>
      <c r="Q11" s="149"/>
      <c r="R11" s="181"/>
      <c r="S11" s="150"/>
      <c r="T11" s="182"/>
      <c r="U11" s="183"/>
      <c r="V11" s="184"/>
      <c r="W11" s="49"/>
    </row>
    <row r="12" spans="1:23" s="10" customFormat="1" ht="12.75">
      <c r="A12" s="6" t="s">
        <v>41</v>
      </c>
      <c r="B12" s="6"/>
      <c r="C12" s="34">
        <v>9800004453</v>
      </c>
      <c r="D12" s="31" t="s">
        <v>42</v>
      </c>
      <c r="E12" s="30" t="s">
        <v>43</v>
      </c>
      <c r="F12" s="35"/>
      <c r="G12" s="35"/>
      <c r="H12" s="36"/>
      <c r="I12" s="185" t="s">
        <v>44</v>
      </c>
      <c r="J12" s="185"/>
      <c r="K12" s="32">
        <v>44995</v>
      </c>
      <c r="L12" s="32">
        <v>45361</v>
      </c>
      <c r="M12" s="18"/>
      <c r="N12" s="17"/>
      <c r="O12" s="17"/>
      <c r="P12" s="17"/>
      <c r="Q12" s="149"/>
      <c r="R12" s="181"/>
      <c r="S12" s="150"/>
      <c r="T12" s="182"/>
      <c r="U12" s="183"/>
      <c r="V12" s="184"/>
      <c r="W12" s="49"/>
    </row>
    <row r="13" spans="1:23" s="10" customFormat="1" ht="12">
      <c r="A13" s="6"/>
      <c r="B13" s="6"/>
      <c r="C13" s="9"/>
      <c r="D13" s="16"/>
      <c r="E13" s="16"/>
      <c r="F13" s="15"/>
      <c r="G13" s="16"/>
      <c r="H13" s="25"/>
      <c r="I13" s="186"/>
      <c r="J13" s="186"/>
      <c r="K13" s="17"/>
      <c r="L13" s="17"/>
      <c r="M13" s="18"/>
      <c r="N13" s="17"/>
      <c r="O13" s="17"/>
      <c r="P13" s="17"/>
      <c r="Q13" s="149"/>
      <c r="R13" s="181"/>
      <c r="S13" s="150"/>
      <c r="T13" s="182"/>
      <c r="U13" s="183"/>
      <c r="V13" s="184"/>
      <c r="W13" s="49"/>
    </row>
    <row r="14" spans="1:23" s="10" customFormat="1" ht="12">
      <c r="A14" s="6"/>
      <c r="B14" s="6"/>
      <c r="C14" s="15"/>
      <c r="D14" s="16"/>
      <c r="E14" s="16"/>
      <c r="F14" s="15"/>
      <c r="G14" s="16"/>
      <c r="H14" s="19"/>
      <c r="I14" s="187"/>
      <c r="J14" s="188"/>
      <c r="K14" s="17"/>
      <c r="L14" s="17"/>
      <c r="M14" s="9"/>
      <c r="N14" s="17"/>
      <c r="O14" s="17"/>
      <c r="P14" s="17"/>
      <c r="Q14" s="149"/>
      <c r="R14" s="181"/>
      <c r="S14" s="150"/>
      <c r="T14" s="182"/>
      <c r="U14" s="183"/>
      <c r="V14" s="184"/>
      <c r="W14" s="49"/>
    </row>
    <row r="15" spans="1:23" s="10" customFormat="1" ht="12">
      <c r="A15" s="6"/>
      <c r="B15" s="6"/>
      <c r="C15" s="15"/>
      <c r="D15" s="16"/>
      <c r="E15" s="16"/>
      <c r="F15" s="15"/>
      <c r="G15" s="16"/>
      <c r="H15" s="19"/>
      <c r="I15" s="187"/>
      <c r="J15" s="188"/>
      <c r="K15" s="17"/>
      <c r="L15" s="17"/>
      <c r="M15" s="9"/>
      <c r="N15" s="17"/>
      <c r="O15" s="17"/>
      <c r="P15" s="17"/>
      <c r="Q15" s="149"/>
      <c r="R15" s="181"/>
      <c r="S15" s="150"/>
      <c r="T15" s="182"/>
      <c r="U15" s="183"/>
      <c r="V15" s="184"/>
      <c r="W15" s="49"/>
    </row>
    <row r="16" spans="1:23" s="10" customFormat="1" ht="12">
      <c r="A16" s="6"/>
      <c r="B16" s="6"/>
      <c r="C16" s="15"/>
      <c r="D16" s="16"/>
      <c r="E16" s="16"/>
      <c r="F16" s="15"/>
      <c r="G16" s="16"/>
      <c r="H16" s="19"/>
      <c r="I16" s="187"/>
      <c r="J16" s="188"/>
      <c r="K16" s="17"/>
      <c r="L16" s="17"/>
      <c r="M16" s="18"/>
      <c r="N16" s="17"/>
      <c r="O16" s="17"/>
      <c r="P16" s="17"/>
      <c r="Q16" s="149"/>
      <c r="R16" s="181"/>
      <c r="S16" s="150"/>
      <c r="T16" s="182"/>
      <c r="U16" s="183"/>
      <c r="V16" s="184"/>
      <c r="W16" s="49"/>
    </row>
    <row r="17" spans="1:24" ht="18" customHeight="1">
      <c r="A17" s="20"/>
      <c r="B17" s="20"/>
      <c r="C17" s="136" t="s">
        <v>45</v>
      </c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8"/>
      <c r="W17" s="46"/>
    </row>
    <row r="18" spans="1:24" ht="74.25" customHeight="1">
      <c r="A18" s="20"/>
      <c r="B18" s="20"/>
      <c r="C18" s="21" t="s">
        <v>46</v>
      </c>
      <c r="D18" s="21" t="s">
        <v>47</v>
      </c>
      <c r="E18" s="21" t="s">
        <v>48</v>
      </c>
      <c r="F18" s="21" t="s">
        <v>49</v>
      </c>
      <c r="G18" s="38" t="s">
        <v>50</v>
      </c>
      <c r="H18" s="39" t="s">
        <v>51</v>
      </c>
      <c r="I18" s="40" t="s">
        <v>52</v>
      </c>
      <c r="J18" s="38" t="s">
        <v>53</v>
      </c>
      <c r="K18" s="38" t="s">
        <v>54</v>
      </c>
      <c r="L18" s="38" t="s">
        <v>55</v>
      </c>
      <c r="M18" s="38" t="s">
        <v>56</v>
      </c>
      <c r="N18" s="38" t="s">
        <v>57</v>
      </c>
      <c r="O18" s="38" t="s">
        <v>58</v>
      </c>
      <c r="P18" s="38" t="s">
        <v>59</v>
      </c>
      <c r="Q18" s="38" t="s">
        <v>60</v>
      </c>
      <c r="R18" s="38" t="s">
        <v>61</v>
      </c>
      <c r="S18" s="38" t="s">
        <v>62</v>
      </c>
      <c r="T18" s="38" t="s">
        <v>63</v>
      </c>
      <c r="U18" s="38" t="s">
        <v>64</v>
      </c>
      <c r="V18" s="41" t="s">
        <v>65</v>
      </c>
      <c r="W18" s="42" t="s">
        <v>66</v>
      </c>
      <c r="X18" s="50" t="s">
        <v>67</v>
      </c>
    </row>
    <row r="19" spans="1:24" ht="25.5" customHeight="1">
      <c r="A19" s="1"/>
      <c r="B19" s="1"/>
      <c r="C19" s="122">
        <v>45420</v>
      </c>
      <c r="D19" s="67">
        <v>368978</v>
      </c>
      <c r="E19" s="66" t="s">
        <v>68</v>
      </c>
      <c r="F19" s="120"/>
      <c r="G19" s="118" t="s">
        <v>69</v>
      </c>
      <c r="H19" s="130">
        <v>368978</v>
      </c>
      <c r="I19" s="128">
        <v>45455</v>
      </c>
      <c r="J19" s="126" t="s">
        <v>70</v>
      </c>
      <c r="K19" s="53" t="s">
        <v>71</v>
      </c>
      <c r="L19" s="54" t="s">
        <v>72</v>
      </c>
      <c r="M19" s="54">
        <v>1</v>
      </c>
      <c r="N19" s="61">
        <v>561168</v>
      </c>
      <c r="O19" s="23">
        <f>N19*M19</f>
        <v>561168</v>
      </c>
      <c r="P19" s="23">
        <f>O19*19%</f>
        <v>106621.92</v>
      </c>
      <c r="Q19" s="23">
        <f>O19+P19</f>
        <v>667789.92000000004</v>
      </c>
      <c r="R19" s="62">
        <v>55074</v>
      </c>
      <c r="S19" s="55">
        <f>R19*M19</f>
        <v>55074</v>
      </c>
      <c r="T19" s="55">
        <f>S19*19%</f>
        <v>10464.06</v>
      </c>
      <c r="U19" s="56">
        <f>S19+T19</f>
        <v>65538.06</v>
      </c>
      <c r="V19" s="57">
        <f>U19+Q19</f>
        <v>733327.98</v>
      </c>
      <c r="W19" s="124">
        <f>SUM(V19:V20)</f>
        <v>952383.17999999993</v>
      </c>
      <c r="X19" s="110" t="s">
        <v>73</v>
      </c>
    </row>
    <row r="20" spans="1:24" ht="25.5" customHeight="1">
      <c r="A20" s="1"/>
      <c r="B20" s="1"/>
      <c r="C20" s="123"/>
      <c r="D20" s="95">
        <v>389486</v>
      </c>
      <c r="E20" s="96" t="s">
        <v>74</v>
      </c>
      <c r="F20" s="121"/>
      <c r="G20" s="119"/>
      <c r="H20" s="131"/>
      <c r="I20" s="129"/>
      <c r="J20" s="127"/>
      <c r="K20" s="80" t="s">
        <v>71</v>
      </c>
      <c r="L20" s="54" t="s">
        <v>75</v>
      </c>
      <c r="M20" s="54">
        <v>1</v>
      </c>
      <c r="N20" s="61"/>
      <c r="O20" s="23">
        <f t="shared" ref="O20:O57" si="0">N20*M20</f>
        <v>0</v>
      </c>
      <c r="P20" s="23">
        <f t="shared" ref="P20:P57" si="1">O20*19%</f>
        <v>0</v>
      </c>
      <c r="Q20" s="23">
        <f t="shared" ref="Q20:Q57" si="2">O20+P20</f>
        <v>0</v>
      </c>
      <c r="R20" s="62">
        <v>184080</v>
      </c>
      <c r="S20" s="55">
        <f t="shared" ref="S20:S57" si="3">R20*M20</f>
        <v>184080</v>
      </c>
      <c r="T20" s="55">
        <f t="shared" ref="T20:T57" si="4">S20*19%</f>
        <v>34975.199999999997</v>
      </c>
      <c r="U20" s="56">
        <f t="shared" ref="U20:U57" si="5">S20+T20</f>
        <v>219055.2</v>
      </c>
      <c r="V20" s="57">
        <f t="shared" ref="V20:V57" si="6">U20+Q20</f>
        <v>219055.2</v>
      </c>
      <c r="W20" s="125"/>
      <c r="X20" s="111"/>
    </row>
    <row r="21" spans="1:24" ht="25.5" customHeight="1">
      <c r="A21" s="1"/>
      <c r="B21" s="1"/>
      <c r="C21" s="208">
        <v>45476</v>
      </c>
      <c r="D21" s="206"/>
      <c r="E21" s="207"/>
      <c r="F21" s="195"/>
      <c r="G21" s="210" t="s">
        <v>69</v>
      </c>
      <c r="H21" s="194">
        <v>388486</v>
      </c>
      <c r="I21" s="193">
        <v>45510</v>
      </c>
      <c r="J21" s="192" t="s">
        <v>76</v>
      </c>
      <c r="K21" s="212" t="s">
        <v>71</v>
      </c>
      <c r="L21" s="79" t="s">
        <v>77</v>
      </c>
      <c r="M21" s="54">
        <v>1</v>
      </c>
      <c r="N21" s="61">
        <v>88095</v>
      </c>
      <c r="O21" s="23">
        <f t="shared" si="0"/>
        <v>88095</v>
      </c>
      <c r="P21" s="23">
        <f t="shared" si="1"/>
        <v>16738.05</v>
      </c>
      <c r="Q21" s="23">
        <f t="shared" si="2"/>
        <v>104833.05</v>
      </c>
      <c r="R21" s="62"/>
      <c r="S21" s="55">
        <f t="shared" si="3"/>
        <v>0</v>
      </c>
      <c r="T21" s="55">
        <f t="shared" si="4"/>
        <v>0</v>
      </c>
      <c r="U21" s="56">
        <f t="shared" si="5"/>
        <v>0</v>
      </c>
      <c r="V21" s="57">
        <f t="shared" si="6"/>
        <v>104833.05</v>
      </c>
      <c r="W21" s="189">
        <f>SUM(V21:V40)</f>
        <v>5210171.05</v>
      </c>
      <c r="X21" s="110" t="s">
        <v>73</v>
      </c>
    </row>
    <row r="22" spans="1:24" ht="25.5" customHeight="1">
      <c r="A22" s="1"/>
      <c r="B22" s="1"/>
      <c r="C22" s="208"/>
      <c r="D22" s="206"/>
      <c r="E22" s="207"/>
      <c r="F22" s="195"/>
      <c r="G22" s="210"/>
      <c r="H22" s="194"/>
      <c r="I22" s="193"/>
      <c r="J22" s="192"/>
      <c r="K22" s="212" t="s">
        <v>71</v>
      </c>
      <c r="L22" s="79" t="s">
        <v>78</v>
      </c>
      <c r="M22" s="54">
        <v>2</v>
      </c>
      <c r="N22" s="61">
        <v>139855</v>
      </c>
      <c r="O22" s="23">
        <f t="shared" si="0"/>
        <v>279710</v>
      </c>
      <c r="P22" s="23">
        <f t="shared" si="1"/>
        <v>53144.9</v>
      </c>
      <c r="Q22" s="23">
        <f t="shared" si="2"/>
        <v>332854.90000000002</v>
      </c>
      <c r="R22" s="62"/>
      <c r="S22" s="55">
        <f t="shared" si="3"/>
        <v>0</v>
      </c>
      <c r="T22" s="55">
        <f t="shared" si="4"/>
        <v>0</v>
      </c>
      <c r="U22" s="56">
        <f t="shared" si="5"/>
        <v>0</v>
      </c>
      <c r="V22" s="57">
        <f t="shared" si="6"/>
        <v>332854.90000000002</v>
      </c>
      <c r="W22" s="190"/>
      <c r="X22" s="191"/>
    </row>
    <row r="23" spans="1:24" ht="25.5" customHeight="1">
      <c r="A23" s="1"/>
      <c r="B23" s="1"/>
      <c r="C23" s="208"/>
      <c r="D23" s="206"/>
      <c r="E23" s="207"/>
      <c r="F23" s="195"/>
      <c r="G23" s="210"/>
      <c r="H23" s="194"/>
      <c r="I23" s="193"/>
      <c r="J23" s="192"/>
      <c r="K23" s="212" t="s">
        <v>71</v>
      </c>
      <c r="L23" s="79" t="s">
        <v>79</v>
      </c>
      <c r="M23" s="54">
        <v>2</v>
      </c>
      <c r="N23" s="61">
        <v>468786</v>
      </c>
      <c r="O23" s="23">
        <f t="shared" si="0"/>
        <v>937572</v>
      </c>
      <c r="P23" s="23">
        <f t="shared" si="1"/>
        <v>178138.68</v>
      </c>
      <c r="Q23" s="23">
        <f t="shared" si="2"/>
        <v>1115710.68</v>
      </c>
      <c r="R23" s="62"/>
      <c r="S23" s="55">
        <f t="shared" si="3"/>
        <v>0</v>
      </c>
      <c r="T23" s="55">
        <f t="shared" si="4"/>
        <v>0</v>
      </c>
      <c r="U23" s="56">
        <f t="shared" si="5"/>
        <v>0</v>
      </c>
      <c r="V23" s="57">
        <f t="shared" si="6"/>
        <v>1115710.68</v>
      </c>
      <c r="W23" s="190"/>
      <c r="X23" s="191"/>
    </row>
    <row r="24" spans="1:24" ht="25.5" customHeight="1">
      <c r="A24" s="1"/>
      <c r="B24" s="1"/>
      <c r="C24" s="208"/>
      <c r="D24" s="206"/>
      <c r="E24" s="207"/>
      <c r="F24" s="195"/>
      <c r="G24" s="210"/>
      <c r="H24" s="194"/>
      <c r="I24" s="193"/>
      <c r="J24" s="192"/>
      <c r="K24" s="212" t="s">
        <v>71</v>
      </c>
      <c r="L24" s="79" t="s">
        <v>80</v>
      </c>
      <c r="M24" s="54">
        <v>1</v>
      </c>
      <c r="N24" s="61">
        <v>76042</v>
      </c>
      <c r="O24" s="23">
        <f t="shared" si="0"/>
        <v>76042</v>
      </c>
      <c r="P24" s="23">
        <f t="shared" si="1"/>
        <v>14447.98</v>
      </c>
      <c r="Q24" s="23">
        <f t="shared" si="2"/>
        <v>90489.98</v>
      </c>
      <c r="R24" s="62"/>
      <c r="S24" s="55">
        <f t="shared" si="3"/>
        <v>0</v>
      </c>
      <c r="T24" s="55">
        <f t="shared" si="4"/>
        <v>0</v>
      </c>
      <c r="U24" s="56">
        <f t="shared" si="5"/>
        <v>0</v>
      </c>
      <c r="V24" s="57">
        <f t="shared" si="6"/>
        <v>90489.98</v>
      </c>
      <c r="W24" s="190"/>
      <c r="X24" s="191"/>
    </row>
    <row r="25" spans="1:24" ht="25.5" customHeight="1">
      <c r="A25" s="1"/>
      <c r="B25" s="1"/>
      <c r="C25" s="208"/>
      <c r="D25" s="206"/>
      <c r="E25" s="207"/>
      <c r="F25" s="195"/>
      <c r="G25" s="210"/>
      <c r="H25" s="194"/>
      <c r="I25" s="193"/>
      <c r="J25" s="192"/>
      <c r="K25" s="212" t="s">
        <v>81</v>
      </c>
      <c r="L25" s="79" t="s">
        <v>82</v>
      </c>
      <c r="M25" s="54">
        <v>1</v>
      </c>
      <c r="N25" s="61">
        <v>284929</v>
      </c>
      <c r="O25" s="23">
        <f t="shared" si="0"/>
        <v>284929</v>
      </c>
      <c r="P25" s="23">
        <f t="shared" si="1"/>
        <v>54136.51</v>
      </c>
      <c r="Q25" s="23">
        <f t="shared" si="2"/>
        <v>339065.51</v>
      </c>
      <c r="R25" s="62">
        <v>208726</v>
      </c>
      <c r="S25" s="55">
        <f t="shared" si="3"/>
        <v>208726</v>
      </c>
      <c r="T25" s="55">
        <f t="shared" si="4"/>
        <v>39657.94</v>
      </c>
      <c r="U25" s="56">
        <f t="shared" si="5"/>
        <v>248383.94</v>
      </c>
      <c r="V25" s="57">
        <f t="shared" si="6"/>
        <v>587449.44999999995</v>
      </c>
      <c r="W25" s="190"/>
      <c r="X25" s="191"/>
    </row>
    <row r="26" spans="1:24" ht="25.5" customHeight="1">
      <c r="A26" s="1"/>
      <c r="B26" s="1"/>
      <c r="C26" s="208"/>
      <c r="D26" s="206"/>
      <c r="E26" s="207"/>
      <c r="F26" s="195"/>
      <c r="G26" s="210"/>
      <c r="H26" s="194"/>
      <c r="I26" s="193"/>
      <c r="J26" s="192"/>
      <c r="K26" s="212" t="s">
        <v>71</v>
      </c>
      <c r="L26" s="79" t="s">
        <v>83</v>
      </c>
      <c r="M26" s="54">
        <v>1</v>
      </c>
      <c r="N26" s="61">
        <v>370164</v>
      </c>
      <c r="O26" s="23">
        <f t="shared" si="0"/>
        <v>370164</v>
      </c>
      <c r="P26" s="23">
        <f t="shared" si="1"/>
        <v>70331.16</v>
      </c>
      <c r="Q26" s="23">
        <f t="shared" si="2"/>
        <v>440495.16000000003</v>
      </c>
      <c r="R26" s="62"/>
      <c r="S26" s="55">
        <f t="shared" si="3"/>
        <v>0</v>
      </c>
      <c r="T26" s="55">
        <f t="shared" si="4"/>
        <v>0</v>
      </c>
      <c r="U26" s="56">
        <f t="shared" si="5"/>
        <v>0</v>
      </c>
      <c r="V26" s="57">
        <f t="shared" si="6"/>
        <v>440495.16000000003</v>
      </c>
      <c r="W26" s="190"/>
      <c r="X26" s="191"/>
    </row>
    <row r="27" spans="1:24" ht="25.5" customHeight="1">
      <c r="A27" s="1"/>
      <c r="B27" s="1"/>
      <c r="C27" s="208"/>
      <c r="D27" s="206"/>
      <c r="E27" s="207"/>
      <c r="F27" s="195"/>
      <c r="G27" s="210"/>
      <c r="H27" s="194"/>
      <c r="I27" s="193"/>
      <c r="J27" s="192"/>
      <c r="K27" s="212" t="s">
        <v>81</v>
      </c>
      <c r="L27" s="79" t="s">
        <v>84</v>
      </c>
      <c r="M27" s="54">
        <v>6</v>
      </c>
      <c r="N27" s="61">
        <v>41137</v>
      </c>
      <c r="O27" s="23">
        <f t="shared" si="0"/>
        <v>246822</v>
      </c>
      <c r="P27" s="23">
        <f t="shared" si="1"/>
        <v>46896.18</v>
      </c>
      <c r="Q27" s="23">
        <f t="shared" si="2"/>
        <v>293718.18</v>
      </c>
      <c r="R27" s="62"/>
      <c r="S27" s="55">
        <f t="shared" si="3"/>
        <v>0</v>
      </c>
      <c r="T27" s="55">
        <f t="shared" si="4"/>
        <v>0</v>
      </c>
      <c r="U27" s="56">
        <f t="shared" si="5"/>
        <v>0</v>
      </c>
      <c r="V27" s="57">
        <f t="shared" si="6"/>
        <v>293718.18</v>
      </c>
      <c r="W27" s="190"/>
      <c r="X27" s="191"/>
    </row>
    <row r="28" spans="1:24" ht="25.5" customHeight="1">
      <c r="A28" s="1"/>
      <c r="B28" s="1"/>
      <c r="C28" s="208"/>
      <c r="D28" s="206"/>
      <c r="E28" s="207"/>
      <c r="F28" s="195"/>
      <c r="G28" s="210"/>
      <c r="H28" s="194"/>
      <c r="I28" s="193"/>
      <c r="J28" s="192"/>
      <c r="K28" s="212" t="s">
        <v>71</v>
      </c>
      <c r="L28" s="79" t="s">
        <v>85</v>
      </c>
      <c r="M28" s="54">
        <v>2</v>
      </c>
      <c r="N28" s="61">
        <v>55000</v>
      </c>
      <c r="O28" s="23">
        <f t="shared" si="0"/>
        <v>110000</v>
      </c>
      <c r="P28" s="23">
        <f t="shared" si="1"/>
        <v>20900</v>
      </c>
      <c r="Q28" s="23">
        <f t="shared" si="2"/>
        <v>130900</v>
      </c>
      <c r="R28" s="62"/>
      <c r="S28" s="55">
        <f t="shared" si="3"/>
        <v>0</v>
      </c>
      <c r="T28" s="55">
        <f t="shared" si="4"/>
        <v>0</v>
      </c>
      <c r="U28" s="56">
        <f t="shared" si="5"/>
        <v>0</v>
      </c>
      <c r="V28" s="57">
        <f t="shared" si="6"/>
        <v>130900</v>
      </c>
      <c r="W28" s="190"/>
      <c r="X28" s="191"/>
    </row>
    <row r="29" spans="1:24" ht="25.5" customHeight="1">
      <c r="A29" s="1"/>
      <c r="B29" s="1"/>
      <c r="C29" s="208"/>
      <c r="D29" s="206"/>
      <c r="E29" s="207"/>
      <c r="F29" s="195"/>
      <c r="G29" s="210"/>
      <c r="H29" s="194"/>
      <c r="I29" s="193"/>
      <c r="J29" s="192"/>
      <c r="K29" s="212" t="s">
        <v>71</v>
      </c>
      <c r="L29" s="79" t="s">
        <v>86</v>
      </c>
      <c r="M29" s="54">
        <v>6</v>
      </c>
      <c r="N29" s="61">
        <v>53000</v>
      </c>
      <c r="O29" s="23">
        <f t="shared" si="0"/>
        <v>318000</v>
      </c>
      <c r="P29" s="23">
        <f t="shared" si="1"/>
        <v>60420</v>
      </c>
      <c r="Q29" s="23">
        <f t="shared" si="2"/>
        <v>378420</v>
      </c>
      <c r="R29" s="62"/>
      <c r="S29" s="55">
        <f t="shared" si="3"/>
        <v>0</v>
      </c>
      <c r="T29" s="55">
        <f t="shared" si="4"/>
        <v>0</v>
      </c>
      <c r="U29" s="56">
        <f t="shared" si="5"/>
        <v>0</v>
      </c>
      <c r="V29" s="57">
        <f t="shared" si="6"/>
        <v>378420</v>
      </c>
      <c r="W29" s="190"/>
      <c r="X29" s="191"/>
    </row>
    <row r="30" spans="1:24" ht="25.5" customHeight="1">
      <c r="A30" s="1"/>
      <c r="B30" s="1"/>
      <c r="C30" s="208"/>
      <c r="D30" s="206"/>
      <c r="E30" s="207"/>
      <c r="F30" s="195"/>
      <c r="G30" s="210"/>
      <c r="H30" s="194"/>
      <c r="I30" s="193"/>
      <c r="J30" s="192"/>
      <c r="K30" s="212" t="s">
        <v>71</v>
      </c>
      <c r="L30" s="79" t="s">
        <v>87</v>
      </c>
      <c r="M30" s="54">
        <v>4</v>
      </c>
      <c r="N30" s="61">
        <v>35000</v>
      </c>
      <c r="O30" s="23">
        <f t="shared" si="0"/>
        <v>140000</v>
      </c>
      <c r="P30" s="23">
        <f t="shared" si="1"/>
        <v>26600</v>
      </c>
      <c r="Q30" s="23">
        <f t="shared" si="2"/>
        <v>166600</v>
      </c>
      <c r="R30" s="62"/>
      <c r="S30" s="55">
        <f t="shared" si="3"/>
        <v>0</v>
      </c>
      <c r="T30" s="55">
        <f t="shared" si="4"/>
        <v>0</v>
      </c>
      <c r="U30" s="56">
        <f t="shared" si="5"/>
        <v>0</v>
      </c>
      <c r="V30" s="57">
        <f t="shared" si="6"/>
        <v>166600</v>
      </c>
      <c r="W30" s="190"/>
      <c r="X30" s="191"/>
    </row>
    <row r="31" spans="1:24" ht="25.5" customHeight="1">
      <c r="A31" s="1"/>
      <c r="B31" s="1"/>
      <c r="C31" s="208"/>
      <c r="D31" s="206"/>
      <c r="E31" s="207"/>
      <c r="F31" s="195"/>
      <c r="G31" s="210"/>
      <c r="H31" s="194"/>
      <c r="I31" s="193"/>
      <c r="J31" s="192"/>
      <c r="K31" s="212" t="s">
        <v>71</v>
      </c>
      <c r="L31" s="79" t="s">
        <v>88</v>
      </c>
      <c r="M31" s="54">
        <v>1</v>
      </c>
      <c r="N31" s="61">
        <v>19294</v>
      </c>
      <c r="O31" s="23">
        <f t="shared" si="0"/>
        <v>19294</v>
      </c>
      <c r="P31" s="23">
        <f t="shared" si="1"/>
        <v>3665.86</v>
      </c>
      <c r="Q31" s="23">
        <f t="shared" si="2"/>
        <v>22959.86</v>
      </c>
      <c r="R31" s="62"/>
      <c r="S31" s="55">
        <f t="shared" si="3"/>
        <v>0</v>
      </c>
      <c r="T31" s="55">
        <f t="shared" si="4"/>
        <v>0</v>
      </c>
      <c r="U31" s="56">
        <f t="shared" si="5"/>
        <v>0</v>
      </c>
      <c r="V31" s="57">
        <f t="shared" si="6"/>
        <v>22959.86</v>
      </c>
      <c r="W31" s="190"/>
      <c r="X31" s="191"/>
    </row>
    <row r="32" spans="1:24" ht="25.5" customHeight="1">
      <c r="A32" s="1"/>
      <c r="B32" s="1"/>
      <c r="C32" s="208"/>
      <c r="D32" s="206"/>
      <c r="E32" s="207"/>
      <c r="F32" s="195"/>
      <c r="G32" s="210"/>
      <c r="H32" s="194"/>
      <c r="I32" s="193"/>
      <c r="J32" s="192"/>
      <c r="K32" s="212" t="s">
        <v>71</v>
      </c>
      <c r="L32" s="79" t="s">
        <v>89</v>
      </c>
      <c r="M32" s="54">
        <v>1</v>
      </c>
      <c r="N32" s="61">
        <v>28182</v>
      </c>
      <c r="O32" s="23">
        <f t="shared" si="0"/>
        <v>28182</v>
      </c>
      <c r="P32" s="23">
        <f t="shared" si="1"/>
        <v>5354.58</v>
      </c>
      <c r="Q32" s="23">
        <f t="shared" si="2"/>
        <v>33536.58</v>
      </c>
      <c r="R32" s="62"/>
      <c r="S32" s="55">
        <f t="shared" si="3"/>
        <v>0</v>
      </c>
      <c r="T32" s="55">
        <f t="shared" si="4"/>
        <v>0</v>
      </c>
      <c r="U32" s="56">
        <f t="shared" si="5"/>
        <v>0</v>
      </c>
      <c r="V32" s="57">
        <f t="shared" si="6"/>
        <v>33536.58</v>
      </c>
      <c r="W32" s="190"/>
      <c r="X32" s="191"/>
    </row>
    <row r="33" spans="1:24" ht="25.5" customHeight="1">
      <c r="A33" s="1"/>
      <c r="B33" s="1"/>
      <c r="C33" s="208"/>
      <c r="D33" s="206"/>
      <c r="E33" s="207"/>
      <c r="F33" s="195"/>
      <c r="G33" s="210"/>
      <c r="H33" s="194"/>
      <c r="I33" s="193"/>
      <c r="J33" s="192"/>
      <c r="K33" s="212" t="s">
        <v>71</v>
      </c>
      <c r="L33" s="79" t="s">
        <v>90</v>
      </c>
      <c r="M33" s="54">
        <v>1</v>
      </c>
      <c r="N33" s="61"/>
      <c r="O33" s="23">
        <f t="shared" si="0"/>
        <v>0</v>
      </c>
      <c r="P33" s="23">
        <f t="shared" si="1"/>
        <v>0</v>
      </c>
      <c r="Q33" s="23">
        <f t="shared" si="2"/>
        <v>0</v>
      </c>
      <c r="R33" s="62">
        <v>309400</v>
      </c>
      <c r="S33" s="55">
        <f t="shared" si="3"/>
        <v>309400</v>
      </c>
      <c r="T33" s="55">
        <f t="shared" si="4"/>
        <v>58786</v>
      </c>
      <c r="U33" s="56">
        <f t="shared" si="5"/>
        <v>368186</v>
      </c>
      <c r="V33" s="57">
        <f t="shared" si="6"/>
        <v>368186</v>
      </c>
      <c r="W33" s="190"/>
      <c r="X33" s="191"/>
    </row>
    <row r="34" spans="1:24" ht="25.5" customHeight="1">
      <c r="A34" s="1"/>
      <c r="B34" s="1"/>
      <c r="C34" s="208"/>
      <c r="D34" s="206"/>
      <c r="E34" s="207"/>
      <c r="F34" s="195"/>
      <c r="G34" s="210"/>
      <c r="H34" s="194"/>
      <c r="I34" s="193"/>
      <c r="J34" s="192"/>
      <c r="K34" s="212" t="s">
        <v>71</v>
      </c>
      <c r="L34" s="79" t="s">
        <v>91</v>
      </c>
      <c r="M34" s="54">
        <v>1</v>
      </c>
      <c r="N34" s="61"/>
      <c r="O34" s="23">
        <f t="shared" si="0"/>
        <v>0</v>
      </c>
      <c r="P34" s="23">
        <f t="shared" si="1"/>
        <v>0</v>
      </c>
      <c r="Q34" s="23">
        <f t="shared" si="2"/>
        <v>0</v>
      </c>
      <c r="R34" s="62">
        <v>127400</v>
      </c>
      <c r="S34" s="55">
        <f t="shared" si="3"/>
        <v>127400</v>
      </c>
      <c r="T34" s="55">
        <f t="shared" si="4"/>
        <v>24206</v>
      </c>
      <c r="U34" s="56">
        <f t="shared" si="5"/>
        <v>151606</v>
      </c>
      <c r="V34" s="57">
        <f t="shared" si="6"/>
        <v>151606</v>
      </c>
      <c r="W34" s="190"/>
      <c r="X34" s="191"/>
    </row>
    <row r="35" spans="1:24" ht="25.5" customHeight="1">
      <c r="A35" s="1"/>
      <c r="B35" s="1"/>
      <c r="C35" s="208"/>
      <c r="D35" s="206"/>
      <c r="E35" s="207"/>
      <c r="F35" s="195"/>
      <c r="G35" s="210"/>
      <c r="H35" s="194"/>
      <c r="I35" s="193"/>
      <c r="J35" s="192"/>
      <c r="K35" s="212" t="s">
        <v>81</v>
      </c>
      <c r="L35" s="79" t="s">
        <v>92</v>
      </c>
      <c r="M35" s="54">
        <v>1</v>
      </c>
      <c r="N35" s="61"/>
      <c r="O35" s="23">
        <f t="shared" si="0"/>
        <v>0</v>
      </c>
      <c r="P35" s="23">
        <f t="shared" si="1"/>
        <v>0</v>
      </c>
      <c r="Q35" s="23">
        <f t="shared" si="2"/>
        <v>0</v>
      </c>
      <c r="R35" s="62">
        <v>75000</v>
      </c>
      <c r="S35" s="55">
        <f t="shared" si="3"/>
        <v>75000</v>
      </c>
      <c r="T35" s="55">
        <f t="shared" si="4"/>
        <v>14250</v>
      </c>
      <c r="U35" s="56">
        <f t="shared" si="5"/>
        <v>89250</v>
      </c>
      <c r="V35" s="57">
        <f t="shared" si="6"/>
        <v>89250</v>
      </c>
      <c r="W35" s="190"/>
      <c r="X35" s="191"/>
    </row>
    <row r="36" spans="1:24" ht="25.5" customHeight="1">
      <c r="A36" s="1"/>
      <c r="B36" s="1"/>
      <c r="C36" s="208"/>
      <c r="D36" s="206"/>
      <c r="E36" s="207"/>
      <c r="F36" s="195"/>
      <c r="G36" s="210"/>
      <c r="H36" s="194"/>
      <c r="I36" s="193"/>
      <c r="J36" s="192"/>
      <c r="K36" s="212" t="s">
        <v>81</v>
      </c>
      <c r="L36" s="79" t="s">
        <v>93</v>
      </c>
      <c r="M36" s="54">
        <v>1</v>
      </c>
      <c r="N36" s="61"/>
      <c r="O36" s="23">
        <f t="shared" si="0"/>
        <v>0</v>
      </c>
      <c r="P36" s="23">
        <f t="shared" si="1"/>
        <v>0</v>
      </c>
      <c r="Q36" s="23">
        <f t="shared" si="2"/>
        <v>0</v>
      </c>
      <c r="R36" s="62">
        <v>42588</v>
      </c>
      <c r="S36" s="55">
        <f t="shared" si="3"/>
        <v>42588</v>
      </c>
      <c r="T36" s="55">
        <f t="shared" si="4"/>
        <v>8091.72</v>
      </c>
      <c r="U36" s="56">
        <f t="shared" si="5"/>
        <v>50679.72</v>
      </c>
      <c r="V36" s="57">
        <f t="shared" si="6"/>
        <v>50679.72</v>
      </c>
      <c r="W36" s="190"/>
      <c r="X36" s="191"/>
    </row>
    <row r="37" spans="1:24" ht="25.5" customHeight="1">
      <c r="A37" s="1"/>
      <c r="B37" s="1"/>
      <c r="C37" s="208"/>
      <c r="D37" s="206"/>
      <c r="E37" s="207"/>
      <c r="F37" s="195"/>
      <c r="G37" s="210"/>
      <c r="H37" s="194"/>
      <c r="I37" s="193"/>
      <c r="J37" s="192"/>
      <c r="K37" s="212" t="s">
        <v>71</v>
      </c>
      <c r="L37" s="79" t="s">
        <v>94</v>
      </c>
      <c r="M37" s="54">
        <v>1</v>
      </c>
      <c r="N37" s="61"/>
      <c r="O37" s="23">
        <f t="shared" si="0"/>
        <v>0</v>
      </c>
      <c r="P37" s="23">
        <f t="shared" si="1"/>
        <v>0</v>
      </c>
      <c r="Q37" s="23">
        <f t="shared" si="2"/>
        <v>0</v>
      </c>
      <c r="R37" s="62">
        <v>254371</v>
      </c>
      <c r="S37" s="55">
        <f t="shared" si="3"/>
        <v>254371</v>
      </c>
      <c r="T37" s="55">
        <f t="shared" si="4"/>
        <v>48330.49</v>
      </c>
      <c r="U37" s="56">
        <f t="shared" si="5"/>
        <v>302701.49</v>
      </c>
      <c r="V37" s="57">
        <f t="shared" si="6"/>
        <v>302701.49</v>
      </c>
      <c r="W37" s="190"/>
      <c r="X37" s="191"/>
    </row>
    <row r="38" spans="1:24" ht="25.5" customHeight="1">
      <c r="A38" s="1"/>
      <c r="B38" s="1"/>
      <c r="C38" s="208"/>
      <c r="D38" s="206"/>
      <c r="E38" s="207"/>
      <c r="F38" s="195"/>
      <c r="G38" s="210"/>
      <c r="H38" s="194"/>
      <c r="I38" s="193"/>
      <c r="J38" s="192"/>
      <c r="K38" s="212" t="s">
        <v>71</v>
      </c>
      <c r="L38" s="79" t="s">
        <v>95</v>
      </c>
      <c r="M38" s="54">
        <v>1</v>
      </c>
      <c r="N38" s="61"/>
      <c r="O38" s="23">
        <f t="shared" si="0"/>
        <v>0</v>
      </c>
      <c r="P38" s="23">
        <f t="shared" si="1"/>
        <v>0</v>
      </c>
      <c r="Q38" s="23">
        <f t="shared" si="2"/>
        <v>0</v>
      </c>
      <c r="R38" s="62">
        <v>182000</v>
      </c>
      <c r="S38" s="55">
        <f t="shared" si="3"/>
        <v>182000</v>
      </c>
      <c r="T38" s="55">
        <f t="shared" si="4"/>
        <v>34580</v>
      </c>
      <c r="U38" s="56">
        <f t="shared" si="5"/>
        <v>216580</v>
      </c>
      <c r="V38" s="57">
        <f t="shared" si="6"/>
        <v>216580</v>
      </c>
      <c r="W38" s="190"/>
      <c r="X38" s="191"/>
    </row>
    <row r="39" spans="1:24" ht="25.5" customHeight="1">
      <c r="A39" s="1"/>
      <c r="B39" s="1"/>
      <c r="C39" s="208"/>
      <c r="D39" s="206"/>
      <c r="E39" s="207"/>
      <c r="F39" s="195"/>
      <c r="G39" s="210"/>
      <c r="H39" s="194"/>
      <c r="I39" s="193"/>
      <c r="J39" s="192"/>
      <c r="K39" s="212" t="s">
        <v>71</v>
      </c>
      <c r="L39" s="79" t="s">
        <v>96</v>
      </c>
      <c r="M39" s="54">
        <v>1</v>
      </c>
      <c r="N39" s="61"/>
      <c r="O39" s="23">
        <f t="shared" si="0"/>
        <v>0</v>
      </c>
      <c r="P39" s="23">
        <f t="shared" si="1"/>
        <v>0</v>
      </c>
      <c r="Q39" s="23">
        <f t="shared" si="2"/>
        <v>0</v>
      </c>
      <c r="R39" s="62">
        <v>185000</v>
      </c>
      <c r="S39" s="55">
        <f t="shared" si="3"/>
        <v>185000</v>
      </c>
      <c r="T39" s="55">
        <f t="shared" si="4"/>
        <v>35150</v>
      </c>
      <c r="U39" s="56">
        <f t="shared" si="5"/>
        <v>220150</v>
      </c>
      <c r="V39" s="57">
        <f t="shared" si="6"/>
        <v>220150</v>
      </c>
      <c r="W39" s="190"/>
      <c r="X39" s="191"/>
    </row>
    <row r="40" spans="1:24" ht="25.5" customHeight="1">
      <c r="A40" s="1"/>
      <c r="B40" s="1"/>
      <c r="C40" s="209"/>
      <c r="D40" s="206"/>
      <c r="E40" s="207"/>
      <c r="F40" s="195"/>
      <c r="G40" s="211"/>
      <c r="H40" s="194"/>
      <c r="I40" s="193"/>
      <c r="J40" s="192"/>
      <c r="K40" s="213" t="s">
        <v>81</v>
      </c>
      <c r="L40" s="79" t="s">
        <v>97</v>
      </c>
      <c r="M40" s="54">
        <v>1</v>
      </c>
      <c r="N40" s="61"/>
      <c r="O40" s="23">
        <f t="shared" si="0"/>
        <v>0</v>
      </c>
      <c r="P40" s="23">
        <f t="shared" si="1"/>
        <v>0</v>
      </c>
      <c r="Q40" s="23">
        <f t="shared" si="2"/>
        <v>0</v>
      </c>
      <c r="R40" s="62">
        <v>95000</v>
      </c>
      <c r="S40" s="55">
        <f t="shared" si="3"/>
        <v>95000</v>
      </c>
      <c r="T40" s="55">
        <f t="shared" si="4"/>
        <v>18050</v>
      </c>
      <c r="U40" s="56">
        <f t="shared" si="5"/>
        <v>113050</v>
      </c>
      <c r="V40" s="57">
        <f t="shared" si="6"/>
        <v>113050</v>
      </c>
      <c r="W40" s="109"/>
      <c r="X40" s="111"/>
    </row>
    <row r="41" spans="1:24" ht="25.5" customHeight="1">
      <c r="A41" s="1"/>
      <c r="B41" s="1"/>
      <c r="C41" s="106">
        <v>45498</v>
      </c>
      <c r="D41" s="204">
        <v>370617</v>
      </c>
      <c r="E41" s="203" t="s">
        <v>98</v>
      </c>
      <c r="F41" s="202"/>
      <c r="G41" s="199" t="s">
        <v>69</v>
      </c>
      <c r="H41" s="214"/>
      <c r="I41" s="115">
        <v>45512</v>
      </c>
      <c r="J41" s="196" t="s">
        <v>99</v>
      </c>
      <c r="K41" s="90" t="s">
        <v>81</v>
      </c>
      <c r="L41" s="79" t="s">
        <v>100</v>
      </c>
      <c r="M41" s="54">
        <v>6</v>
      </c>
      <c r="N41" s="61">
        <v>26535</v>
      </c>
      <c r="O41" s="23">
        <f t="shared" si="0"/>
        <v>159210</v>
      </c>
      <c r="P41" s="23">
        <f t="shared" si="1"/>
        <v>30249.9</v>
      </c>
      <c r="Q41" s="23">
        <f t="shared" si="2"/>
        <v>189459.9</v>
      </c>
      <c r="R41" s="62"/>
      <c r="S41" s="55">
        <f t="shared" si="3"/>
        <v>0</v>
      </c>
      <c r="T41" s="55">
        <f t="shared" si="4"/>
        <v>0</v>
      </c>
      <c r="U41" s="56">
        <f t="shared" si="5"/>
        <v>0</v>
      </c>
      <c r="V41" s="57">
        <f t="shared" si="6"/>
        <v>189459.9</v>
      </c>
      <c r="W41" s="108">
        <f>SUM(V41:V45)</f>
        <v>513175.6</v>
      </c>
      <c r="X41" s="110" t="s">
        <v>73</v>
      </c>
    </row>
    <row r="42" spans="1:24" ht="25.5" customHeight="1">
      <c r="A42" s="1"/>
      <c r="B42" s="1"/>
      <c r="C42" s="205"/>
      <c r="D42" s="204"/>
      <c r="E42" s="203"/>
      <c r="F42" s="202"/>
      <c r="G42" s="200"/>
      <c r="H42" s="198"/>
      <c r="I42" s="193"/>
      <c r="J42" s="196"/>
      <c r="K42" s="90" t="s">
        <v>81</v>
      </c>
      <c r="L42" s="79" t="s">
        <v>101</v>
      </c>
      <c r="M42" s="54">
        <v>1</v>
      </c>
      <c r="N42" s="61">
        <v>38291</v>
      </c>
      <c r="O42" s="23">
        <f t="shared" si="0"/>
        <v>38291</v>
      </c>
      <c r="P42" s="23">
        <f t="shared" si="1"/>
        <v>7275.29</v>
      </c>
      <c r="Q42" s="23">
        <f t="shared" si="2"/>
        <v>45566.29</v>
      </c>
      <c r="R42" s="62"/>
      <c r="S42" s="55">
        <f t="shared" si="3"/>
        <v>0</v>
      </c>
      <c r="T42" s="55">
        <f t="shared" si="4"/>
        <v>0</v>
      </c>
      <c r="U42" s="56">
        <f t="shared" si="5"/>
        <v>0</v>
      </c>
      <c r="V42" s="57">
        <f t="shared" si="6"/>
        <v>45566.29</v>
      </c>
      <c r="W42" s="190"/>
      <c r="X42" s="191"/>
    </row>
    <row r="43" spans="1:24" ht="25.5" customHeight="1">
      <c r="A43" s="1"/>
      <c r="B43" s="1"/>
      <c r="C43" s="205"/>
      <c r="D43" s="204"/>
      <c r="E43" s="203"/>
      <c r="F43" s="202"/>
      <c r="G43" s="200"/>
      <c r="H43" s="198"/>
      <c r="I43" s="193"/>
      <c r="J43" s="196"/>
      <c r="K43" s="90" t="s">
        <v>81</v>
      </c>
      <c r="L43" s="79" t="s">
        <v>102</v>
      </c>
      <c r="M43" s="54">
        <v>1</v>
      </c>
      <c r="N43" s="61">
        <v>91810</v>
      </c>
      <c r="O43" s="23">
        <f t="shared" si="0"/>
        <v>91810</v>
      </c>
      <c r="P43" s="23">
        <f t="shared" si="1"/>
        <v>17443.900000000001</v>
      </c>
      <c r="Q43" s="23">
        <f t="shared" si="2"/>
        <v>109253.9</v>
      </c>
      <c r="R43" s="62"/>
      <c r="S43" s="55">
        <f t="shared" si="3"/>
        <v>0</v>
      </c>
      <c r="T43" s="55">
        <f t="shared" si="4"/>
        <v>0</v>
      </c>
      <c r="U43" s="56">
        <f t="shared" si="5"/>
        <v>0</v>
      </c>
      <c r="V43" s="57">
        <f t="shared" si="6"/>
        <v>109253.9</v>
      </c>
      <c r="W43" s="190"/>
      <c r="X43" s="191"/>
    </row>
    <row r="44" spans="1:24" ht="25.5" customHeight="1">
      <c r="A44" s="1"/>
      <c r="B44" s="1"/>
      <c r="C44" s="205"/>
      <c r="D44" s="204"/>
      <c r="E44" s="203"/>
      <c r="F44" s="202"/>
      <c r="G44" s="200"/>
      <c r="H44" s="198"/>
      <c r="I44" s="193"/>
      <c r="J44" s="196"/>
      <c r="K44" s="90" t="s">
        <v>81</v>
      </c>
      <c r="L44" s="79" t="s">
        <v>103</v>
      </c>
      <c r="M44" s="54">
        <v>1</v>
      </c>
      <c r="N44" s="61"/>
      <c r="O44" s="23">
        <f t="shared" si="0"/>
        <v>0</v>
      </c>
      <c r="P44" s="23">
        <f t="shared" si="1"/>
        <v>0</v>
      </c>
      <c r="Q44" s="23">
        <f t="shared" si="2"/>
        <v>0</v>
      </c>
      <c r="R44" s="62">
        <v>79345</v>
      </c>
      <c r="S44" s="55">
        <f t="shared" si="3"/>
        <v>79345</v>
      </c>
      <c r="T44" s="55">
        <f t="shared" si="4"/>
        <v>15075.55</v>
      </c>
      <c r="U44" s="56">
        <f t="shared" si="5"/>
        <v>94420.55</v>
      </c>
      <c r="V44" s="57">
        <f t="shared" si="6"/>
        <v>94420.55</v>
      </c>
      <c r="W44" s="190"/>
      <c r="X44" s="191"/>
    </row>
    <row r="45" spans="1:24" ht="25.5" customHeight="1">
      <c r="A45" s="1"/>
      <c r="B45" s="1"/>
      <c r="C45" s="107"/>
      <c r="D45" s="105"/>
      <c r="E45" s="103"/>
      <c r="F45" s="101"/>
      <c r="G45" s="201"/>
      <c r="H45" s="198"/>
      <c r="I45" s="193"/>
      <c r="J45" s="197"/>
      <c r="K45" s="90" t="s">
        <v>81</v>
      </c>
      <c r="L45" s="79" t="s">
        <v>104</v>
      </c>
      <c r="M45" s="54">
        <v>2</v>
      </c>
      <c r="N45" s="61"/>
      <c r="O45" s="23">
        <f t="shared" si="0"/>
        <v>0</v>
      </c>
      <c r="P45" s="23">
        <f t="shared" si="1"/>
        <v>0</v>
      </c>
      <c r="Q45" s="23">
        <f t="shared" si="2"/>
        <v>0</v>
      </c>
      <c r="R45" s="62">
        <v>31292</v>
      </c>
      <c r="S45" s="55">
        <f t="shared" si="3"/>
        <v>62584</v>
      </c>
      <c r="T45" s="55">
        <f t="shared" si="4"/>
        <v>11890.960000000001</v>
      </c>
      <c r="U45" s="56">
        <f t="shared" si="5"/>
        <v>74474.960000000006</v>
      </c>
      <c r="V45" s="57">
        <f t="shared" si="6"/>
        <v>74474.960000000006</v>
      </c>
      <c r="W45" s="109"/>
      <c r="X45" s="111"/>
    </row>
    <row r="46" spans="1:24" ht="25.5" customHeight="1">
      <c r="A46" s="1"/>
      <c r="B46" s="1"/>
      <c r="C46" s="106">
        <v>45520</v>
      </c>
      <c r="D46" s="104">
        <v>372193</v>
      </c>
      <c r="E46" s="102" t="s">
        <v>105</v>
      </c>
      <c r="F46" s="100"/>
      <c r="G46" s="98" t="s">
        <v>69</v>
      </c>
      <c r="H46" s="116">
        <v>372193</v>
      </c>
      <c r="I46" s="114">
        <v>45540</v>
      </c>
      <c r="J46" s="112" t="s">
        <v>106</v>
      </c>
      <c r="K46" s="90" t="s">
        <v>71</v>
      </c>
      <c r="L46" s="79" t="s">
        <v>107</v>
      </c>
      <c r="M46" s="54">
        <v>4</v>
      </c>
      <c r="N46" s="61">
        <v>76042</v>
      </c>
      <c r="O46" s="23">
        <f t="shared" si="0"/>
        <v>304168</v>
      </c>
      <c r="P46" s="23">
        <f t="shared" si="1"/>
        <v>57791.92</v>
      </c>
      <c r="Q46" s="23">
        <f t="shared" si="2"/>
        <v>361959.92</v>
      </c>
      <c r="R46" s="62"/>
      <c r="S46" s="55">
        <f t="shared" si="3"/>
        <v>0</v>
      </c>
      <c r="T46" s="55">
        <f t="shared" si="4"/>
        <v>0</v>
      </c>
      <c r="U46" s="56">
        <f t="shared" si="5"/>
        <v>0</v>
      </c>
      <c r="V46" s="57">
        <f t="shared" si="6"/>
        <v>361959.92</v>
      </c>
      <c r="W46" s="108">
        <f>SUM(V46:V47)</f>
        <v>637309.26</v>
      </c>
      <c r="X46" s="110" t="s">
        <v>73</v>
      </c>
    </row>
    <row r="47" spans="1:24" ht="25.5" customHeight="1">
      <c r="A47" s="1"/>
      <c r="B47" s="1"/>
      <c r="C47" s="107"/>
      <c r="D47" s="105"/>
      <c r="E47" s="103"/>
      <c r="F47" s="101"/>
      <c r="G47" s="99"/>
      <c r="H47" s="117"/>
      <c r="I47" s="115"/>
      <c r="J47" s="113"/>
      <c r="K47" s="90" t="s">
        <v>71</v>
      </c>
      <c r="L47" s="79" t="s">
        <v>108</v>
      </c>
      <c r="M47" s="54">
        <v>1</v>
      </c>
      <c r="N47" s="61"/>
      <c r="O47" s="23">
        <f t="shared" si="0"/>
        <v>0</v>
      </c>
      <c r="P47" s="23">
        <f t="shared" si="1"/>
        <v>0</v>
      </c>
      <c r="Q47" s="23">
        <f t="shared" si="2"/>
        <v>0</v>
      </c>
      <c r="R47" s="62">
        <v>231386</v>
      </c>
      <c r="S47" s="55">
        <f t="shared" si="3"/>
        <v>231386</v>
      </c>
      <c r="T47" s="55">
        <f t="shared" si="4"/>
        <v>43963.340000000004</v>
      </c>
      <c r="U47" s="56">
        <f t="shared" si="5"/>
        <v>275349.34000000003</v>
      </c>
      <c r="V47" s="57">
        <f t="shared" si="6"/>
        <v>275349.34000000003</v>
      </c>
      <c r="W47" s="109"/>
      <c r="X47" s="111"/>
    </row>
    <row r="48" spans="1:24" ht="25.5" customHeight="1">
      <c r="A48" s="1"/>
      <c r="B48" s="1"/>
      <c r="C48" s="87"/>
      <c r="D48" s="76"/>
      <c r="E48" s="88"/>
      <c r="F48" s="77"/>
      <c r="G48" s="78"/>
      <c r="H48" s="89"/>
      <c r="I48" s="93"/>
      <c r="J48" s="97"/>
      <c r="K48" s="90"/>
      <c r="L48" s="79"/>
      <c r="M48" s="54"/>
      <c r="N48" s="61"/>
      <c r="O48" s="23">
        <f t="shared" si="0"/>
        <v>0</v>
      </c>
      <c r="P48" s="23">
        <f t="shared" si="1"/>
        <v>0</v>
      </c>
      <c r="Q48" s="23">
        <f t="shared" si="2"/>
        <v>0</v>
      </c>
      <c r="R48" s="62"/>
      <c r="S48" s="55">
        <f t="shared" si="3"/>
        <v>0</v>
      </c>
      <c r="T48" s="55">
        <f t="shared" si="4"/>
        <v>0</v>
      </c>
      <c r="U48" s="56">
        <f t="shared" si="5"/>
        <v>0</v>
      </c>
      <c r="V48" s="57">
        <f t="shared" si="6"/>
        <v>0</v>
      </c>
      <c r="W48" s="68"/>
      <c r="X48" s="63"/>
    </row>
    <row r="49" spans="1:25" ht="25.5" customHeight="1">
      <c r="A49" s="1"/>
      <c r="B49" s="1"/>
      <c r="C49" s="87"/>
      <c r="D49" s="76"/>
      <c r="E49" s="88"/>
      <c r="F49" s="77"/>
      <c r="G49" s="78"/>
      <c r="H49" s="89"/>
      <c r="I49" s="93"/>
      <c r="J49" s="97"/>
      <c r="K49" s="90"/>
      <c r="L49" s="79"/>
      <c r="M49" s="54"/>
      <c r="N49" s="61"/>
      <c r="O49" s="23">
        <f t="shared" si="0"/>
        <v>0</v>
      </c>
      <c r="P49" s="23">
        <f t="shared" si="1"/>
        <v>0</v>
      </c>
      <c r="Q49" s="23">
        <f t="shared" si="2"/>
        <v>0</v>
      </c>
      <c r="R49" s="62"/>
      <c r="S49" s="55">
        <f t="shared" si="3"/>
        <v>0</v>
      </c>
      <c r="T49" s="55">
        <f t="shared" si="4"/>
        <v>0</v>
      </c>
      <c r="U49" s="56">
        <f t="shared" si="5"/>
        <v>0</v>
      </c>
      <c r="V49" s="57">
        <f t="shared" si="6"/>
        <v>0</v>
      </c>
      <c r="W49" s="68"/>
      <c r="X49" s="63"/>
    </row>
    <row r="50" spans="1:25" ht="25.5" customHeight="1">
      <c r="A50" s="1"/>
      <c r="B50" s="1"/>
      <c r="C50" s="87"/>
      <c r="D50" s="76"/>
      <c r="E50" s="88"/>
      <c r="F50" s="77"/>
      <c r="G50" s="78"/>
      <c r="H50" s="89"/>
      <c r="I50" s="93"/>
      <c r="J50" s="97"/>
      <c r="K50" s="90"/>
      <c r="L50" s="79"/>
      <c r="M50" s="54"/>
      <c r="N50" s="61"/>
      <c r="O50" s="23">
        <f t="shared" si="0"/>
        <v>0</v>
      </c>
      <c r="P50" s="23">
        <f t="shared" si="1"/>
        <v>0</v>
      </c>
      <c r="Q50" s="23">
        <f t="shared" si="2"/>
        <v>0</v>
      </c>
      <c r="R50" s="62"/>
      <c r="S50" s="55">
        <f t="shared" si="3"/>
        <v>0</v>
      </c>
      <c r="T50" s="55">
        <f t="shared" si="4"/>
        <v>0</v>
      </c>
      <c r="U50" s="56">
        <f t="shared" si="5"/>
        <v>0</v>
      </c>
      <c r="V50" s="57">
        <f t="shared" si="6"/>
        <v>0</v>
      </c>
      <c r="W50" s="68"/>
      <c r="X50" s="63"/>
    </row>
    <row r="51" spans="1:25" ht="25.5" customHeight="1">
      <c r="A51" s="1"/>
      <c r="B51" s="1"/>
      <c r="C51" s="87"/>
      <c r="D51" s="76"/>
      <c r="E51" s="88"/>
      <c r="F51" s="77"/>
      <c r="G51" s="78"/>
      <c r="H51" s="89"/>
      <c r="I51" s="93"/>
      <c r="J51" s="97"/>
      <c r="K51" s="90"/>
      <c r="L51" s="79"/>
      <c r="M51" s="54"/>
      <c r="N51" s="61"/>
      <c r="O51" s="23">
        <f t="shared" si="0"/>
        <v>0</v>
      </c>
      <c r="P51" s="23">
        <f t="shared" si="1"/>
        <v>0</v>
      </c>
      <c r="Q51" s="23">
        <f t="shared" si="2"/>
        <v>0</v>
      </c>
      <c r="R51" s="62"/>
      <c r="S51" s="55">
        <f t="shared" si="3"/>
        <v>0</v>
      </c>
      <c r="T51" s="55">
        <f t="shared" si="4"/>
        <v>0</v>
      </c>
      <c r="U51" s="56">
        <f t="shared" si="5"/>
        <v>0</v>
      </c>
      <c r="V51" s="57">
        <f t="shared" si="6"/>
        <v>0</v>
      </c>
      <c r="W51" s="68"/>
      <c r="X51" s="63"/>
    </row>
    <row r="52" spans="1:25" ht="25.5" customHeight="1">
      <c r="A52" s="1"/>
      <c r="B52" s="1"/>
      <c r="C52" s="87"/>
      <c r="D52" s="76"/>
      <c r="E52" s="88"/>
      <c r="F52" s="77"/>
      <c r="G52" s="78"/>
      <c r="H52" s="89"/>
      <c r="I52" s="93"/>
      <c r="J52" s="97"/>
      <c r="K52" s="90"/>
      <c r="L52" s="79"/>
      <c r="M52" s="54"/>
      <c r="N52" s="61"/>
      <c r="O52" s="23">
        <f t="shared" si="0"/>
        <v>0</v>
      </c>
      <c r="P52" s="23">
        <f t="shared" si="1"/>
        <v>0</v>
      </c>
      <c r="Q52" s="23">
        <f t="shared" si="2"/>
        <v>0</v>
      </c>
      <c r="R52" s="62"/>
      <c r="S52" s="55">
        <f t="shared" si="3"/>
        <v>0</v>
      </c>
      <c r="T52" s="55">
        <f t="shared" si="4"/>
        <v>0</v>
      </c>
      <c r="U52" s="56">
        <f t="shared" si="5"/>
        <v>0</v>
      </c>
      <c r="V52" s="57">
        <f t="shared" si="6"/>
        <v>0</v>
      </c>
      <c r="W52" s="68"/>
      <c r="X52" s="63"/>
    </row>
    <row r="53" spans="1:25" ht="25.5" customHeight="1">
      <c r="A53" s="1"/>
      <c r="B53" s="1"/>
      <c r="C53" s="91"/>
      <c r="D53" s="76"/>
      <c r="E53" s="92"/>
      <c r="F53" s="77"/>
      <c r="G53" s="78"/>
      <c r="H53" s="69"/>
      <c r="I53" s="94"/>
      <c r="J53" s="85"/>
      <c r="K53" s="86"/>
      <c r="L53" s="54"/>
      <c r="M53" s="54"/>
      <c r="N53" s="61"/>
      <c r="O53" s="23">
        <f t="shared" si="0"/>
        <v>0</v>
      </c>
      <c r="P53" s="23">
        <f t="shared" si="1"/>
        <v>0</v>
      </c>
      <c r="Q53" s="23">
        <f t="shared" si="2"/>
        <v>0</v>
      </c>
      <c r="R53" s="62"/>
      <c r="S53" s="55">
        <f t="shared" si="3"/>
        <v>0</v>
      </c>
      <c r="T53" s="55">
        <f t="shared" si="4"/>
        <v>0</v>
      </c>
      <c r="U53" s="56">
        <f t="shared" si="5"/>
        <v>0</v>
      </c>
      <c r="V53" s="57">
        <f t="shared" si="6"/>
        <v>0</v>
      </c>
      <c r="W53" s="68"/>
      <c r="X53" s="63"/>
    </row>
    <row r="54" spans="1:25" ht="25.5" customHeight="1">
      <c r="A54" s="1"/>
      <c r="B54" s="1"/>
      <c r="C54" s="81"/>
      <c r="D54" s="65"/>
      <c r="E54" s="82"/>
      <c r="F54" s="64"/>
      <c r="G54" s="83"/>
      <c r="H54" s="84"/>
      <c r="I54" s="60"/>
      <c r="J54" s="70"/>
      <c r="K54" s="72"/>
      <c r="L54" s="54"/>
      <c r="M54" s="54"/>
      <c r="N54" s="61"/>
      <c r="O54" s="23">
        <f t="shared" si="0"/>
        <v>0</v>
      </c>
      <c r="P54" s="23">
        <f t="shared" si="1"/>
        <v>0</v>
      </c>
      <c r="Q54" s="23">
        <f t="shared" si="2"/>
        <v>0</v>
      </c>
      <c r="R54" s="62"/>
      <c r="S54" s="55">
        <f t="shared" si="3"/>
        <v>0</v>
      </c>
      <c r="T54" s="55">
        <f t="shared" si="4"/>
        <v>0</v>
      </c>
      <c r="U54" s="56">
        <f t="shared" si="5"/>
        <v>0</v>
      </c>
      <c r="V54" s="57">
        <f t="shared" si="6"/>
        <v>0</v>
      </c>
      <c r="W54" s="68"/>
      <c r="X54" s="63"/>
    </row>
    <row r="55" spans="1:25" ht="25.5" customHeight="1">
      <c r="A55" s="1"/>
      <c r="B55" s="1"/>
      <c r="C55" s="24"/>
      <c r="D55" s="8"/>
      <c r="E55" s="51"/>
      <c r="F55" s="52"/>
      <c r="G55" s="71"/>
      <c r="H55" s="69"/>
      <c r="I55" s="60"/>
      <c r="J55" s="70"/>
      <c r="K55" s="72"/>
      <c r="L55" s="54"/>
      <c r="M55" s="54"/>
      <c r="N55" s="61"/>
      <c r="O55" s="23">
        <f t="shared" si="0"/>
        <v>0</v>
      </c>
      <c r="P55" s="23">
        <f t="shared" si="1"/>
        <v>0</v>
      </c>
      <c r="Q55" s="23">
        <f t="shared" si="2"/>
        <v>0</v>
      </c>
      <c r="R55" s="62"/>
      <c r="S55" s="55">
        <f t="shared" si="3"/>
        <v>0</v>
      </c>
      <c r="T55" s="55">
        <f t="shared" si="4"/>
        <v>0</v>
      </c>
      <c r="U55" s="56">
        <f t="shared" si="5"/>
        <v>0</v>
      </c>
      <c r="V55" s="57">
        <f t="shared" si="6"/>
        <v>0</v>
      </c>
      <c r="W55" s="68"/>
      <c r="X55" s="63"/>
    </row>
    <row r="56" spans="1:25" ht="25.5" customHeight="1">
      <c r="A56" s="1"/>
      <c r="B56" s="1"/>
      <c r="C56" s="24"/>
      <c r="D56" s="8"/>
      <c r="E56" s="51"/>
      <c r="F56" s="52"/>
      <c r="G56" s="71"/>
      <c r="H56" s="69"/>
      <c r="I56" s="60"/>
      <c r="J56" s="70"/>
      <c r="K56" s="72"/>
      <c r="L56" s="54"/>
      <c r="M56" s="54"/>
      <c r="N56" s="61"/>
      <c r="O56" s="23">
        <f t="shared" si="0"/>
        <v>0</v>
      </c>
      <c r="P56" s="23">
        <f t="shared" si="1"/>
        <v>0</v>
      </c>
      <c r="Q56" s="23">
        <f t="shared" si="2"/>
        <v>0</v>
      </c>
      <c r="R56" s="62"/>
      <c r="S56" s="55">
        <f t="shared" si="3"/>
        <v>0</v>
      </c>
      <c r="T56" s="55">
        <f t="shared" si="4"/>
        <v>0</v>
      </c>
      <c r="U56" s="56">
        <f t="shared" si="5"/>
        <v>0</v>
      </c>
      <c r="V56" s="57">
        <f t="shared" si="6"/>
        <v>0</v>
      </c>
      <c r="W56" s="68"/>
      <c r="X56" s="63"/>
    </row>
    <row r="57" spans="1:25" s="2" customFormat="1" ht="25.5" customHeight="1">
      <c r="A57" s="1"/>
      <c r="B57" s="1"/>
      <c r="C57" s="24"/>
      <c r="D57" s="8"/>
      <c r="E57" s="51"/>
      <c r="F57" s="52"/>
      <c r="G57" s="22"/>
      <c r="H57" s="73"/>
      <c r="I57" s="74"/>
      <c r="J57" s="75"/>
      <c r="K57" s="53"/>
      <c r="L57" s="54"/>
      <c r="M57" s="54"/>
      <c r="N57" s="61"/>
      <c r="O57" s="23">
        <f t="shared" si="0"/>
        <v>0</v>
      </c>
      <c r="P57" s="23">
        <f t="shared" si="1"/>
        <v>0</v>
      </c>
      <c r="Q57" s="23">
        <f t="shared" si="2"/>
        <v>0</v>
      </c>
      <c r="R57" s="62"/>
      <c r="S57" s="55">
        <f t="shared" si="3"/>
        <v>0</v>
      </c>
      <c r="T57" s="55">
        <f t="shared" si="4"/>
        <v>0</v>
      </c>
      <c r="U57" s="56">
        <f t="shared" si="5"/>
        <v>0</v>
      </c>
      <c r="V57" s="57">
        <f t="shared" si="6"/>
        <v>0</v>
      </c>
      <c r="W57" s="59"/>
      <c r="X57" s="58"/>
      <c r="Y57"/>
    </row>
    <row r="58" spans="1:25">
      <c r="C58" s="132" t="s">
        <v>109</v>
      </c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</row>
  </sheetData>
  <mergeCells count="85">
    <mergeCell ref="G21:G40"/>
    <mergeCell ref="F21:F40"/>
    <mergeCell ref="C21:C40"/>
    <mergeCell ref="W41:W45"/>
    <mergeCell ref="X41:X45"/>
    <mergeCell ref="J41:J45"/>
    <mergeCell ref="I41:I45"/>
    <mergeCell ref="H41:H45"/>
    <mergeCell ref="G41:G45"/>
    <mergeCell ref="F41:F45"/>
    <mergeCell ref="E41:E45"/>
    <mergeCell ref="D41:D45"/>
    <mergeCell ref="C41:C45"/>
    <mergeCell ref="D21:D40"/>
    <mergeCell ref="E21:E40"/>
    <mergeCell ref="W21:W40"/>
    <mergeCell ref="X21:X40"/>
    <mergeCell ref="J21:J40"/>
    <mergeCell ref="I21:I40"/>
    <mergeCell ref="H21:H40"/>
    <mergeCell ref="I14:J14"/>
    <mergeCell ref="Q14:S14"/>
    <mergeCell ref="T14:V14"/>
    <mergeCell ref="C17:V17"/>
    <mergeCell ref="I15:J15"/>
    <mergeCell ref="Q15:S15"/>
    <mergeCell ref="T15:V15"/>
    <mergeCell ref="I16:J16"/>
    <mergeCell ref="Q16:S16"/>
    <mergeCell ref="T16:V16"/>
    <mergeCell ref="I12:J12"/>
    <mergeCell ref="Q12:S12"/>
    <mergeCell ref="T12:V12"/>
    <mergeCell ref="I13:J13"/>
    <mergeCell ref="Q13:S13"/>
    <mergeCell ref="T13:V13"/>
    <mergeCell ref="C9:H9"/>
    <mergeCell ref="I9:O9"/>
    <mergeCell ref="I11:J11"/>
    <mergeCell ref="Q11:S11"/>
    <mergeCell ref="T11:V11"/>
    <mergeCell ref="J8:K8"/>
    <mergeCell ref="N8:O8"/>
    <mergeCell ref="P8:Q8"/>
    <mergeCell ref="R8:S8"/>
    <mergeCell ref="U8:V8"/>
    <mergeCell ref="C1:E4"/>
    <mergeCell ref="F1:S4"/>
    <mergeCell ref="T1:V1"/>
    <mergeCell ref="T2:U2"/>
    <mergeCell ref="T3:V4"/>
    <mergeCell ref="C58:W58"/>
    <mergeCell ref="C5:V5"/>
    <mergeCell ref="C6:V6"/>
    <mergeCell ref="F7:G7"/>
    <mergeCell ref="H7:I7"/>
    <mergeCell ref="J7:K7"/>
    <mergeCell ref="N7:O7"/>
    <mergeCell ref="P7:Q7"/>
    <mergeCell ref="R7:S7"/>
    <mergeCell ref="U7:V7"/>
    <mergeCell ref="P9:V9"/>
    <mergeCell ref="I10:J10"/>
    <mergeCell ref="Q10:S10"/>
    <mergeCell ref="T10:V10"/>
    <mergeCell ref="F8:G8"/>
    <mergeCell ref="H8:I8"/>
    <mergeCell ref="G19:G20"/>
    <mergeCell ref="F19:F20"/>
    <mergeCell ref="C19:C20"/>
    <mergeCell ref="W19:W20"/>
    <mergeCell ref="X19:X20"/>
    <mergeCell ref="J19:J20"/>
    <mergeCell ref="I19:I20"/>
    <mergeCell ref="H19:H20"/>
    <mergeCell ref="W46:W47"/>
    <mergeCell ref="X46:X47"/>
    <mergeCell ref="J46:J47"/>
    <mergeCell ref="I46:I47"/>
    <mergeCell ref="H46:H47"/>
    <mergeCell ref="G46:G47"/>
    <mergeCell ref="F46:F47"/>
    <mergeCell ref="E46:E47"/>
    <mergeCell ref="D46:D47"/>
    <mergeCell ref="C46:C47"/>
  </mergeCells>
  <hyperlinks>
    <hyperlink ref="X19:X20" r:id="rId1" display=" SOPORTE " xr:uid="{3A6E9258-0021-4EA0-85B1-162150211245}"/>
    <hyperlink ref="X21:X40" r:id="rId2" display=" SOPORTE " xr:uid="{D13027CB-08B8-46F2-B977-21D27684C745}"/>
    <hyperlink ref="X41:X45" r:id="rId3" display=" SOPORTE " xr:uid="{F315F7BE-DED0-42DC-B56C-73A163E5C95A}"/>
    <hyperlink ref="X46:X47" r:id="rId4" display=" SOPORTE " xr:uid="{50617C7C-A590-44EE-B3BD-EAE8C6775003}"/>
  </hyperlinks>
  <pageMargins left="0.7" right="0.7" top="0.75" bottom="0.75" header="0.3" footer="0.3"/>
  <pageSetup orientation="portrait" horizontalDpi="4294967294" verticalDpi="4294967294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</dc:creator>
  <cp:keywords/>
  <dc:description/>
  <cp:lastModifiedBy>Daniela Valdes Torres</cp:lastModifiedBy>
  <cp:revision/>
  <dcterms:created xsi:type="dcterms:W3CDTF">2022-09-21T19:22:10Z</dcterms:created>
  <dcterms:modified xsi:type="dcterms:W3CDTF">2024-09-20T20:19:49Z</dcterms:modified>
  <cp:category/>
  <cp:contentStatus/>
</cp:coreProperties>
</file>