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817" documentId="11_BE8B3CA924D035F49546F4C07D2B2F57AF4AB627" xr6:coauthVersionLast="47" xr6:coauthVersionMax="47" xr10:uidLastSave="{C401C789-1521-4C65-AD7E-B52352D2EAFF}"/>
  <bookViews>
    <workbookView xWindow="0" yWindow="0" windowWidth="20430" windowHeight="6855" xr2:uid="{00000000-000D-0000-FFFF-FFFF00000000}"/>
  </bookViews>
  <sheets>
    <sheet name="OLN047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3" i="2" l="1"/>
  <c r="U103" i="2" s="1"/>
  <c r="V103" i="2" s="1"/>
  <c r="T104" i="2"/>
  <c r="U104" i="2" s="1"/>
  <c r="V104" i="2" s="1"/>
  <c r="T105" i="2"/>
  <c r="U105" i="2" s="1"/>
  <c r="V105" i="2" s="1"/>
  <c r="T106" i="2"/>
  <c r="U106" i="2" s="1"/>
  <c r="V106" i="2" s="1"/>
  <c r="T107" i="2"/>
  <c r="U107" i="2" s="1"/>
  <c r="V107" i="2" s="1"/>
  <c r="T108" i="2"/>
  <c r="U108" i="2" s="1"/>
  <c r="V108" i="2" s="1"/>
  <c r="T109" i="2"/>
  <c r="U109" i="2" s="1"/>
  <c r="V109" i="2" s="1"/>
  <c r="T110" i="2"/>
  <c r="U110" i="2" s="1"/>
  <c r="V110" i="2" s="1"/>
  <c r="T111" i="2"/>
  <c r="U111" i="2" s="1"/>
  <c r="V111" i="2" s="1"/>
  <c r="T112" i="2"/>
  <c r="U112" i="2" s="1"/>
  <c r="V112" i="2" s="1"/>
  <c r="T113" i="2"/>
  <c r="U113" i="2" s="1"/>
  <c r="V113" i="2" s="1"/>
  <c r="T114" i="2"/>
  <c r="U114" i="2" s="1"/>
  <c r="V114" i="2" s="1"/>
  <c r="T115" i="2"/>
  <c r="U115" i="2" s="1"/>
  <c r="V115" i="2" s="1"/>
  <c r="T116" i="2"/>
  <c r="U116" i="2" s="1"/>
  <c r="V116" i="2" s="1"/>
  <c r="T117" i="2"/>
  <c r="U117" i="2" s="1"/>
  <c r="V117" i="2" s="1"/>
  <c r="T118" i="2"/>
  <c r="U118" i="2" s="1"/>
  <c r="V118" i="2" s="1"/>
  <c r="T119" i="2"/>
  <c r="U119" i="2" s="1"/>
  <c r="V119" i="2" s="1"/>
  <c r="T120" i="2"/>
  <c r="U120" i="2" s="1"/>
  <c r="V120" i="2" s="1"/>
  <c r="T121" i="2"/>
  <c r="U121" i="2" s="1"/>
  <c r="V121" i="2" s="1"/>
  <c r="T122" i="2"/>
  <c r="U122" i="2" s="1"/>
  <c r="V122" i="2" s="1"/>
  <c r="T123" i="2"/>
  <c r="U123" i="2" s="1"/>
  <c r="V123" i="2" s="1"/>
  <c r="T124" i="2"/>
  <c r="U124" i="2" s="1"/>
  <c r="V124" i="2" s="1"/>
  <c r="T125" i="2"/>
  <c r="U125" i="2" s="1"/>
  <c r="V125" i="2" s="1"/>
  <c r="T126" i="2"/>
  <c r="U126" i="2" s="1"/>
  <c r="V126" i="2" s="1"/>
  <c r="T127" i="2"/>
  <c r="U127" i="2" s="1"/>
  <c r="V127" i="2" s="1"/>
  <c r="T128" i="2"/>
  <c r="U128" i="2" s="1"/>
  <c r="V128" i="2" s="1"/>
  <c r="T129" i="2"/>
  <c r="U129" i="2" s="1"/>
  <c r="V129" i="2" s="1"/>
  <c r="T130" i="2"/>
  <c r="U130" i="2" s="1"/>
  <c r="V130" i="2" s="1"/>
  <c r="T131" i="2"/>
  <c r="U131" i="2" s="1"/>
  <c r="V131" i="2" s="1"/>
  <c r="T132" i="2"/>
  <c r="U132" i="2" s="1"/>
  <c r="V132" i="2" s="1"/>
  <c r="T133" i="2"/>
  <c r="U133" i="2" s="1"/>
  <c r="V133" i="2" s="1"/>
  <c r="T134" i="2"/>
  <c r="U134" i="2" s="1"/>
  <c r="V134" i="2" s="1"/>
  <c r="T135" i="2"/>
  <c r="U135" i="2" s="1"/>
  <c r="V135" i="2" s="1"/>
  <c r="T136" i="2"/>
  <c r="U136" i="2" s="1"/>
  <c r="V136" i="2" s="1"/>
  <c r="T137" i="2"/>
  <c r="U137" i="2" s="1"/>
  <c r="V137" i="2" s="1"/>
  <c r="T138" i="2"/>
  <c r="U138" i="2" s="1"/>
  <c r="V138" i="2" s="1"/>
  <c r="T139" i="2"/>
  <c r="U139" i="2" s="1"/>
  <c r="V139" i="2" s="1"/>
  <c r="T140" i="2"/>
  <c r="U140" i="2" s="1"/>
  <c r="V140" i="2" s="1"/>
  <c r="T141" i="2"/>
  <c r="U141" i="2" s="1"/>
  <c r="V141" i="2" s="1"/>
  <c r="T142" i="2"/>
  <c r="U142" i="2" s="1"/>
  <c r="V142" i="2" s="1"/>
  <c r="T143" i="2"/>
  <c r="U143" i="2" s="1"/>
  <c r="V143" i="2" s="1"/>
  <c r="T144" i="2"/>
  <c r="U144" i="2" s="1"/>
  <c r="V144" i="2" s="1"/>
  <c r="T145" i="2"/>
  <c r="U145" i="2" s="1"/>
  <c r="V145" i="2" s="1"/>
  <c r="P103" i="2"/>
  <c r="Q103" i="2" s="1"/>
  <c r="R103" i="2" s="1"/>
  <c r="P104" i="2"/>
  <c r="Q104" i="2" s="1"/>
  <c r="R104" i="2" s="1"/>
  <c r="P105" i="2"/>
  <c r="Q105" i="2" s="1"/>
  <c r="R105" i="2" s="1"/>
  <c r="P106" i="2"/>
  <c r="Q106" i="2" s="1"/>
  <c r="R106" i="2" s="1"/>
  <c r="P107" i="2"/>
  <c r="Q107" i="2" s="1"/>
  <c r="R107" i="2" s="1"/>
  <c r="P108" i="2"/>
  <c r="Q108" i="2" s="1"/>
  <c r="R108" i="2" s="1"/>
  <c r="P109" i="2"/>
  <c r="Q109" i="2" s="1"/>
  <c r="R109" i="2" s="1"/>
  <c r="P110" i="2"/>
  <c r="Q110" i="2" s="1"/>
  <c r="R110" i="2" s="1"/>
  <c r="P111" i="2"/>
  <c r="Q111" i="2" s="1"/>
  <c r="R111" i="2" s="1"/>
  <c r="P112" i="2"/>
  <c r="Q112" i="2" s="1"/>
  <c r="R112" i="2" s="1"/>
  <c r="P113" i="2"/>
  <c r="Q113" i="2" s="1"/>
  <c r="R113" i="2" s="1"/>
  <c r="P114" i="2"/>
  <c r="Q114" i="2" s="1"/>
  <c r="R114" i="2" s="1"/>
  <c r="P115" i="2"/>
  <c r="Q115" i="2" s="1"/>
  <c r="R115" i="2" s="1"/>
  <c r="P116" i="2"/>
  <c r="Q116" i="2" s="1"/>
  <c r="R116" i="2" s="1"/>
  <c r="P117" i="2"/>
  <c r="Q117" i="2" s="1"/>
  <c r="R117" i="2" s="1"/>
  <c r="P118" i="2"/>
  <c r="Q118" i="2" s="1"/>
  <c r="R118" i="2" s="1"/>
  <c r="P119" i="2"/>
  <c r="Q119" i="2" s="1"/>
  <c r="R119" i="2" s="1"/>
  <c r="P120" i="2"/>
  <c r="Q120" i="2" s="1"/>
  <c r="R120" i="2" s="1"/>
  <c r="P121" i="2"/>
  <c r="Q121" i="2" s="1"/>
  <c r="R121" i="2" s="1"/>
  <c r="P122" i="2"/>
  <c r="Q122" i="2" s="1"/>
  <c r="R122" i="2" s="1"/>
  <c r="P123" i="2"/>
  <c r="Q123" i="2" s="1"/>
  <c r="R123" i="2" s="1"/>
  <c r="P124" i="2"/>
  <c r="Q124" i="2" s="1"/>
  <c r="R124" i="2" s="1"/>
  <c r="P125" i="2"/>
  <c r="Q125" i="2" s="1"/>
  <c r="R125" i="2" s="1"/>
  <c r="P126" i="2"/>
  <c r="Q126" i="2" s="1"/>
  <c r="R126" i="2" s="1"/>
  <c r="P127" i="2"/>
  <c r="Q127" i="2" s="1"/>
  <c r="R127" i="2" s="1"/>
  <c r="P128" i="2"/>
  <c r="Q128" i="2" s="1"/>
  <c r="R128" i="2" s="1"/>
  <c r="P129" i="2"/>
  <c r="Q129" i="2" s="1"/>
  <c r="R129" i="2" s="1"/>
  <c r="P130" i="2"/>
  <c r="Q130" i="2" s="1"/>
  <c r="R130" i="2" s="1"/>
  <c r="P131" i="2"/>
  <c r="Q131" i="2" s="1"/>
  <c r="R131" i="2" s="1"/>
  <c r="P132" i="2"/>
  <c r="Q132" i="2" s="1"/>
  <c r="R132" i="2" s="1"/>
  <c r="P133" i="2"/>
  <c r="Q133" i="2" s="1"/>
  <c r="R133" i="2" s="1"/>
  <c r="P134" i="2"/>
  <c r="Q134" i="2" s="1"/>
  <c r="R134" i="2" s="1"/>
  <c r="P135" i="2"/>
  <c r="Q135" i="2" s="1"/>
  <c r="R135" i="2" s="1"/>
  <c r="P136" i="2"/>
  <c r="Q136" i="2" s="1"/>
  <c r="R136" i="2" s="1"/>
  <c r="P137" i="2"/>
  <c r="Q137" i="2" s="1"/>
  <c r="R137" i="2" s="1"/>
  <c r="P138" i="2"/>
  <c r="Q138" i="2" s="1"/>
  <c r="R138" i="2" s="1"/>
  <c r="P139" i="2"/>
  <c r="Q139" i="2" s="1"/>
  <c r="R139" i="2" s="1"/>
  <c r="P140" i="2"/>
  <c r="Q140" i="2" s="1"/>
  <c r="R140" i="2" s="1"/>
  <c r="P141" i="2"/>
  <c r="Q141" i="2" s="1"/>
  <c r="R141" i="2" s="1"/>
  <c r="P142" i="2"/>
  <c r="Q142" i="2" s="1"/>
  <c r="R142" i="2" s="1"/>
  <c r="P143" i="2"/>
  <c r="Q143" i="2" s="1"/>
  <c r="R143" i="2" s="1"/>
  <c r="P144" i="2"/>
  <c r="Q144" i="2" s="1"/>
  <c r="R144" i="2" s="1"/>
  <c r="P145" i="2"/>
  <c r="Q145" i="2" s="1"/>
  <c r="R145" i="2" s="1"/>
  <c r="P146" i="2"/>
  <c r="P147" i="2"/>
  <c r="P148" i="2"/>
  <c r="P149" i="2"/>
  <c r="P150" i="2"/>
  <c r="P151" i="2"/>
  <c r="P152" i="2"/>
  <c r="P153" i="2"/>
  <c r="P154" i="2"/>
  <c r="P155" i="2"/>
  <c r="T82" i="2"/>
  <c r="U82" i="2" s="1"/>
  <c r="V82" i="2" s="1"/>
  <c r="T83" i="2"/>
  <c r="U83" i="2" s="1"/>
  <c r="V83" i="2" s="1"/>
  <c r="T84" i="2"/>
  <c r="U84" i="2" s="1"/>
  <c r="V84" i="2" s="1"/>
  <c r="T85" i="2"/>
  <c r="U85" i="2" s="1"/>
  <c r="V85" i="2" s="1"/>
  <c r="T86" i="2"/>
  <c r="U86" i="2" s="1"/>
  <c r="V86" i="2" s="1"/>
  <c r="T87" i="2"/>
  <c r="U87" i="2" s="1"/>
  <c r="V87" i="2" s="1"/>
  <c r="T88" i="2"/>
  <c r="U88" i="2" s="1"/>
  <c r="V88" i="2" s="1"/>
  <c r="T89" i="2"/>
  <c r="U89" i="2" s="1"/>
  <c r="V89" i="2" s="1"/>
  <c r="T90" i="2"/>
  <c r="U90" i="2" s="1"/>
  <c r="V90" i="2" s="1"/>
  <c r="T91" i="2"/>
  <c r="U91" i="2" s="1"/>
  <c r="V91" i="2" s="1"/>
  <c r="T92" i="2"/>
  <c r="U92" i="2" s="1"/>
  <c r="V92" i="2" s="1"/>
  <c r="T93" i="2"/>
  <c r="U93" i="2" s="1"/>
  <c r="V93" i="2" s="1"/>
  <c r="T94" i="2"/>
  <c r="U94" i="2" s="1"/>
  <c r="V94" i="2" s="1"/>
  <c r="T95" i="2"/>
  <c r="U95" i="2" s="1"/>
  <c r="V95" i="2" s="1"/>
  <c r="T96" i="2"/>
  <c r="U96" i="2" s="1"/>
  <c r="V96" i="2" s="1"/>
  <c r="T97" i="2"/>
  <c r="U97" i="2" s="1"/>
  <c r="V97" i="2" s="1"/>
  <c r="T98" i="2"/>
  <c r="U98" i="2" s="1"/>
  <c r="V98" i="2" s="1"/>
  <c r="T99" i="2"/>
  <c r="U99" i="2" s="1"/>
  <c r="V99" i="2" s="1"/>
  <c r="T100" i="2"/>
  <c r="U100" i="2" s="1"/>
  <c r="V100" i="2" s="1"/>
  <c r="T101" i="2"/>
  <c r="U101" i="2" s="1"/>
  <c r="V101" i="2" s="1"/>
  <c r="T102" i="2"/>
  <c r="U102" i="2" s="1"/>
  <c r="V102" i="2" s="1"/>
  <c r="T146" i="2"/>
  <c r="U146" i="2" s="1"/>
  <c r="V146" i="2" s="1"/>
  <c r="T147" i="2"/>
  <c r="U147" i="2" s="1"/>
  <c r="V147" i="2" s="1"/>
  <c r="T148" i="2"/>
  <c r="U148" i="2" s="1"/>
  <c r="V148" i="2" s="1"/>
  <c r="T149" i="2"/>
  <c r="U149" i="2" s="1"/>
  <c r="V149" i="2" s="1"/>
  <c r="T150" i="2"/>
  <c r="U150" i="2" s="1"/>
  <c r="V150" i="2" s="1"/>
  <c r="T151" i="2"/>
  <c r="U151" i="2" s="1"/>
  <c r="V151" i="2" s="1"/>
  <c r="T152" i="2"/>
  <c r="U152" i="2" s="1"/>
  <c r="V152" i="2" s="1"/>
  <c r="T153" i="2"/>
  <c r="U153" i="2" s="1"/>
  <c r="V153" i="2" s="1"/>
  <c r="T154" i="2"/>
  <c r="U154" i="2" s="1"/>
  <c r="V154" i="2" s="1"/>
  <c r="T155" i="2"/>
  <c r="U155" i="2" s="1"/>
  <c r="V155" i="2" s="1"/>
  <c r="P82" i="2"/>
  <c r="Q82" i="2" s="1"/>
  <c r="R82" i="2" s="1"/>
  <c r="P83" i="2"/>
  <c r="Q83" i="2" s="1"/>
  <c r="R83" i="2" s="1"/>
  <c r="P84" i="2"/>
  <c r="Q84" i="2" s="1"/>
  <c r="R84" i="2" s="1"/>
  <c r="P85" i="2"/>
  <c r="Q85" i="2" s="1"/>
  <c r="R85" i="2" s="1"/>
  <c r="P86" i="2"/>
  <c r="Q86" i="2" s="1"/>
  <c r="R86" i="2" s="1"/>
  <c r="P87" i="2"/>
  <c r="Q87" i="2" s="1"/>
  <c r="R87" i="2" s="1"/>
  <c r="P88" i="2"/>
  <c r="Q88" i="2" s="1"/>
  <c r="R88" i="2" s="1"/>
  <c r="P89" i="2"/>
  <c r="Q89" i="2" s="1"/>
  <c r="R89" i="2" s="1"/>
  <c r="P90" i="2"/>
  <c r="Q90" i="2" s="1"/>
  <c r="R90" i="2" s="1"/>
  <c r="P91" i="2"/>
  <c r="Q91" i="2" s="1"/>
  <c r="R91" i="2" s="1"/>
  <c r="P92" i="2"/>
  <c r="Q92" i="2" s="1"/>
  <c r="R92" i="2" s="1"/>
  <c r="P93" i="2"/>
  <c r="Q93" i="2" s="1"/>
  <c r="R93" i="2" s="1"/>
  <c r="P94" i="2"/>
  <c r="Q94" i="2" s="1"/>
  <c r="R94" i="2" s="1"/>
  <c r="P95" i="2"/>
  <c r="Q95" i="2" s="1"/>
  <c r="R95" i="2" s="1"/>
  <c r="P96" i="2"/>
  <c r="Q96" i="2" s="1"/>
  <c r="R96" i="2" s="1"/>
  <c r="P97" i="2"/>
  <c r="Q97" i="2" s="1"/>
  <c r="R97" i="2" s="1"/>
  <c r="P98" i="2"/>
  <c r="Q98" i="2" s="1"/>
  <c r="R98" i="2" s="1"/>
  <c r="P99" i="2"/>
  <c r="Q99" i="2" s="1"/>
  <c r="R99" i="2" s="1"/>
  <c r="P100" i="2"/>
  <c r="Q100" i="2" s="1"/>
  <c r="R100" i="2" s="1"/>
  <c r="P101" i="2"/>
  <c r="Q101" i="2" s="1"/>
  <c r="R101" i="2" s="1"/>
  <c r="P102" i="2"/>
  <c r="Q102" i="2" s="1"/>
  <c r="R102" i="2" s="1"/>
  <c r="Q146" i="2"/>
  <c r="R146" i="2" s="1"/>
  <c r="Q147" i="2"/>
  <c r="R147" i="2" s="1"/>
  <c r="Q148" i="2"/>
  <c r="R148" i="2" s="1"/>
  <c r="Q149" i="2"/>
  <c r="R149" i="2" s="1"/>
  <c r="Q150" i="2"/>
  <c r="R150" i="2" s="1"/>
  <c r="Q151" i="2"/>
  <c r="R151" i="2" s="1"/>
  <c r="Q152" i="2"/>
  <c r="R152" i="2" s="1"/>
  <c r="Q153" i="2"/>
  <c r="R153" i="2" s="1"/>
  <c r="Q154" i="2"/>
  <c r="R154" i="2" s="1"/>
  <c r="Q155" i="2"/>
  <c r="R155" i="2" s="1"/>
  <c r="T81" i="2"/>
  <c r="U81" i="2" s="1"/>
  <c r="V81" i="2" s="1"/>
  <c r="P81" i="2"/>
  <c r="Q81" i="2" s="1"/>
  <c r="R81" i="2" s="1"/>
  <c r="T75" i="2"/>
  <c r="U75" i="2" s="1"/>
  <c r="V75" i="2" s="1"/>
  <c r="T76" i="2"/>
  <c r="U76" i="2" s="1"/>
  <c r="V76" i="2" s="1"/>
  <c r="T77" i="2"/>
  <c r="U77" i="2" s="1"/>
  <c r="V77" i="2" s="1"/>
  <c r="T78" i="2"/>
  <c r="U78" i="2" s="1"/>
  <c r="V78" i="2" s="1"/>
  <c r="T79" i="2"/>
  <c r="U79" i="2" s="1"/>
  <c r="V79" i="2" s="1"/>
  <c r="T80" i="2"/>
  <c r="U80" i="2" s="1"/>
  <c r="V80" i="2" s="1"/>
  <c r="W143" i="2" l="1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X128" i="2" s="1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81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02" i="2"/>
  <c r="X102" i="2" s="1"/>
  <c r="W82" i="2"/>
  <c r="W101" i="2"/>
  <c r="W100" i="2"/>
  <c r="W99" i="2"/>
  <c r="W98" i="2"/>
  <c r="W97" i="2"/>
  <c r="W96" i="2"/>
  <c r="W95" i="2"/>
  <c r="X95" i="2" s="1"/>
  <c r="W94" i="2"/>
  <c r="W93" i="2"/>
  <c r="W92" i="2"/>
  <c r="W91" i="2"/>
  <c r="W90" i="2"/>
  <c r="W89" i="2"/>
  <c r="W88" i="2"/>
  <c r="W87" i="2"/>
  <c r="W86" i="2"/>
  <c r="W85" i="2"/>
  <c r="W84" i="2"/>
  <c r="W83" i="2"/>
  <c r="X81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X82" i="2" l="1"/>
  <c r="K47" i="2"/>
  <c r="P80" i="2" l="1"/>
  <c r="Q80" i="2" s="1"/>
  <c r="R80" i="2" s="1"/>
  <c r="W80" i="2" s="1"/>
  <c r="P79" i="2"/>
  <c r="Q79" i="2" s="1"/>
  <c r="R79" i="2" s="1"/>
  <c r="W79" i="2" s="1"/>
  <c r="P78" i="2"/>
  <c r="Q78" i="2" s="1"/>
  <c r="R78" i="2" s="1"/>
  <c r="W78" i="2" s="1"/>
  <c r="P77" i="2"/>
  <c r="Q77" i="2" s="1"/>
  <c r="R77" i="2" s="1"/>
  <c r="W77" i="2" s="1"/>
  <c r="P76" i="2"/>
  <c r="Q76" i="2" s="1"/>
  <c r="R76" i="2" s="1"/>
  <c r="W76" i="2" s="1"/>
  <c r="P75" i="2"/>
  <c r="Q75" i="2" s="1"/>
  <c r="R75" i="2" s="1"/>
  <c r="W75" i="2" s="1"/>
  <c r="T74" i="2"/>
  <c r="U74" i="2" s="1"/>
  <c r="V74" i="2" s="1"/>
  <c r="P74" i="2"/>
  <c r="Q74" i="2" s="1"/>
  <c r="R74" i="2" s="1"/>
  <c r="T73" i="2"/>
  <c r="U73" i="2" s="1"/>
  <c r="V73" i="2" s="1"/>
  <c r="P73" i="2"/>
  <c r="Q73" i="2" s="1"/>
  <c r="R73" i="2" s="1"/>
  <c r="T72" i="2"/>
  <c r="U72" i="2" s="1"/>
  <c r="V72" i="2" s="1"/>
  <c r="P72" i="2"/>
  <c r="Q72" i="2" s="1"/>
  <c r="R72" i="2" s="1"/>
  <c r="T71" i="2"/>
  <c r="U71" i="2" s="1"/>
  <c r="V71" i="2" s="1"/>
  <c r="P71" i="2"/>
  <c r="Q71" i="2" s="1"/>
  <c r="R71" i="2" s="1"/>
  <c r="T70" i="2"/>
  <c r="U70" i="2" s="1"/>
  <c r="V70" i="2" s="1"/>
  <c r="P70" i="2"/>
  <c r="Q70" i="2" s="1"/>
  <c r="R70" i="2" s="1"/>
  <c r="T69" i="2"/>
  <c r="U69" i="2" s="1"/>
  <c r="V69" i="2" s="1"/>
  <c r="P69" i="2"/>
  <c r="Q69" i="2" s="1"/>
  <c r="R69" i="2" s="1"/>
  <c r="T68" i="2"/>
  <c r="U68" i="2" s="1"/>
  <c r="V68" i="2" s="1"/>
  <c r="P68" i="2"/>
  <c r="Q68" i="2" s="1"/>
  <c r="R68" i="2" s="1"/>
  <c r="T67" i="2"/>
  <c r="U67" i="2" s="1"/>
  <c r="V67" i="2" s="1"/>
  <c r="P67" i="2"/>
  <c r="Q67" i="2" s="1"/>
  <c r="R67" i="2" s="1"/>
  <c r="T66" i="2"/>
  <c r="U66" i="2" s="1"/>
  <c r="V66" i="2" s="1"/>
  <c r="P66" i="2"/>
  <c r="Q66" i="2" s="1"/>
  <c r="R66" i="2" s="1"/>
  <c r="T65" i="2"/>
  <c r="U65" i="2" s="1"/>
  <c r="V65" i="2" s="1"/>
  <c r="P65" i="2"/>
  <c r="Q65" i="2" s="1"/>
  <c r="R65" i="2" s="1"/>
  <c r="T64" i="2"/>
  <c r="U64" i="2" s="1"/>
  <c r="V64" i="2" s="1"/>
  <c r="P64" i="2"/>
  <c r="Q64" i="2" s="1"/>
  <c r="R64" i="2" s="1"/>
  <c r="T63" i="2"/>
  <c r="U63" i="2" s="1"/>
  <c r="V63" i="2" s="1"/>
  <c r="P63" i="2"/>
  <c r="Q63" i="2" s="1"/>
  <c r="R63" i="2" s="1"/>
  <c r="K63" i="2"/>
  <c r="T62" i="2"/>
  <c r="U62" i="2" s="1"/>
  <c r="V62" i="2" s="1"/>
  <c r="P62" i="2"/>
  <c r="Q62" i="2" s="1"/>
  <c r="R62" i="2" s="1"/>
  <c r="K62" i="2"/>
  <c r="T61" i="2"/>
  <c r="U61" i="2" s="1"/>
  <c r="V61" i="2" s="1"/>
  <c r="P61" i="2"/>
  <c r="Q61" i="2" s="1"/>
  <c r="R61" i="2" s="1"/>
  <c r="K61" i="2"/>
  <c r="T60" i="2"/>
  <c r="U60" i="2" s="1"/>
  <c r="V60" i="2" s="1"/>
  <c r="P60" i="2"/>
  <c r="Q60" i="2" s="1"/>
  <c r="R60" i="2" s="1"/>
  <c r="K60" i="2"/>
  <c r="T59" i="2"/>
  <c r="U59" i="2" s="1"/>
  <c r="V59" i="2" s="1"/>
  <c r="P59" i="2"/>
  <c r="Q59" i="2" s="1"/>
  <c r="R59" i="2" s="1"/>
  <c r="K59" i="2"/>
  <c r="T58" i="2"/>
  <c r="U58" i="2" s="1"/>
  <c r="V58" i="2" s="1"/>
  <c r="P58" i="2"/>
  <c r="Q58" i="2" s="1"/>
  <c r="R58" i="2" s="1"/>
  <c r="K58" i="2"/>
  <c r="T57" i="2"/>
  <c r="U57" i="2" s="1"/>
  <c r="V57" i="2" s="1"/>
  <c r="P57" i="2"/>
  <c r="Q57" i="2" s="1"/>
  <c r="R57" i="2" s="1"/>
  <c r="K57" i="2"/>
  <c r="T56" i="2"/>
  <c r="U56" i="2" s="1"/>
  <c r="V56" i="2" s="1"/>
  <c r="P56" i="2"/>
  <c r="Q56" i="2" s="1"/>
  <c r="R56" i="2" s="1"/>
  <c r="K56" i="2"/>
  <c r="T55" i="2"/>
  <c r="U55" i="2" s="1"/>
  <c r="V55" i="2" s="1"/>
  <c r="P55" i="2"/>
  <c r="Q55" i="2" s="1"/>
  <c r="R55" i="2" s="1"/>
  <c r="K55" i="2"/>
  <c r="T54" i="2"/>
  <c r="U54" i="2" s="1"/>
  <c r="V54" i="2" s="1"/>
  <c r="P54" i="2"/>
  <c r="Q54" i="2" s="1"/>
  <c r="R54" i="2" s="1"/>
  <c r="K54" i="2"/>
  <c r="T53" i="2"/>
  <c r="U53" i="2" s="1"/>
  <c r="V53" i="2" s="1"/>
  <c r="P53" i="2"/>
  <c r="Q53" i="2" s="1"/>
  <c r="R53" i="2" s="1"/>
  <c r="K53" i="2"/>
  <c r="T52" i="2"/>
  <c r="U52" i="2" s="1"/>
  <c r="V52" i="2" s="1"/>
  <c r="P52" i="2"/>
  <c r="Q52" i="2" s="1"/>
  <c r="R52" i="2" s="1"/>
  <c r="K52" i="2"/>
  <c r="T51" i="2"/>
  <c r="U51" i="2" s="1"/>
  <c r="V51" i="2" s="1"/>
  <c r="P51" i="2"/>
  <c r="Q51" i="2" s="1"/>
  <c r="R51" i="2" s="1"/>
  <c r="K51" i="2"/>
  <c r="T50" i="2"/>
  <c r="U50" i="2" s="1"/>
  <c r="V50" i="2" s="1"/>
  <c r="P50" i="2"/>
  <c r="Q50" i="2" s="1"/>
  <c r="R50" i="2" s="1"/>
  <c r="K50" i="2"/>
  <c r="T49" i="2"/>
  <c r="U49" i="2" s="1"/>
  <c r="V49" i="2" s="1"/>
  <c r="P49" i="2"/>
  <c r="Q49" i="2" s="1"/>
  <c r="R49" i="2" s="1"/>
  <c r="K49" i="2"/>
  <c r="T48" i="2"/>
  <c r="U48" i="2" s="1"/>
  <c r="V48" i="2" s="1"/>
  <c r="P48" i="2"/>
  <c r="Q48" i="2" s="1"/>
  <c r="R48" i="2" s="1"/>
  <c r="K48" i="2"/>
  <c r="T47" i="2"/>
  <c r="U47" i="2" s="1"/>
  <c r="V47" i="2" s="1"/>
  <c r="P47" i="2"/>
  <c r="Q47" i="2" s="1"/>
  <c r="R47" i="2" s="1"/>
  <c r="T46" i="2"/>
  <c r="U46" i="2" s="1"/>
  <c r="V46" i="2" s="1"/>
  <c r="P46" i="2"/>
  <c r="Q46" i="2" s="1"/>
  <c r="R46" i="2" s="1"/>
  <c r="K46" i="2"/>
  <c r="T45" i="2"/>
  <c r="U45" i="2" s="1"/>
  <c r="V45" i="2" s="1"/>
  <c r="P45" i="2"/>
  <c r="Q45" i="2" s="1"/>
  <c r="R45" i="2" s="1"/>
  <c r="K45" i="2"/>
  <c r="T44" i="2"/>
  <c r="U44" i="2" s="1"/>
  <c r="V44" i="2" s="1"/>
  <c r="P44" i="2"/>
  <c r="Q44" i="2" s="1"/>
  <c r="R44" i="2" s="1"/>
  <c r="T43" i="2"/>
  <c r="U43" i="2" s="1"/>
  <c r="V43" i="2" s="1"/>
  <c r="P43" i="2"/>
  <c r="Q43" i="2" s="1"/>
  <c r="R43" i="2" s="1"/>
  <c r="K43" i="2"/>
  <c r="T42" i="2"/>
  <c r="U42" i="2" s="1"/>
  <c r="V42" i="2" s="1"/>
  <c r="P42" i="2"/>
  <c r="Q42" i="2" s="1"/>
  <c r="R42" i="2" s="1"/>
  <c r="K42" i="2"/>
  <c r="T41" i="2"/>
  <c r="U41" i="2" s="1"/>
  <c r="V41" i="2" s="1"/>
  <c r="P41" i="2"/>
  <c r="Q41" i="2" s="1"/>
  <c r="R41" i="2" s="1"/>
  <c r="K41" i="2"/>
  <c r="T40" i="2"/>
  <c r="U40" i="2" s="1"/>
  <c r="V40" i="2" s="1"/>
  <c r="P40" i="2"/>
  <c r="Q40" i="2" s="1"/>
  <c r="R40" i="2" s="1"/>
  <c r="K40" i="2"/>
  <c r="T39" i="2"/>
  <c r="U39" i="2" s="1"/>
  <c r="V39" i="2" s="1"/>
  <c r="P39" i="2"/>
  <c r="Q39" i="2" s="1"/>
  <c r="R39" i="2" s="1"/>
  <c r="K39" i="2"/>
  <c r="T38" i="2"/>
  <c r="U38" i="2" s="1"/>
  <c r="V38" i="2" s="1"/>
  <c r="P38" i="2"/>
  <c r="Q38" i="2" s="1"/>
  <c r="R38" i="2" s="1"/>
  <c r="K38" i="2"/>
  <c r="T37" i="2"/>
  <c r="U37" i="2" s="1"/>
  <c r="V37" i="2" s="1"/>
  <c r="P37" i="2"/>
  <c r="Q37" i="2" s="1"/>
  <c r="R37" i="2" s="1"/>
  <c r="K37" i="2"/>
  <c r="T36" i="2"/>
  <c r="U36" i="2" s="1"/>
  <c r="V36" i="2" s="1"/>
  <c r="P36" i="2"/>
  <c r="Q36" i="2" s="1"/>
  <c r="R36" i="2" s="1"/>
  <c r="K36" i="2"/>
  <c r="T35" i="2"/>
  <c r="U35" i="2" s="1"/>
  <c r="V35" i="2" s="1"/>
  <c r="P35" i="2"/>
  <c r="Q35" i="2" s="1"/>
  <c r="R35" i="2" s="1"/>
  <c r="K35" i="2"/>
  <c r="T34" i="2"/>
  <c r="U34" i="2" s="1"/>
  <c r="V34" i="2" s="1"/>
  <c r="P34" i="2"/>
  <c r="Q34" i="2" s="1"/>
  <c r="R34" i="2" s="1"/>
  <c r="K34" i="2"/>
  <c r="T33" i="2"/>
  <c r="U33" i="2" s="1"/>
  <c r="V33" i="2" s="1"/>
  <c r="P33" i="2"/>
  <c r="Q33" i="2" s="1"/>
  <c r="R33" i="2" s="1"/>
  <c r="K33" i="2"/>
  <c r="T32" i="2"/>
  <c r="U32" i="2" s="1"/>
  <c r="V32" i="2" s="1"/>
  <c r="P32" i="2"/>
  <c r="Q32" i="2" s="1"/>
  <c r="R32" i="2" s="1"/>
  <c r="K32" i="2"/>
  <c r="T31" i="2"/>
  <c r="U31" i="2" s="1"/>
  <c r="V31" i="2" s="1"/>
  <c r="P31" i="2"/>
  <c r="Q31" i="2" s="1"/>
  <c r="R31" i="2" s="1"/>
  <c r="K31" i="2"/>
  <c r="T30" i="2"/>
  <c r="U30" i="2" s="1"/>
  <c r="V30" i="2" s="1"/>
  <c r="P30" i="2"/>
  <c r="Q30" i="2" s="1"/>
  <c r="R30" i="2" s="1"/>
  <c r="K30" i="2"/>
  <c r="T29" i="2"/>
  <c r="U29" i="2" s="1"/>
  <c r="V29" i="2" s="1"/>
  <c r="P29" i="2"/>
  <c r="Q29" i="2" s="1"/>
  <c r="R29" i="2" s="1"/>
  <c r="K29" i="2"/>
  <c r="T28" i="2"/>
  <c r="U28" i="2" s="1"/>
  <c r="V28" i="2" s="1"/>
  <c r="P28" i="2"/>
  <c r="Q28" i="2" s="1"/>
  <c r="R28" i="2" s="1"/>
  <c r="K28" i="2"/>
  <c r="T27" i="2"/>
  <c r="U27" i="2" s="1"/>
  <c r="V27" i="2" s="1"/>
  <c r="P27" i="2"/>
  <c r="Q27" i="2" s="1"/>
  <c r="R27" i="2" s="1"/>
  <c r="K27" i="2"/>
  <c r="T26" i="2"/>
  <c r="U26" i="2" s="1"/>
  <c r="V26" i="2" s="1"/>
  <c r="P26" i="2"/>
  <c r="Q26" i="2" s="1"/>
  <c r="R26" i="2" s="1"/>
  <c r="K26" i="2"/>
  <c r="T25" i="2"/>
  <c r="U25" i="2" s="1"/>
  <c r="V25" i="2" s="1"/>
  <c r="P25" i="2"/>
  <c r="Q25" i="2" s="1"/>
  <c r="R25" i="2" s="1"/>
  <c r="K25" i="2"/>
  <c r="T24" i="2"/>
  <c r="U24" i="2" s="1"/>
  <c r="V24" i="2" s="1"/>
  <c r="P24" i="2"/>
  <c r="Q24" i="2" s="1"/>
  <c r="R24" i="2" s="1"/>
  <c r="K24" i="2"/>
  <c r="T23" i="2"/>
  <c r="U23" i="2" s="1"/>
  <c r="V23" i="2" s="1"/>
  <c r="P23" i="2"/>
  <c r="Q23" i="2" s="1"/>
  <c r="R23" i="2" s="1"/>
  <c r="K23" i="2"/>
  <c r="T22" i="2"/>
  <c r="U22" i="2" s="1"/>
  <c r="V22" i="2" s="1"/>
  <c r="P22" i="2"/>
  <c r="Q22" i="2" s="1"/>
  <c r="R22" i="2" s="1"/>
  <c r="K22" i="2"/>
  <c r="T21" i="2"/>
  <c r="U21" i="2" s="1"/>
  <c r="V21" i="2" s="1"/>
  <c r="P21" i="2"/>
  <c r="Q21" i="2" s="1"/>
  <c r="R21" i="2" s="1"/>
  <c r="K21" i="2"/>
  <c r="T20" i="2"/>
  <c r="U20" i="2" s="1"/>
  <c r="V20" i="2" s="1"/>
  <c r="P20" i="2"/>
  <c r="Q20" i="2" s="1"/>
  <c r="R20" i="2" s="1"/>
  <c r="K20" i="2"/>
  <c r="T19" i="2"/>
  <c r="U19" i="2" s="1"/>
  <c r="V19" i="2" s="1"/>
  <c r="P19" i="2"/>
  <c r="Q19" i="2" s="1"/>
  <c r="R19" i="2" s="1"/>
  <c r="K19" i="2"/>
  <c r="W46" i="2" l="1"/>
  <c r="W26" i="2"/>
  <c r="W42" i="2"/>
  <c r="W56" i="2"/>
  <c r="W70" i="2"/>
  <c r="W64" i="2"/>
  <c r="W72" i="2"/>
  <c r="W58" i="2"/>
  <c r="W68" i="2"/>
  <c r="W62" i="2"/>
  <c r="W60" i="2"/>
  <c r="W66" i="2"/>
  <c r="W74" i="2"/>
  <c r="W50" i="2"/>
  <c r="W54" i="2"/>
  <c r="W30" i="2"/>
  <c r="W34" i="2"/>
  <c r="W38" i="2"/>
  <c r="W22" i="2"/>
  <c r="W20" i="2"/>
  <c r="W24" i="2"/>
  <c r="W28" i="2"/>
  <c r="W32" i="2"/>
  <c r="W36" i="2"/>
  <c r="W40" i="2"/>
  <c r="W44" i="2"/>
  <c r="W48" i="2"/>
  <c r="W52" i="2"/>
  <c r="W23" i="2"/>
  <c r="W27" i="2"/>
  <c r="W31" i="2"/>
  <c r="W35" i="2"/>
  <c r="W39" i="2"/>
  <c r="W43" i="2"/>
  <c r="W47" i="2"/>
  <c r="W51" i="2"/>
  <c r="W21" i="2"/>
  <c r="W25" i="2"/>
  <c r="W29" i="2"/>
  <c r="W33" i="2"/>
  <c r="W37" i="2"/>
  <c r="W41" i="2"/>
  <c r="W45" i="2"/>
  <c r="W49" i="2"/>
  <c r="W53" i="2"/>
  <c r="W57" i="2"/>
  <c r="W61" i="2"/>
  <c r="W69" i="2"/>
  <c r="W71" i="2"/>
  <c r="W73" i="2"/>
  <c r="W59" i="2"/>
  <c r="W55" i="2"/>
  <c r="W63" i="2"/>
  <c r="W65" i="2"/>
  <c r="W67" i="2"/>
  <c r="W19" i="2"/>
  <c r="X77" i="2" l="1"/>
  <c r="X54" i="2"/>
  <c r="X44" i="2"/>
  <c r="X46" i="2"/>
  <c r="X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Alejandro Gamboa Moreno</author>
  </authors>
  <commentList>
    <comment ref="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David Alejandro Gamboa Moreno:</t>
        </r>
        <r>
          <rPr>
            <sz val="9"/>
            <color indexed="81"/>
            <rFont val="Tahoma"/>
            <family val="2"/>
          </rPr>
          <t xml:space="preserve">
que vesion es este documento.</t>
        </r>
      </text>
    </comment>
  </commentList>
</comments>
</file>

<file path=xl/sharedStrings.xml><?xml version="1.0" encoding="utf-8"?>
<sst xmlns="http://schemas.openxmlformats.org/spreadsheetml/2006/main" count="1672" uniqueCount="572">
  <si>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</si>
  <si>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</si>
  <si>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</si>
  <si>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</si>
  <si>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</si>
  <si>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</si>
  <si>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</si>
  <si>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</si>
  <si>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</si>
  <si>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</si>
  <si>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</si>
  <si>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</si>
  <si>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</si>
  <si>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</si>
  <si>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</si>
  <si>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</si>
  <si>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</si>
  <si>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</si>
  <si>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</si>
  <si>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</si>
  <si>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</si>
  <si>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OLN047</t>
  </si>
  <si>
    <t>LOGAN</t>
  </si>
  <si>
    <t>SEDAN</t>
  </si>
  <si>
    <t>RENAULT</t>
  </si>
  <si>
    <t>GRIS ESTRELLA</t>
  </si>
  <si>
    <t>2842Q147594</t>
  </si>
  <si>
    <t>9FB4SRC94JM167924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</si>
  <si>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</si>
  <si>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</si>
  <si>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</si>
  <si>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</si>
  <si>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</si>
  <si>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</si>
  <si>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</si>
  <si>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</si>
  <si>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</si>
  <si>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</si>
  <si>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</si>
  <si>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</si>
  <si>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</si>
  <si>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</si>
  <si>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</si>
  <si>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</si>
  <si>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</si>
  <si>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</si>
  <si>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</si>
  <si>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</si>
  <si>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</si>
  <si>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</si>
  <si>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</si>
  <si>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</si>
  <si>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</si>
  <si>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</si>
  <si>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</si>
  <si>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</si>
  <si>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</si>
  <si>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</si>
  <si>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</si>
  <si>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</si>
  <si>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</si>
  <si>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 SOPORTE</t>
  </si>
  <si>
    <t>TALLERES EL NORTE</t>
  </si>
  <si>
    <t>FT01 235</t>
  </si>
  <si>
    <t>ACEITE SINTETICO MOTOR</t>
  </si>
  <si>
    <t>ACEITE CHEVRON PARA HIDRAULICO</t>
  </si>
  <si>
    <t>FILTRO ACEITE</t>
  </si>
  <si>
    <t>FILTRO AIRE</t>
  </si>
  <si>
    <t>FILTRO AIRE ACONDICIONADO</t>
  </si>
  <si>
    <t>LIQUIDO DE FRENOS</t>
  </si>
  <si>
    <t>JUEGO DE BUJIAS</t>
  </si>
  <si>
    <t>LIMPIADOR PARA CUERPO ACELERACION</t>
  </si>
  <si>
    <t>GAS R 134</t>
  </si>
  <si>
    <t>REVISION DE FRENOS</t>
  </si>
  <si>
    <t>CAMBIO DE ACEITE MOTOR, ENTRE OTROS</t>
  </si>
  <si>
    <t xml:space="preserve">CAMBIO FILTRO ACEITE, COMBUST, AIRE  </t>
  </si>
  <si>
    <t>CAMBIO FILTRO AIRE ACONDICIONADO (ANTIPOLEN)</t>
  </si>
  <si>
    <t>SINCRONIZACION</t>
  </si>
  <si>
    <t>ARREGLO MULTIPLE ESCAPE</t>
  </si>
  <si>
    <t xml:space="preserve">ALINEACION </t>
  </si>
  <si>
    <t>BALANCEO</t>
  </si>
  <si>
    <t>CARGA DE AIRE ACONDICIONADO, LIMPIEZA SISTEMA COMPLETO</t>
  </si>
  <si>
    <t>SERVICIO DE SCANER</t>
  </si>
  <si>
    <t>LAVADO Y SINCRONIZADO DE INYECTORES (POR 4)</t>
  </si>
  <si>
    <t>FT01 241</t>
  </si>
  <si>
    <t xml:space="preserve">BOMBILLO HALOGENO H7 12 VOLTIOS </t>
  </si>
  <si>
    <t xml:space="preserve">BOMBILLO H16 </t>
  </si>
  <si>
    <t>SERVICIO SCANNER</t>
  </si>
  <si>
    <t>PARCHE RADIAL,DESPINCHE</t>
  </si>
  <si>
    <t xml:space="preserve">REVISION DE LUCES </t>
  </si>
  <si>
    <t>BUSCARV(L44;Hoja1!B$2:C$401;2;"FALSO")</t>
  </si>
  <si>
    <t xml:space="preserve">REVISION ELECTRICA </t>
  </si>
  <si>
    <t>INVERSIONES EL NORTE SAS</t>
  </si>
  <si>
    <t>FT 7331</t>
  </si>
  <si>
    <t>LLANTA NUEVA POR UNIDAD</t>
  </si>
  <si>
    <t>MONTAJE DE LLANTAS</t>
  </si>
  <si>
    <t>NO</t>
  </si>
  <si>
    <t>FC01 24</t>
  </si>
  <si>
    <t>DIRECCIONAL ESPEJO</t>
  </si>
  <si>
    <t>FC01 164</t>
  </si>
  <si>
    <t>BATERIA</t>
  </si>
  <si>
    <t>KIT FELPA PARA BATERIA</t>
  </si>
  <si>
    <t>FUSIBLE</t>
  </si>
  <si>
    <t>BOMBILLO</t>
  </si>
  <si>
    <t>CAMBIO BATERIA</t>
  </si>
  <si>
    <t>AJUSTE DE MASAS</t>
  </si>
  <si>
    <t>FC01 369</t>
  </si>
  <si>
    <t xml:space="preserve">JUEGO PASTILLAS FRENOS DELANTEROS </t>
  </si>
  <si>
    <t>FILTRO A/A</t>
  </si>
  <si>
    <t>KIT CADENA DE REPARTICION (CADENILLA, GUIAS Y TENSOR)</t>
  </si>
  <si>
    <t>JUEGO CORREA ACCESORIOS, PATIN, TENSOR</t>
  </si>
  <si>
    <t>EMPAQUES AIRE ACONDICIONADO</t>
  </si>
  <si>
    <t>JUEGO TAPONES EJE DE LEVAS</t>
  </si>
  <si>
    <t>CAMBIO FILTRO AIRE ACONDICIONADO</t>
  </si>
  <si>
    <t>REVISION GENERAL, GRADUACION Y AJUSTE DE FRENOS</t>
  </si>
  <si>
    <t>PURGA SISTEMA DE FRENOS Y CAMBIO DE LIQUIDO</t>
  </si>
  <si>
    <t>CAMBIO PASTILLAS DELANTERAS</t>
  </si>
  <si>
    <t>RECARGA AIRE ACONDICIONADO</t>
  </si>
  <si>
    <t>CAMBIO KIT CORREA ACCESORIOS</t>
  </si>
  <si>
    <t>CAMBIO KIT REPARTICION (CORREA, PATIN, TENSOR)</t>
  </si>
  <si>
    <t>ACEITE SINTETICO</t>
  </si>
  <si>
    <t>VALVULINA</t>
  </si>
  <si>
    <t>FC06 354</t>
  </si>
  <si>
    <t>CORRECTIVO</t>
  </si>
  <si>
    <t>BOMBILLO H16 9600 12V, 51W ALEMAN</t>
  </si>
  <si>
    <t>REV ELECTRICA GENERAL Y LIMPIEZA DE CONECTORES</t>
  </si>
  <si>
    <t>AUTOINVERCOL</t>
  </si>
  <si>
    <t>APV 31378</t>
  </si>
  <si>
    <t>PREVENTIVO</t>
  </si>
  <si>
    <t>PASTILLAS FRENOS</t>
  </si>
  <si>
    <t>SOPORTE</t>
  </si>
  <si>
    <t>CAMBIO EXPLORADOREAS, CAMBIO PLUMILLAS LIMPIA PARABRISAS, REVISIÓN ALARMA</t>
  </si>
  <si>
    <t>APV 31648</t>
  </si>
  <si>
    <t xml:space="preserve">LIQUIDO DE FRENOS X PINTA </t>
  </si>
  <si>
    <t>BOMBILLO EXPLORADORA 0</t>
  </si>
  <si>
    <t>JUEGO DE EXPLORADORAS 0</t>
  </si>
  <si>
    <t>ALARMA COMPLETA 0</t>
  </si>
  <si>
    <t>CARCAZA TOMA DE AIRE MOTOR 0</t>
  </si>
  <si>
    <t>DUCTO TOMA DE AIRE MOTOR</t>
  </si>
  <si>
    <t>LIQUIDO DE FRENOS X PINTA</t>
  </si>
  <si>
    <t>INSTALAR SEGUROS ESPEJOS Y LUNAS 0</t>
  </si>
  <si>
    <t>ALINEACIÓN LUCES 0</t>
  </si>
  <si>
    <t>AJUSTE Y TORQUE DE SUSPENCIÓN 0</t>
  </si>
  <si>
    <t>POLARIZADO</t>
  </si>
  <si>
    <t>MANTENIMIENTO GENERAL DE FRENOS 0</t>
  </si>
  <si>
    <t>MANTENIMINTO Y LIMPIEZA SISTEMA HIDRAULICO 0</t>
  </si>
  <si>
    <t xml:space="preserve">REVISIÓN SISTEMA DE ENENDIDO, SINCRONIZACIÓN MOTOR </t>
  </si>
  <si>
    <t xml:space="preserve">UNION TEMPORAL EL NORTE </t>
  </si>
  <si>
    <t>FVUN 163</t>
  </si>
  <si>
    <t>BUJÍA MOTOR</t>
  </si>
  <si>
    <t>FILTRO DE AIRE</t>
  </si>
  <si>
    <t>BOBINA DE ENCENDIDO</t>
  </si>
  <si>
    <t>JUEGO DE EMPAQUE MULTIPLE DE ADMISIÓN</t>
  </si>
  <si>
    <t>SINCRONIZACIÓN (INCLUYE LAVADO DE INYECTORES, CUERPO DE ACELERACIÓN Y ACTIVIDADES COMPLEMENTARIAS)</t>
  </si>
  <si>
    <t>LAVADO EXTERIOR CAMIONETA</t>
  </si>
  <si>
    <t>LIMPIADOR CUERPO DE ACELERACIÓN</t>
  </si>
  <si>
    <t>REVISIÓN BOMBA GASOLINA, CAMBIO SINCRONIZADOR CAJA VELOCIDADES, CAMBIO LIQUIDO DE FRENOS, JUEGO TAPETES, CAMBIO ACEITE Y FILTROS. ENCENDIDO DEFICIENTE, CAJA DE VELOCIDADES PRESENTA RIGIDEZ AL ENGRANAR 2 MARCHA. PREVENTIVO, TAPETES DETERIORADOS, KILOMETRAJE CUMPLIDO .</t>
  </si>
  <si>
    <t>FVUN 201</t>
  </si>
  <si>
    <t>KIT EMBRAGUE (DISCO, PRENSA Y BALINERA)</t>
  </si>
  <si>
    <t>BALIBOMBA DE EMBRAGUE</t>
  </si>
  <si>
    <t>RETEN DELANTERO CIGÜEÑAL</t>
  </si>
  <si>
    <t>JUNTA TAPA CARTER MOTOR</t>
  </si>
  <si>
    <t>BOMBA DE COMBUSTIBLE</t>
  </si>
  <si>
    <t xml:space="preserve">GUARDA POLVOS CAJA DIRECCIÓN </t>
  </si>
  <si>
    <t>VARSOL</t>
  </si>
  <si>
    <t>LIQUIDO DE FRENOS  X PINTA</t>
  </si>
  <si>
    <t xml:space="preserve">ACEITE MOTOR X CUARTO </t>
  </si>
  <si>
    <t xml:space="preserve">FILTRO DE ACEITE </t>
  </si>
  <si>
    <t xml:space="preserve">TAPETES </t>
  </si>
  <si>
    <t xml:space="preserve">BRONCES DE 3 Y 4 </t>
  </si>
  <si>
    <t xml:space="preserve">BRONCES DE 1 Y 2 </t>
  </si>
  <si>
    <t xml:space="preserve">RETEN TOMA CAJA </t>
  </si>
  <si>
    <t xml:space="preserve">RETEN EJE LADO CAJA </t>
  </si>
  <si>
    <t>SILICONA ALTA TEMPERATURA</t>
  </si>
  <si>
    <t>ACEITE 15W 40</t>
  </si>
  <si>
    <t>REPARACIÓN CAJA MECANICA (MONTE Y DESMONTE)</t>
  </si>
  <si>
    <t>CAMBIO EMBREGUE COMPLETO (DISCO, PRENSA Y BALINERA)</t>
  </si>
  <si>
    <t>REVISIÓN GENERAL, GRADUACIÓN Y AJUSTE DE FRENOS</t>
  </si>
  <si>
    <t xml:space="preserve">CAMBIO DE RETENEDOR DE CIGÜEÑAL </t>
  </si>
  <si>
    <t>CAMBIO BOMBA COMBUSTIBLE</t>
  </si>
  <si>
    <t>CAMBIO DE GUARDAPOLVO LADO CAJA</t>
  </si>
  <si>
    <t xml:space="preserve">ALINEACIÓN </t>
  </si>
  <si>
    <t>LAVADO GENERAL AUTOMOVIL</t>
  </si>
  <si>
    <t>CAMBIO DE BATERIA, BATERIA NO MANTENE CARGA</t>
  </si>
  <si>
    <t>FVUN 206</t>
  </si>
  <si>
    <t>Nota: Si este documento se encuentra impreso se considera Copia no Controlada. La versión vigente está publicada en la intranet de la Personería de Bogotá, D. C.</t>
  </si>
  <si>
    <t>ABRAZADERA 450x720 NEGRA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</si>
  <si>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</si>
  <si>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</si>
  <si>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</si>
  <si>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</si>
  <si>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</si>
  <si>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</si>
  <si>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 10W40</t>
  </si>
  <si>
    <t xml:space="preserve">PREVENTIVO 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</si>
  <si>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</si>
  <si>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</si>
  <si>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</si>
  <si>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</si>
  <si>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</si>
  <si>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</si>
  <si>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</si>
  <si>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</si>
  <si>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</si>
  <si>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</si>
  <si>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</si>
  <si>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</si>
  <si>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</si>
  <si>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</si>
  <si>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</si>
  <si>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</si>
  <si>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</si>
  <si>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</si>
  <si>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</si>
  <si>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</si>
  <si>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</si>
  <si>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</si>
  <si>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</si>
  <si>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</si>
  <si>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</si>
  <si>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</si>
  <si>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</si>
  <si>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</si>
  <si>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</si>
  <si>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</si>
  <si>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</si>
  <si>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</si>
  <si>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</si>
  <si>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</si>
  <si>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</si>
  <si>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</si>
  <si>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</si>
  <si>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</si>
  <si>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 12 V 158 K5 3 W</t>
  </si>
  <si>
    <t>BOMBILLO 12 V 159 K5 1.2 W</t>
  </si>
  <si>
    <t>BOMBILLO EXPLORADORA</t>
  </si>
  <si>
    <t>BOMBILLO FAROLA</t>
  </si>
  <si>
    <t>BOMBILLO H4 P43 55/60 W 12 V</t>
  </si>
  <si>
    <t>BOMBILLO STOP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</si>
  <si>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</si>
  <si>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</si>
  <si>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</si>
  <si>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</si>
  <si>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</si>
  <si>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</si>
  <si>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</si>
  <si>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</si>
  <si>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</si>
  <si>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</si>
  <si>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</si>
  <si>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</si>
  <si>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</si>
  <si>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</si>
  <si>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</si>
  <si>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</si>
  <si>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</si>
  <si>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</si>
  <si>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</si>
  <si>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</si>
  <si>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</si>
  <si>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</si>
  <si>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</si>
  <si>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</si>
  <si>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</si>
  <si>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</si>
  <si>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</si>
  <si>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</si>
  <si>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</si>
  <si>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</si>
  <si>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BUJES TIJERA INFERIOR Y SUPERIOR</t>
  </si>
  <si>
    <t>CAMBIO CERRADURA</t>
  </si>
  <si>
    <t>CAMBIO CILINDRO DE FRENO</t>
  </si>
  <si>
    <t>CAMBIO CORREAS</t>
  </si>
  <si>
    <t>CAMBIO CREMALLERA</t>
  </si>
  <si>
    <t>CAMBIO DE ACEITE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</si>
  <si>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</si>
  <si>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</si>
  <si>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</si>
  <si>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</si>
  <si>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</si>
  <si>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</si>
  <si>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</si>
  <si>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</si>
  <si>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</si>
  <si>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</si>
  <si>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</si>
  <si>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EMBRAGUE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</si>
  <si>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</si>
  <si>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</si>
  <si>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</si>
  <si>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</si>
  <si>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</si>
  <si>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</si>
  <si>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</si>
  <si>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</si>
  <si>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</si>
  <si>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</si>
  <si>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</si>
  <si>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</si>
  <si>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</si>
  <si>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</si>
  <si>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</si>
  <si>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</si>
  <si>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</si>
  <si>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</si>
  <si>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</si>
  <si>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</si>
  <si>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</si>
  <si>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</si>
  <si>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</si>
  <si>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</si>
  <si>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</si>
  <si>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</si>
  <si>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</si>
  <si>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</si>
  <si>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</si>
  <si>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</si>
  <si>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</si>
  <si>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</si>
  <si>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</si>
  <si>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</si>
  <si>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</si>
  <si>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</si>
  <si>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</si>
  <si>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</si>
  <si>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</si>
  <si>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</si>
  <si>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</si>
  <si>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</si>
  <si>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</si>
  <si>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</si>
  <si>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</si>
  <si>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</si>
  <si>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</si>
  <si>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</si>
  <si>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</si>
  <si>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</si>
  <si>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</si>
  <si>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</si>
  <si>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</si>
  <si>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</si>
  <si>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</si>
  <si>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</si>
  <si>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</si>
  <si>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</si>
  <si>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</si>
  <si>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</si>
  <si>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</si>
  <si>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</si>
  <si>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</si>
  <si>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</si>
  <si>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</si>
  <si>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</si>
  <si>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</si>
  <si>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</si>
  <si>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DUCTO ENTRADA AIRE</t>
  </si>
  <si>
    <t>DUCTO SALIDA FILTRO AIRE</t>
  </si>
  <si>
    <t>EMBUJAR MORDAZAS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</si>
  <si>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</si>
  <si>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</si>
  <si>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</si>
  <si>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</si>
  <si>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</si>
  <si>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</si>
  <si>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</si>
  <si>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</si>
  <si>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</si>
  <si>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</si>
  <si>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</si>
  <si>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</si>
  <si>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</si>
  <si>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</si>
  <si>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COMBUSTIBLE</t>
  </si>
  <si>
    <t>FILTRO TRAMPA AGUA</t>
  </si>
  <si>
    <t>FUNDA PALANCA CONTROL CAMBIOS</t>
  </si>
  <si>
    <t>FUSIBLE MINI 10 AMP</t>
  </si>
  <si>
    <t>G/POLVO PALANCA CAMBIOS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</si>
  <si>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</si>
  <si>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</si>
  <si>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</si>
  <si>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</si>
  <si>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</si>
  <si>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</si>
  <si>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</si>
  <si>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</si>
  <si>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</si>
  <si>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</si>
  <si>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</si>
  <si>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</si>
  <si>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</si>
  <si>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DE AMORTIGUADORES DELANTEROS</t>
  </si>
  <si>
    <t xml:space="preserve">JUEGO DE AMORTIGUADORES TRASEROS 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</si>
  <si>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</si>
  <si>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</si>
  <si>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</si>
  <si>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</si>
  <si>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</si>
  <si>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</si>
  <si>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</si>
  <si>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>JUEGO PLUMILLA LIMPIA PARABRISA 18"</t>
  </si>
  <si>
    <t>JUEGO PLUMILLAS 20 PULGADAS</t>
  </si>
  <si>
    <t>JUEGO PLUMILLAS 20" SILICONADA</t>
  </si>
  <si>
    <t xml:space="preserve">KIT CORREA DE REPARTICION </t>
  </si>
  <si>
    <t>KIT DE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</si>
  <si>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</si>
  <si>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</si>
  <si>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</si>
  <si>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</si>
  <si>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</si>
  <si>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</si>
  <si>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</si>
  <si>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</si>
  <si>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</si>
  <si>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</si>
  <si>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</si>
  <si>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</si>
  <si>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</si>
  <si>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</si>
  <si>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</si>
  <si>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</si>
  <si>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</si>
  <si>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REFRIGERANTE</t>
  </si>
  <si>
    <t>LIQUIDO REFRIGERANTE NALC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</si>
  <si>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</si>
  <si>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</si>
  <si>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</si>
  <si>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</si>
  <si>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</si>
  <si>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</si>
  <si>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</si>
  <si>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</si>
  <si>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</si>
  <si>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</si>
  <si>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</si>
  <si>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</si>
  <si>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</si>
  <si>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</si>
  <si>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</si>
  <si>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</si>
  <si>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</si>
  <si>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</si>
  <si>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</si>
  <si>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</si>
  <si>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</si>
  <si>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</si>
  <si>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</si>
  <si>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</si>
  <si>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</si>
  <si>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</si>
  <si>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</si>
  <si>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</si>
  <si>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</si>
  <si>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</si>
  <si>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</si>
  <si>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</si>
  <si>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</si>
  <si>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</si>
  <si>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</si>
  <si>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</si>
  <si>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</si>
  <si>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</si>
  <si>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</si>
  <si>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</si>
  <si>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</si>
  <si>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</si>
  <si>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</si>
  <si>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</si>
  <si>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</si>
  <si>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</si>
  <si>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</si>
  <si>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</si>
  <si>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</si>
  <si>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</si>
  <si>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</si>
  <si>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</si>
  <si>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</si>
  <si>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</si>
  <si>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</si>
  <si>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</si>
  <si>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</si>
  <si>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</si>
  <si>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</si>
  <si>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</si>
  <si>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</si>
  <si>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</si>
  <si>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REPARAR CAJA VELOCIDADES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</si>
  <si>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</si>
  <si>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</si>
  <si>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</si>
  <si>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</si>
  <si>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</si>
  <si>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</si>
  <si>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</si>
  <si>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</si>
  <si>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</si>
  <si>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</si>
  <si>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SISTEMA REFRIGERACION</t>
  </si>
  <si>
    <t>REVISION ALTERNADOR</t>
  </si>
  <si>
    <t>REVISION CINTURONES DE SEGURIDAD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</si>
  <si>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</si>
  <si>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</si>
  <si>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</si>
  <si>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</si>
  <si>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</si>
  <si>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</si>
  <si>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Y RUTEO CABLEADO ELECTRICO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</si>
  <si>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</si>
  <si>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</si>
  <si>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</si>
  <si>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</si>
  <si>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</si>
  <si>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</si>
  <si>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</si>
  <si>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</si>
  <si>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</si>
  <si>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</si>
  <si>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</si>
  <si>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</si>
  <si>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</si>
  <si>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</si>
  <si>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</si>
  <si>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</si>
  <si>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</si>
  <si>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</si>
  <si>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</si>
  <si>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</si>
  <si>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</si>
  <si>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</si>
  <si>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</si>
  <si>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</si>
  <si>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</si>
  <si>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</si>
  <si>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</si>
  <si>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</si>
  <si>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</si>
  <si>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</si>
  <si>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</si>
  <si>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</si>
  <si>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</si>
  <si>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</si>
  <si>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</si>
  <si>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</si>
  <si>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</si>
  <si>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</si>
  <si>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</si>
  <si>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</si>
  <si>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</si>
  <si>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</si>
  <si>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</si>
  <si>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</si>
  <si>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TAPIZADO SILLA CONDUCTOR</t>
  </si>
  <si>
    <t>TAPON CULATA EJE DE LEVAS TRASERO</t>
  </si>
  <si>
    <t>TEMPLETE SUPERIOR CARROCERIA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</si>
  <si>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</si>
  <si>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</si>
  <si>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</si>
  <si>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</si>
  <si>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</si>
  <si>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</si>
  <si>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</si>
  <si>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</si>
  <si>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</si>
  <si>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</si>
  <si>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</si>
  <si>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</si>
  <si>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</si>
  <si>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</si>
  <si>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</si>
  <si>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</si>
  <si>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</si>
  <si>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VENTILADOR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</si>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</sst>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-[$$-240A]\ * #,##0_-;\-[$$-240A]\ * #,##0_-;_-[$$-240A]\ * &quot;-&quot;_-;_-@_-"/>
    <numFmt numFmtId="166" formatCode="_-[$$-240A]\ * #,##0.00_-;\-[$$-240A]\ * #,##0.00_-;_-[$$-240A]\ 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90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 applyAlignment="1">
      <alignment wrapText="1"/>
    </xf>
    <xf numFmtId="164" fontId="5" fillId="0" borderId="1" xfId="1" applyFont="1" applyFill="1" applyBorder="1" applyAlignment="1">
      <alignment vertical="center"/>
    </xf>
    <xf numFmtId="164" fontId="5" fillId="0" borderId="1" xfId="1" applyFont="1" applyBorder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4" fontId="10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/>
    <xf numFmtId="0" fontId="21" fillId="0" borderId="1" xfId="0" applyFont="1" applyBorder="1"/>
    <xf numFmtId="0" fontId="21" fillId="6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0" fillId="0" borderId="0" xfId="0" applyNumberFormat="1"/>
    <xf numFmtId="0" fontId="5" fillId="7" borderId="0" xfId="0" applyFont="1" applyFill="1"/>
    <xf numFmtId="3" fontId="9" fillId="0" borderId="1" xfId="0" applyNumberFormat="1" applyFont="1" applyBorder="1" applyAlignment="1">
      <alignment horizontal="center"/>
    </xf>
    <xf numFmtId="14" fontId="10" fillId="5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top" wrapText="1"/>
    </xf>
    <xf numFmtId="3" fontId="9" fillId="5" borderId="1" xfId="0" applyNumberFormat="1" applyFont="1" applyFill="1" applyBorder="1" applyAlignment="1">
      <alignment horizontal="center"/>
    </xf>
    <xf numFmtId="0" fontId="21" fillId="6" borderId="4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25" fillId="0" borderId="0" xfId="0" applyFont="1"/>
    <xf numFmtId="0" fontId="10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5" xfId="0" applyNumberFormat="1" applyFont="1" applyBorder="1"/>
    <xf numFmtId="0" fontId="21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10" fillId="0" borderId="5" xfId="0" applyFont="1" applyBorder="1" applyAlignment="1">
      <alignment horizontal="center"/>
    </xf>
    <xf numFmtId="164" fontId="10" fillId="0" borderId="5" xfId="1" applyFont="1" applyFill="1" applyBorder="1" applyAlignment="1">
      <alignment horizontal="center" vertical="center"/>
    </xf>
    <xf numFmtId="164" fontId="5" fillId="0" borderId="5" xfId="1" applyFont="1" applyFill="1" applyBorder="1" applyAlignment="1">
      <alignment vertical="center"/>
    </xf>
    <xf numFmtId="164" fontId="10" fillId="0" borderId="5" xfId="1" applyFont="1" applyBorder="1" applyAlignment="1">
      <alignment horizontal="center" vertical="center"/>
    </xf>
    <xf numFmtId="164" fontId="5" fillId="0" borderId="5" xfId="1" applyFont="1" applyBorder="1" applyAlignment="1">
      <alignment vertical="center"/>
    </xf>
    <xf numFmtId="164" fontId="10" fillId="0" borderId="6" xfId="1" applyFont="1" applyFill="1" applyBorder="1" applyAlignment="1">
      <alignment horizontal="center" vertical="center"/>
    </xf>
    <xf numFmtId="164" fontId="10" fillId="0" borderId="6" xfId="1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5" fillId="0" borderId="6" xfId="0" applyNumberFormat="1" applyFont="1" applyBorder="1"/>
    <xf numFmtId="0" fontId="21" fillId="0" borderId="6" xfId="0" applyFont="1" applyBorder="1"/>
    <xf numFmtId="0" fontId="5" fillId="0" borderId="6" xfId="0" applyFont="1" applyBorder="1" applyAlignment="1">
      <alignment wrapText="1"/>
    </xf>
    <xf numFmtId="0" fontId="10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vertical="center"/>
    </xf>
    <xf numFmtId="164" fontId="10" fillId="0" borderId="9" xfId="1" applyFont="1" applyFill="1" applyBorder="1" applyAlignment="1">
      <alignment horizontal="center" vertical="center"/>
    </xf>
    <xf numFmtId="164" fontId="5" fillId="0" borderId="9" xfId="1" applyFont="1" applyFill="1" applyBorder="1" applyAlignment="1">
      <alignment vertical="center"/>
    </xf>
    <xf numFmtId="164" fontId="10" fillId="0" borderId="9" xfId="1" applyFont="1" applyBorder="1" applyAlignment="1">
      <alignment horizontal="center" vertical="center"/>
    </xf>
    <xf numFmtId="164" fontId="5" fillId="0" borderId="9" xfId="1" applyFont="1" applyBorder="1" applyAlignment="1">
      <alignment vertical="center"/>
    </xf>
    <xf numFmtId="165" fontId="0" fillId="0" borderId="9" xfId="0" applyNumberFormat="1" applyBorder="1" applyAlignment="1">
      <alignment horizontal="center" vertical="center"/>
    </xf>
    <xf numFmtId="165" fontId="27" fillId="0" borderId="9" xfId="2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1" fillId="0" borderId="9" xfId="0" applyFont="1" applyBorder="1"/>
    <xf numFmtId="14" fontId="5" fillId="0" borderId="10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27" fillId="0" borderId="9" xfId="2" applyNumberFormat="1" applyFont="1" applyBorder="1" applyAlignment="1">
      <alignment vertical="center"/>
    </xf>
    <xf numFmtId="0" fontId="27" fillId="0" borderId="9" xfId="2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66" fontId="5" fillId="0" borderId="9" xfId="0" applyNumberFormat="1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4" fontId="5" fillId="0" borderId="11" xfId="0" applyNumberFormat="1" applyFont="1" applyBorder="1" applyAlignment="1">
      <alignment vertical="center"/>
    </xf>
    <xf numFmtId="14" fontId="5" fillId="0" borderId="16" xfId="0" applyNumberFormat="1" applyFont="1" applyBorder="1" applyAlignment="1">
      <alignment vertical="center"/>
    </xf>
    <xf numFmtId="14" fontId="5" fillId="0" borderId="9" xfId="0" applyNumberFormat="1" applyFont="1" applyBorder="1" applyAlignment="1">
      <alignment horizontal="center" vertical="center"/>
    </xf>
    <xf numFmtId="0" fontId="21" fillId="0" borderId="14" xfId="0" applyFont="1" applyBorder="1"/>
    <xf numFmtId="0" fontId="21" fillId="0" borderId="9" xfId="0" applyFont="1" applyBorder="1" applyAlignment="1">
      <alignment wrapText="1"/>
    </xf>
    <xf numFmtId="166" fontId="4" fillId="0" borderId="1" xfId="0" applyNumberFormat="1" applyFont="1" applyBorder="1" applyAlignment="1">
      <alignment horizontal="left" vertical="center" wrapText="1"/>
    </xf>
    <xf numFmtId="166" fontId="11" fillId="3" borderId="2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vertical="center"/>
    </xf>
    <xf numFmtId="166" fontId="5" fillId="0" borderId="5" xfId="0" applyNumberFormat="1" applyFont="1" applyBorder="1" applyAlignment="1">
      <alignment vertical="center"/>
    </xf>
    <xf numFmtId="166" fontId="0" fillId="0" borderId="0" xfId="0" applyNumberFormat="1"/>
    <xf numFmtId="0" fontId="0" fillId="0" borderId="9" xfId="0" applyBorder="1"/>
    <xf numFmtId="0" fontId="5" fillId="0" borderId="14" xfId="0" applyFont="1" applyBorder="1" applyAlignment="1">
      <alignment wrapText="1"/>
    </xf>
    <xf numFmtId="0" fontId="21" fillId="0" borderId="11" xfId="0" applyFont="1" applyBorder="1"/>
    <xf numFmtId="0" fontId="21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26" fillId="0" borderId="11" xfId="2" applyFill="1" applyBorder="1" applyAlignment="1">
      <alignment horizontal="center" vertical="center"/>
    </xf>
    <xf numFmtId="0" fontId="26" fillId="0" borderId="12" xfId="2" applyFill="1" applyBorder="1" applyAlignment="1">
      <alignment horizontal="center" vertical="center"/>
    </xf>
    <xf numFmtId="0" fontId="26" fillId="0" borderId="13" xfId="2" applyFill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26" fillId="0" borderId="11" xfId="2" applyBorder="1" applyAlignment="1">
      <alignment horizontal="center" vertical="center"/>
    </xf>
    <xf numFmtId="0" fontId="26" fillId="0" borderId="12" xfId="2" applyBorder="1" applyAlignment="1">
      <alignment horizontal="center" vertical="center"/>
    </xf>
    <xf numFmtId="0" fontId="26" fillId="0" borderId="13" xfId="2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6" fontId="0" fillId="0" borderId="9" xfId="0" applyNumberFormat="1" applyBorder="1" applyAlignment="1">
      <alignment vertical="center"/>
    </xf>
    <xf numFmtId="14" fontId="5" fillId="0" borderId="13" xfId="0" applyNumberFormat="1" applyFont="1" applyBorder="1" applyAlignment="1">
      <alignment vertical="center"/>
    </xf>
    <xf numFmtId="14" fontId="5" fillId="0" borderId="23" xfId="0" applyNumberFormat="1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/>
    </xf>
    <xf numFmtId="0" fontId="5" fillId="0" borderId="13" xfId="0" applyFont="1" applyBorder="1" applyAlignment="1">
      <alignment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6" xfId="0" applyFont="1" applyBorder="1"/>
    <xf numFmtId="0" fontId="26" fillId="0" borderId="9" xfId="2" applyFill="1" applyBorder="1" applyAlignment="1">
      <alignment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LN047_127220_FACT_FVUN163.pdf?csf=1&amp;web=1&amp;e=qI0CVW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personeriabogota-my.sharepoint.com/:b:/g/personal/sgdrecfisicos_personeriabogota_gov_co/EdSTVyEW5HBOjOdwK3TRNdcBdkXct9Fp48npcezr0KfF-w?e=NguVjY" TargetMode="External"/><Relationship Id="rId1" Type="http://schemas.openxmlformats.org/officeDocument/2006/relationships/hyperlink" Target="https://personeriabogota-my.sharepoint.com/personal/sgdrecfisicos_personeriabogota_gov_co/_layouts/15/onedrive.aspx?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OLN047%5F122099%5FMANT%5FFACT%5F31378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LN047_129502_FACT_FVUN206.pdf?csf=1&amp;web=1&amp;e=Qc7wah" TargetMode="External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LN047_129044_FACT_FVUN201.pdf?csf=1&amp;web=1&amp;e=8e6z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0"/>
  <sheetViews>
    <sheetView tabSelected="1" topLeftCell="A122" workbookViewId="0">
      <selection activeCell="Y129" sqref="Y129"/>
    </sheetView>
  </sheetViews>
  <sheetFormatPr defaultColWidth="0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13.140625" customWidth="1"/>
    <col min="7" max="7" width="14.85546875" customWidth="1"/>
    <col min="8" max="8" width="14.7109375" style="50" customWidth="1"/>
    <col min="9" max="9" width="11.7109375" customWidth="1"/>
    <col min="10" max="10" width="11" customWidth="1"/>
    <col min="11" max="11" width="14.42578125" customWidth="1"/>
    <col min="12" max="12" width="19.42578125" customWidth="1"/>
    <col min="13" max="13" width="14.85546875" hidden="1" customWidth="1"/>
    <col min="14" max="14" width="14.7109375" customWidth="1"/>
    <col min="15" max="15" width="13.85546875" bestFit="1" customWidth="1"/>
    <col min="16" max="16" width="12.85546875" customWidth="1"/>
    <col min="17" max="17" width="11.42578125" customWidth="1"/>
    <col min="18" max="18" width="12.7109375" bestFit="1" customWidth="1"/>
    <col min="19" max="19" width="14.140625" customWidth="1"/>
    <col min="20" max="20" width="15.85546875" customWidth="1"/>
    <col min="21" max="21" width="13.42578125" customWidth="1"/>
    <col min="22" max="22" width="15.7109375" customWidth="1"/>
    <col min="23" max="23" width="14.140625" style="109" customWidth="1"/>
    <col min="24" max="24" width="14.5703125" bestFit="1" customWidth="1"/>
    <col min="25" max="25" width="15.28515625" bestFit="1" customWidth="1"/>
    <col min="26" max="26" width="3.7109375" bestFit="1" customWidth="1"/>
  </cols>
  <sheetData>
    <row r="1" spans="1:23">
      <c r="A1" s="1"/>
      <c r="B1" s="1"/>
      <c r="C1" s="140" t="s">
        <v>0</v>
      </c>
      <c r="D1" s="141"/>
      <c r="E1" s="141"/>
      <c r="F1" s="142" t="s">
        <v>1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 t="s">
        <v>2</v>
      </c>
      <c r="V1" s="144"/>
      <c r="W1" s="144"/>
    </row>
    <row r="2" spans="1:23">
      <c r="A2" s="1"/>
      <c r="B2" s="1"/>
      <c r="C2" s="141"/>
      <c r="D2" s="141"/>
      <c r="E2" s="141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4" t="s">
        <v>3</v>
      </c>
      <c r="V2" s="144"/>
      <c r="W2" s="105" t="s">
        <v>4</v>
      </c>
    </row>
    <row r="3" spans="1:23">
      <c r="A3" s="1"/>
      <c r="B3" s="1"/>
      <c r="C3" s="141"/>
      <c r="D3" s="141"/>
      <c r="E3" s="141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4" t="s">
        <v>5</v>
      </c>
      <c r="V3" s="144"/>
      <c r="W3" s="144"/>
    </row>
    <row r="4" spans="1:23">
      <c r="A4" s="1"/>
      <c r="B4" s="1"/>
      <c r="C4" s="141"/>
      <c r="D4" s="141"/>
      <c r="E4" s="141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4"/>
      <c r="V4" s="144"/>
      <c r="W4" s="144"/>
    </row>
    <row r="5" spans="1:23" ht="23.25">
      <c r="A5" s="1"/>
      <c r="B5" s="1"/>
      <c r="C5" s="137" t="s">
        <v>6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</row>
    <row r="6" spans="1:23" ht="18">
      <c r="A6" s="1"/>
      <c r="B6" s="1"/>
      <c r="C6" s="138" t="s">
        <v>7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</row>
    <row r="7" spans="1:23" ht="25.5">
      <c r="A7" s="1"/>
      <c r="B7" s="1"/>
      <c r="C7" s="25" t="s">
        <v>8</v>
      </c>
      <c r="D7" s="25" t="s">
        <v>9</v>
      </c>
      <c r="E7" s="2" t="s">
        <v>10</v>
      </c>
      <c r="F7" s="139" t="s">
        <v>11</v>
      </c>
      <c r="G7" s="139"/>
      <c r="H7" s="139" t="s">
        <v>12</v>
      </c>
      <c r="I7" s="139"/>
      <c r="J7" s="139" t="s">
        <v>13</v>
      </c>
      <c r="K7" s="139"/>
      <c r="L7" s="139" t="s">
        <v>14</v>
      </c>
      <c r="M7" s="139"/>
      <c r="N7" s="25" t="s">
        <v>15</v>
      </c>
      <c r="O7" s="139" t="s">
        <v>16</v>
      </c>
      <c r="P7" s="139"/>
      <c r="Q7" s="139" t="s">
        <v>17</v>
      </c>
      <c r="R7" s="139"/>
      <c r="S7" s="139" t="s">
        <v>18</v>
      </c>
      <c r="T7" s="139"/>
      <c r="U7" s="25" t="s">
        <v>19</v>
      </c>
      <c r="V7" s="139" t="s">
        <v>20</v>
      </c>
      <c r="W7" s="139"/>
    </row>
    <row r="8" spans="1:23" s="30" customFormat="1">
      <c r="A8" s="11"/>
      <c r="B8" s="11"/>
      <c r="C8" s="3" t="s">
        <v>21</v>
      </c>
      <c r="D8" s="28" t="s">
        <v>22</v>
      </c>
      <c r="E8" s="29" t="s">
        <v>23</v>
      </c>
      <c r="F8" s="147" t="s">
        <v>24</v>
      </c>
      <c r="G8" s="147"/>
      <c r="H8" s="147" t="s">
        <v>25</v>
      </c>
      <c r="I8" s="147"/>
      <c r="J8" s="148" t="s">
        <v>26</v>
      </c>
      <c r="K8" s="148"/>
      <c r="L8" s="147" t="s">
        <v>27</v>
      </c>
      <c r="M8" s="147"/>
      <c r="N8" s="28">
        <v>1599</v>
      </c>
      <c r="O8" s="147" t="s">
        <v>27</v>
      </c>
      <c r="P8" s="147"/>
      <c r="Q8" s="149" t="s">
        <v>23</v>
      </c>
      <c r="R8" s="149"/>
      <c r="S8" s="150">
        <v>10015511132</v>
      </c>
      <c r="T8" s="150"/>
      <c r="U8" s="22">
        <v>5</v>
      </c>
      <c r="V8" s="151" t="s">
        <v>28</v>
      </c>
      <c r="W8" s="151"/>
    </row>
    <row r="9" spans="1:23" ht="18">
      <c r="A9" s="4"/>
      <c r="B9" s="4"/>
      <c r="C9" s="138" t="s">
        <v>29</v>
      </c>
      <c r="D9" s="138"/>
      <c r="E9" s="138"/>
      <c r="F9" s="138"/>
      <c r="G9" s="138"/>
      <c r="H9" s="138"/>
      <c r="I9" s="138" t="s">
        <v>30</v>
      </c>
      <c r="J9" s="138"/>
      <c r="K9" s="138"/>
      <c r="L9" s="138"/>
      <c r="M9" s="138"/>
      <c r="N9" s="138"/>
      <c r="O9" s="138"/>
      <c r="P9" s="138"/>
      <c r="Q9" s="138" t="s">
        <v>31</v>
      </c>
      <c r="R9" s="138"/>
      <c r="S9" s="138"/>
      <c r="T9" s="138"/>
      <c r="U9" s="138"/>
      <c r="V9" s="138"/>
      <c r="W9" s="138"/>
    </row>
    <row r="10" spans="1:23" ht="30" customHeight="1">
      <c r="A10" s="8"/>
      <c r="B10" s="8"/>
      <c r="C10" s="5" t="s">
        <v>32</v>
      </c>
      <c r="D10" s="6" t="s">
        <v>33</v>
      </c>
      <c r="E10" s="6" t="s">
        <v>34</v>
      </c>
      <c r="F10" s="5" t="s">
        <v>32</v>
      </c>
      <c r="G10" s="6" t="s">
        <v>33</v>
      </c>
      <c r="H10" s="6" t="s">
        <v>34</v>
      </c>
      <c r="I10" s="145" t="s">
        <v>35</v>
      </c>
      <c r="J10" s="145"/>
      <c r="K10" s="6" t="s">
        <v>33</v>
      </c>
      <c r="L10" s="6" t="s">
        <v>34</v>
      </c>
      <c r="M10" s="145" t="s">
        <v>35</v>
      </c>
      <c r="N10" s="145"/>
      <c r="O10" s="6" t="s">
        <v>33</v>
      </c>
      <c r="P10" s="6" t="s">
        <v>34</v>
      </c>
      <c r="Q10" s="7" t="s">
        <v>36</v>
      </c>
      <c r="R10" s="145" t="s">
        <v>37</v>
      </c>
      <c r="S10" s="145"/>
      <c r="T10" s="145"/>
      <c r="U10" s="146" t="s">
        <v>38</v>
      </c>
      <c r="V10" s="146"/>
      <c r="W10" s="146"/>
    </row>
    <row r="11" spans="1:23">
      <c r="A11" s="9"/>
      <c r="B11" s="9"/>
      <c r="C11" s="24">
        <v>184644014</v>
      </c>
      <c r="D11" s="23">
        <v>43126</v>
      </c>
      <c r="E11" s="23">
        <v>43490</v>
      </c>
      <c r="F11" s="24"/>
      <c r="G11" s="23"/>
      <c r="H11" s="26"/>
      <c r="I11" s="152"/>
      <c r="J11" s="153"/>
      <c r="K11" s="26"/>
      <c r="L11" s="26"/>
      <c r="M11" s="154"/>
      <c r="N11" s="154"/>
      <c r="O11" s="26"/>
      <c r="P11" s="26"/>
      <c r="Q11" s="26"/>
      <c r="R11" s="150"/>
      <c r="S11" s="150"/>
      <c r="T11" s="150"/>
      <c r="U11" s="155"/>
      <c r="V11" s="155"/>
      <c r="W11" s="155"/>
    </row>
    <row r="12" spans="1:23">
      <c r="A12" s="10"/>
      <c r="B12" s="10"/>
      <c r="C12" s="24">
        <v>14730800001820</v>
      </c>
      <c r="D12" s="23">
        <v>43856</v>
      </c>
      <c r="E12" s="23">
        <v>44221</v>
      </c>
      <c r="F12" s="24"/>
      <c r="G12" s="23"/>
      <c r="H12" s="26"/>
      <c r="I12" s="156"/>
      <c r="J12" s="156"/>
      <c r="K12" s="26"/>
      <c r="L12" s="26"/>
      <c r="M12" s="156"/>
      <c r="N12" s="155"/>
      <c r="O12" s="26"/>
      <c r="P12" s="26"/>
      <c r="Q12" s="26"/>
      <c r="R12" s="150"/>
      <c r="S12" s="150"/>
      <c r="T12" s="150"/>
      <c r="U12" s="155"/>
      <c r="V12" s="155"/>
      <c r="W12" s="155"/>
    </row>
    <row r="13" spans="1:23">
      <c r="A13" s="11"/>
      <c r="B13" s="11"/>
      <c r="C13" s="24">
        <v>9201121000593</v>
      </c>
      <c r="D13" s="23">
        <v>44222</v>
      </c>
      <c r="E13" s="23">
        <v>44586</v>
      </c>
      <c r="F13" s="24"/>
      <c r="G13" s="23"/>
      <c r="H13" s="26"/>
      <c r="I13" s="156"/>
      <c r="J13" s="155"/>
      <c r="K13" s="26"/>
      <c r="L13" s="26"/>
      <c r="M13" s="156"/>
      <c r="N13" s="155"/>
      <c r="O13" s="26"/>
      <c r="P13" s="26"/>
      <c r="Q13" s="26"/>
      <c r="R13" s="150"/>
      <c r="S13" s="150"/>
      <c r="T13" s="150"/>
      <c r="U13" s="155"/>
      <c r="V13" s="155"/>
      <c r="W13" s="155"/>
    </row>
    <row r="14" spans="1:23">
      <c r="A14" s="11"/>
      <c r="B14" s="11"/>
      <c r="C14" s="24"/>
      <c r="D14" s="23"/>
      <c r="E14" s="23"/>
      <c r="F14" s="24"/>
      <c r="G14" s="23"/>
      <c r="H14" s="26"/>
      <c r="I14" s="156"/>
      <c r="J14" s="155"/>
      <c r="K14" s="26"/>
      <c r="L14" s="26"/>
      <c r="M14" s="157"/>
      <c r="N14" s="156"/>
      <c r="O14" s="26"/>
      <c r="P14" s="26"/>
      <c r="Q14" s="26"/>
      <c r="R14" s="150"/>
      <c r="S14" s="150"/>
      <c r="T14" s="150"/>
      <c r="U14" s="155"/>
      <c r="V14" s="155"/>
      <c r="W14" s="155"/>
    </row>
    <row r="15" spans="1:23">
      <c r="A15" s="11"/>
      <c r="B15" s="11"/>
      <c r="C15" s="27"/>
      <c r="D15" s="23"/>
      <c r="E15" s="23"/>
      <c r="F15" s="24"/>
      <c r="G15" s="23"/>
      <c r="H15" s="26"/>
      <c r="I15" s="156"/>
      <c r="J15" s="155"/>
      <c r="K15" s="26"/>
      <c r="L15" s="26"/>
      <c r="M15" s="157"/>
      <c r="N15" s="156"/>
      <c r="O15" s="26"/>
      <c r="P15" s="26"/>
      <c r="Q15" s="26"/>
      <c r="R15" s="150"/>
      <c r="S15" s="150"/>
      <c r="T15" s="150"/>
      <c r="U15" s="155"/>
      <c r="V15" s="155"/>
      <c r="W15" s="155"/>
    </row>
    <row r="16" spans="1:23">
      <c r="A16" s="11"/>
      <c r="B16" s="11"/>
      <c r="C16" s="24"/>
      <c r="D16" s="23"/>
      <c r="E16" s="23"/>
      <c r="F16" s="24"/>
      <c r="G16" s="23"/>
      <c r="H16" s="26"/>
      <c r="I16" s="159"/>
      <c r="J16" s="159"/>
      <c r="K16" s="26"/>
      <c r="L16" s="26"/>
      <c r="M16" s="155"/>
      <c r="N16" s="155"/>
      <c r="O16" s="26"/>
      <c r="P16" s="26"/>
      <c r="Q16" s="26"/>
      <c r="R16" s="150"/>
      <c r="S16" s="150"/>
      <c r="T16" s="150"/>
      <c r="U16" s="155"/>
      <c r="V16" s="155"/>
      <c r="W16" s="155"/>
    </row>
    <row r="17" spans="1:25" ht="18">
      <c r="A17" s="11"/>
      <c r="B17" s="11"/>
      <c r="C17" s="138" t="s">
        <v>39</v>
      </c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25" ht="44.25">
      <c r="A18" s="11"/>
      <c r="B18" s="11"/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3" t="s">
        <v>46</v>
      </c>
      <c r="J18" s="12" t="s">
        <v>47</v>
      </c>
      <c r="K18" s="12" t="s">
        <v>48</v>
      </c>
      <c r="L18" s="12" t="s">
        <v>49</v>
      </c>
      <c r="M18" s="12"/>
      <c r="N18" s="12" t="s">
        <v>50</v>
      </c>
      <c r="O18" s="12" t="s">
        <v>51</v>
      </c>
      <c r="P18" s="12" t="s">
        <v>52</v>
      </c>
      <c r="Q18" s="12" t="s">
        <v>53</v>
      </c>
      <c r="R18" s="12" t="s">
        <v>54</v>
      </c>
      <c r="S18" s="12" t="s">
        <v>55</v>
      </c>
      <c r="T18" s="12" t="s">
        <v>56</v>
      </c>
      <c r="U18" s="12" t="s">
        <v>57</v>
      </c>
      <c r="V18" s="12" t="s">
        <v>58</v>
      </c>
      <c r="W18" s="106" t="s">
        <v>59</v>
      </c>
      <c r="X18" s="67" t="s">
        <v>60</v>
      </c>
      <c r="Y18" s="68" t="s">
        <v>61</v>
      </c>
    </row>
    <row r="19" spans="1:25" ht="25.5" hidden="1" customHeight="1">
      <c r="A19" s="1"/>
      <c r="B19" s="41"/>
      <c r="C19" s="14"/>
      <c r="D19" s="14"/>
      <c r="E19" s="14"/>
      <c r="F19" s="15"/>
      <c r="G19" s="31" t="s">
        <v>62</v>
      </c>
      <c r="H19" s="48">
        <v>40023</v>
      </c>
      <c r="I19" s="32">
        <v>44179</v>
      </c>
      <c r="J19" s="33" t="s">
        <v>63</v>
      </c>
      <c r="K19" s="34" t="str">
        <f>VLOOKUP(L19,Hoja1!B$2:C$401,2,"FALSO")</f>
        <v xml:space="preserve">PREVENTIVO </v>
      </c>
      <c r="L19" s="14" t="s">
        <v>64</v>
      </c>
      <c r="M19" s="18"/>
      <c r="N19" s="37">
        <v>4</v>
      </c>
      <c r="O19" s="38">
        <v>25062</v>
      </c>
      <c r="P19" s="19">
        <f t="shared" ref="P19" si="0">+O19*N19</f>
        <v>100248</v>
      </c>
      <c r="Q19" s="19">
        <f t="shared" ref="Q19" si="1">+P19*0.19</f>
        <v>19047.12</v>
      </c>
      <c r="R19" s="19">
        <f t="shared" ref="R19" si="2">+Q19+P19</f>
        <v>119295.12</v>
      </c>
      <c r="S19" s="39">
        <v>0</v>
      </c>
      <c r="T19" s="20">
        <f t="shared" ref="T19" si="3">+S19*N19</f>
        <v>0</v>
      </c>
      <c r="U19" s="20">
        <f t="shared" ref="U19" si="4">+T19*0.19</f>
        <v>0</v>
      </c>
      <c r="V19" s="20">
        <f t="shared" ref="V19" si="5">+U19+T19</f>
        <v>0</v>
      </c>
      <c r="W19" s="107">
        <f t="shared" ref="W19" si="6">+V19+R19</f>
        <v>119295.12</v>
      </c>
    </row>
    <row r="20" spans="1:25" ht="25.5" hidden="1" customHeight="1">
      <c r="A20" s="1"/>
      <c r="B20" s="1"/>
      <c r="C20" s="14"/>
      <c r="D20" s="14"/>
      <c r="E20" s="14"/>
      <c r="F20" s="15"/>
      <c r="G20" s="31" t="s">
        <v>62</v>
      </c>
      <c r="H20" s="48">
        <v>40023</v>
      </c>
      <c r="I20" s="32">
        <v>44179</v>
      </c>
      <c r="J20" s="33" t="s">
        <v>63</v>
      </c>
      <c r="K20" s="34" t="str">
        <f>VLOOKUP(L20,Hoja1!B$2:C$401,2,"FALSO")</f>
        <v>PREVENTIVO</v>
      </c>
      <c r="L20" s="14" t="s">
        <v>65</v>
      </c>
      <c r="M20" s="18"/>
      <c r="N20" s="37">
        <v>2</v>
      </c>
      <c r="O20" s="38">
        <v>21408</v>
      </c>
      <c r="P20" s="19">
        <f t="shared" ref="P20:P83" si="7">+O20*N20</f>
        <v>42816</v>
      </c>
      <c r="Q20" s="19">
        <f t="shared" ref="Q20:Q83" si="8">+P20*0.19</f>
        <v>8135.04</v>
      </c>
      <c r="R20" s="19">
        <f t="shared" ref="R20:R83" si="9">+Q20+P20</f>
        <v>50951.040000000001</v>
      </c>
      <c r="S20" s="39">
        <v>0</v>
      </c>
      <c r="T20" s="20">
        <f t="shared" ref="T20:T83" si="10">+S20*N20</f>
        <v>0</v>
      </c>
      <c r="U20" s="20">
        <f t="shared" ref="U20:U83" si="11">+T20*0.19</f>
        <v>0</v>
      </c>
      <c r="V20" s="20">
        <f t="shared" ref="V20:V83" si="12">+U20+T20</f>
        <v>0</v>
      </c>
      <c r="W20" s="107">
        <f t="shared" ref="W20:W81" si="13">+V20+R20</f>
        <v>50951.040000000001</v>
      </c>
    </row>
    <row r="21" spans="1:25" ht="25.5" hidden="1" customHeight="1">
      <c r="A21" s="1"/>
      <c r="B21" s="1"/>
      <c r="C21" s="14"/>
      <c r="D21" s="14"/>
      <c r="E21" s="14"/>
      <c r="F21" s="15"/>
      <c r="G21" s="31" t="s">
        <v>62</v>
      </c>
      <c r="H21" s="48">
        <v>40023</v>
      </c>
      <c r="I21" s="32">
        <v>44179</v>
      </c>
      <c r="J21" s="33" t="s">
        <v>63</v>
      </c>
      <c r="K21" s="34" t="str">
        <f>VLOOKUP(L21,Hoja1!B$2:C$401,2,"FALSO")</f>
        <v>PREVENTIVO</v>
      </c>
      <c r="L21" s="14" t="s">
        <v>66</v>
      </c>
      <c r="M21" s="18"/>
      <c r="N21" s="37">
        <v>1</v>
      </c>
      <c r="O21" s="38">
        <v>12562</v>
      </c>
      <c r="P21" s="19">
        <f t="shared" si="7"/>
        <v>12562</v>
      </c>
      <c r="Q21" s="19">
        <f t="shared" si="8"/>
        <v>2386.7800000000002</v>
      </c>
      <c r="R21" s="19">
        <f t="shared" si="9"/>
        <v>14948.78</v>
      </c>
      <c r="S21" s="39">
        <v>0</v>
      </c>
      <c r="T21" s="20">
        <f t="shared" si="10"/>
        <v>0</v>
      </c>
      <c r="U21" s="20">
        <f t="shared" si="11"/>
        <v>0</v>
      </c>
      <c r="V21" s="20">
        <f t="shared" si="12"/>
        <v>0</v>
      </c>
      <c r="W21" s="107">
        <f t="shared" si="13"/>
        <v>14948.78</v>
      </c>
    </row>
    <row r="22" spans="1:25" ht="25.5" hidden="1" customHeight="1">
      <c r="A22" s="1"/>
      <c r="B22" s="1"/>
      <c r="C22" s="14"/>
      <c r="D22" s="14"/>
      <c r="E22" s="14"/>
      <c r="F22" s="15"/>
      <c r="G22" s="31" t="s">
        <v>62</v>
      </c>
      <c r="H22" s="48">
        <v>40023</v>
      </c>
      <c r="I22" s="32">
        <v>44179</v>
      </c>
      <c r="J22" s="33" t="s">
        <v>63</v>
      </c>
      <c r="K22" s="34" t="str">
        <f>VLOOKUP(L22,Hoja1!B$2:C$401,2,"FALSO")</f>
        <v>PREVENTIVO</v>
      </c>
      <c r="L22" s="14" t="s">
        <v>67</v>
      </c>
      <c r="M22" s="18"/>
      <c r="N22" s="37">
        <v>1</v>
      </c>
      <c r="O22" s="38">
        <v>30566</v>
      </c>
      <c r="P22" s="19">
        <f t="shared" si="7"/>
        <v>30566</v>
      </c>
      <c r="Q22" s="19">
        <f t="shared" si="8"/>
        <v>5807.54</v>
      </c>
      <c r="R22" s="19">
        <f t="shared" si="9"/>
        <v>36373.54</v>
      </c>
      <c r="S22" s="39">
        <v>0</v>
      </c>
      <c r="T22" s="20">
        <f t="shared" si="10"/>
        <v>0</v>
      </c>
      <c r="U22" s="20">
        <f t="shared" si="11"/>
        <v>0</v>
      </c>
      <c r="V22" s="20">
        <f t="shared" si="12"/>
        <v>0</v>
      </c>
      <c r="W22" s="107">
        <f t="shared" si="13"/>
        <v>36373.54</v>
      </c>
    </row>
    <row r="23" spans="1:25" ht="25.5" hidden="1" customHeight="1">
      <c r="A23" s="1"/>
      <c r="B23" s="1"/>
      <c r="C23" s="14"/>
      <c r="D23" s="14"/>
      <c r="E23" s="14"/>
      <c r="F23" s="15"/>
      <c r="G23" s="31" t="s">
        <v>62</v>
      </c>
      <c r="H23" s="48">
        <v>40023</v>
      </c>
      <c r="I23" s="32">
        <v>44179</v>
      </c>
      <c r="J23" s="33" t="s">
        <v>63</v>
      </c>
      <c r="K23" s="34" t="str">
        <f>VLOOKUP(L23,Hoja1!B$2:C$401,2,"FALSO")</f>
        <v>PREVENTIVO</v>
      </c>
      <c r="L23" s="14" t="s">
        <v>68</v>
      </c>
      <c r="M23" s="18"/>
      <c r="N23" s="37">
        <v>1</v>
      </c>
      <c r="O23" s="38">
        <v>29460</v>
      </c>
      <c r="P23" s="19">
        <f t="shared" si="7"/>
        <v>29460</v>
      </c>
      <c r="Q23" s="19">
        <f t="shared" si="8"/>
        <v>5597.4</v>
      </c>
      <c r="R23" s="19">
        <f t="shared" si="9"/>
        <v>35057.4</v>
      </c>
      <c r="S23" s="39">
        <v>0</v>
      </c>
      <c r="T23" s="20">
        <f t="shared" si="10"/>
        <v>0</v>
      </c>
      <c r="U23" s="20">
        <f t="shared" si="11"/>
        <v>0</v>
      </c>
      <c r="V23" s="20">
        <f t="shared" si="12"/>
        <v>0</v>
      </c>
      <c r="W23" s="107">
        <f t="shared" si="13"/>
        <v>35057.4</v>
      </c>
    </row>
    <row r="24" spans="1:25" ht="25.5" hidden="1" customHeight="1">
      <c r="A24" s="1"/>
      <c r="B24" s="1"/>
      <c r="C24" s="14"/>
      <c r="D24" s="14"/>
      <c r="E24" s="14"/>
      <c r="F24" s="15"/>
      <c r="G24" s="31" t="s">
        <v>62</v>
      </c>
      <c r="H24" s="48">
        <v>40023</v>
      </c>
      <c r="I24" s="32">
        <v>44179</v>
      </c>
      <c r="J24" s="33" t="s">
        <v>63</v>
      </c>
      <c r="K24" s="34" t="str">
        <f>VLOOKUP(L24,Hoja1!B$2:C$401,2,"FALSO")</f>
        <v>PREVENTIVO</v>
      </c>
      <c r="L24" s="14" t="s">
        <v>69</v>
      </c>
      <c r="M24" s="18"/>
      <c r="N24" s="37">
        <v>2</v>
      </c>
      <c r="O24" s="38">
        <v>16337</v>
      </c>
      <c r="P24" s="19">
        <f t="shared" si="7"/>
        <v>32674</v>
      </c>
      <c r="Q24" s="19">
        <f t="shared" si="8"/>
        <v>6208.06</v>
      </c>
      <c r="R24" s="19">
        <f t="shared" si="9"/>
        <v>38882.06</v>
      </c>
      <c r="S24" s="39">
        <v>0</v>
      </c>
      <c r="T24" s="20">
        <f t="shared" si="10"/>
        <v>0</v>
      </c>
      <c r="U24" s="20">
        <f t="shared" si="11"/>
        <v>0</v>
      </c>
      <c r="V24" s="20">
        <f t="shared" si="12"/>
        <v>0</v>
      </c>
      <c r="W24" s="107">
        <f t="shared" si="13"/>
        <v>38882.06</v>
      </c>
    </row>
    <row r="25" spans="1:25" ht="25.5" hidden="1" customHeight="1">
      <c r="A25" s="1"/>
      <c r="B25" s="1"/>
      <c r="C25" s="14"/>
      <c r="D25" s="14"/>
      <c r="E25" s="14"/>
      <c r="F25" s="15"/>
      <c r="G25" s="31" t="s">
        <v>62</v>
      </c>
      <c r="H25" s="48">
        <v>40023</v>
      </c>
      <c r="I25" s="32">
        <v>44179</v>
      </c>
      <c r="J25" s="33" t="s">
        <v>63</v>
      </c>
      <c r="K25" s="34" t="str">
        <f>VLOOKUP(L25,Hoja1!B$2:C$401,2,"FALSO")</f>
        <v>CORRECTIVO</v>
      </c>
      <c r="L25" s="14" t="s">
        <v>70</v>
      </c>
      <c r="M25" s="18"/>
      <c r="N25" s="37">
        <v>1</v>
      </c>
      <c r="O25" s="38">
        <v>46326</v>
      </c>
      <c r="P25" s="19">
        <f t="shared" si="7"/>
        <v>46326</v>
      </c>
      <c r="Q25" s="19">
        <f t="shared" si="8"/>
        <v>8801.94</v>
      </c>
      <c r="R25" s="19">
        <f t="shared" si="9"/>
        <v>55127.94</v>
      </c>
      <c r="S25" s="39">
        <v>0</v>
      </c>
      <c r="T25" s="20">
        <f t="shared" si="10"/>
        <v>0</v>
      </c>
      <c r="U25" s="20">
        <f t="shared" si="11"/>
        <v>0</v>
      </c>
      <c r="V25" s="20">
        <f t="shared" si="12"/>
        <v>0</v>
      </c>
      <c r="W25" s="107">
        <f t="shared" si="13"/>
        <v>55127.94</v>
      </c>
    </row>
    <row r="26" spans="1:25" ht="25.5" hidden="1" customHeight="1">
      <c r="A26" s="1"/>
      <c r="B26" s="1"/>
      <c r="C26" s="14"/>
      <c r="D26" s="14"/>
      <c r="E26" s="14"/>
      <c r="F26" s="15"/>
      <c r="G26" s="31" t="s">
        <v>62</v>
      </c>
      <c r="H26" s="48">
        <v>40023</v>
      </c>
      <c r="I26" s="32">
        <v>44179</v>
      </c>
      <c r="J26" s="33" t="s">
        <v>63</v>
      </c>
      <c r="K26" s="34" t="e">
        <f>VLOOKUP(L26,Hoja1!B$2:C$401,2,"FALSO")</f>
        <v>#N/A</v>
      </c>
      <c r="L26" s="14" t="s">
        <v>71</v>
      </c>
      <c r="M26" s="18"/>
      <c r="N26" s="37">
        <v>1</v>
      </c>
      <c r="O26" s="38">
        <v>19240</v>
      </c>
      <c r="P26" s="19">
        <f t="shared" si="7"/>
        <v>19240</v>
      </c>
      <c r="Q26" s="19">
        <f t="shared" si="8"/>
        <v>3655.6</v>
      </c>
      <c r="R26" s="19">
        <f t="shared" si="9"/>
        <v>22895.599999999999</v>
      </c>
      <c r="S26" s="39">
        <v>0</v>
      </c>
      <c r="T26" s="20">
        <f t="shared" si="10"/>
        <v>0</v>
      </c>
      <c r="U26" s="20">
        <f t="shared" si="11"/>
        <v>0</v>
      </c>
      <c r="V26" s="20">
        <f t="shared" si="12"/>
        <v>0</v>
      </c>
      <c r="W26" s="107">
        <f t="shared" si="13"/>
        <v>22895.599999999999</v>
      </c>
    </row>
    <row r="27" spans="1:25" ht="25.5" hidden="1" customHeight="1">
      <c r="A27" s="1"/>
      <c r="B27" s="1"/>
      <c r="C27" s="14"/>
      <c r="D27" s="14"/>
      <c r="E27" s="14"/>
      <c r="F27" s="15"/>
      <c r="G27" s="31" t="s">
        <v>62</v>
      </c>
      <c r="H27" s="48">
        <v>40023</v>
      </c>
      <c r="I27" s="32">
        <v>44179</v>
      </c>
      <c r="J27" s="33" t="s">
        <v>63</v>
      </c>
      <c r="K27" s="34" t="str">
        <f>VLOOKUP(L27,Hoja1!B$2:C$401,2,"FALSO")</f>
        <v>CORRECTIVO</v>
      </c>
      <c r="L27" s="14" t="s">
        <v>72</v>
      </c>
      <c r="M27" s="18"/>
      <c r="N27" s="37">
        <v>1</v>
      </c>
      <c r="O27" s="38">
        <v>140000</v>
      </c>
      <c r="P27" s="19">
        <f t="shared" si="7"/>
        <v>140000</v>
      </c>
      <c r="Q27" s="19">
        <f t="shared" si="8"/>
        <v>26600</v>
      </c>
      <c r="R27" s="19">
        <f t="shared" si="9"/>
        <v>166600</v>
      </c>
      <c r="S27" s="39">
        <v>0</v>
      </c>
      <c r="T27" s="20">
        <f t="shared" si="10"/>
        <v>0</v>
      </c>
      <c r="U27" s="20">
        <f t="shared" si="11"/>
        <v>0</v>
      </c>
      <c r="V27" s="20">
        <f t="shared" si="12"/>
        <v>0</v>
      </c>
      <c r="W27" s="107">
        <f t="shared" si="13"/>
        <v>166600</v>
      </c>
    </row>
    <row r="28" spans="1:25" ht="25.5" hidden="1" customHeight="1">
      <c r="A28" s="1"/>
      <c r="B28" s="1"/>
      <c r="C28" s="14"/>
      <c r="D28" s="14"/>
      <c r="E28" s="14"/>
      <c r="F28" s="15"/>
      <c r="G28" s="31" t="s">
        <v>62</v>
      </c>
      <c r="H28" s="48">
        <v>40023</v>
      </c>
      <c r="I28" s="32">
        <v>44179</v>
      </c>
      <c r="J28" s="33" t="s">
        <v>63</v>
      </c>
      <c r="K28" s="34" t="e">
        <f>VLOOKUP(L28,Hoja1!B$2:C$401,2,"FALSO")</f>
        <v>#N/A</v>
      </c>
      <c r="L28" s="14" t="s">
        <v>73</v>
      </c>
      <c r="M28" s="18"/>
      <c r="N28" s="37">
        <v>1</v>
      </c>
      <c r="O28" s="38">
        <v>0</v>
      </c>
      <c r="P28" s="19">
        <f t="shared" si="7"/>
        <v>0</v>
      </c>
      <c r="Q28" s="19">
        <f t="shared" si="8"/>
        <v>0</v>
      </c>
      <c r="R28" s="19">
        <f t="shared" si="9"/>
        <v>0</v>
      </c>
      <c r="S28" s="39">
        <v>24949</v>
      </c>
      <c r="T28" s="20">
        <f t="shared" si="10"/>
        <v>24949</v>
      </c>
      <c r="U28" s="20">
        <f t="shared" si="11"/>
        <v>4740.3100000000004</v>
      </c>
      <c r="V28" s="20">
        <f t="shared" si="12"/>
        <v>29689.31</v>
      </c>
      <c r="W28" s="107">
        <f t="shared" si="13"/>
        <v>29689.31</v>
      </c>
    </row>
    <row r="29" spans="1:25" ht="25.5" hidden="1" customHeight="1">
      <c r="A29" s="1"/>
      <c r="B29" s="1"/>
      <c r="C29" s="14"/>
      <c r="D29" s="14"/>
      <c r="E29" s="14"/>
      <c r="F29" s="15"/>
      <c r="G29" s="31" t="s">
        <v>62</v>
      </c>
      <c r="H29" s="48">
        <v>40023</v>
      </c>
      <c r="I29" s="32">
        <v>44179</v>
      </c>
      <c r="J29" s="33" t="s">
        <v>63</v>
      </c>
      <c r="K29" s="34" t="str">
        <f>VLOOKUP(L29,Hoja1!B$2:C$401,2,"FALSO")</f>
        <v>PREVENTIVO</v>
      </c>
      <c r="L29" s="14" t="s">
        <v>74</v>
      </c>
      <c r="M29" s="18"/>
      <c r="N29" s="37">
        <v>1</v>
      </c>
      <c r="O29" s="38">
        <v>0</v>
      </c>
      <c r="P29" s="19">
        <f t="shared" si="7"/>
        <v>0</v>
      </c>
      <c r="Q29" s="19">
        <f t="shared" si="8"/>
        <v>0</v>
      </c>
      <c r="R29" s="19">
        <f t="shared" si="9"/>
        <v>0</v>
      </c>
      <c r="S29" s="39">
        <v>11824</v>
      </c>
      <c r="T29" s="20">
        <f t="shared" si="10"/>
        <v>11824</v>
      </c>
      <c r="U29" s="20">
        <f t="shared" si="11"/>
        <v>2246.56</v>
      </c>
      <c r="V29" s="20">
        <f t="shared" si="12"/>
        <v>14070.56</v>
      </c>
      <c r="W29" s="107">
        <f t="shared" si="13"/>
        <v>14070.56</v>
      </c>
    </row>
    <row r="30" spans="1:25" ht="25.5" hidden="1" customHeight="1">
      <c r="A30" s="1"/>
      <c r="B30" s="1"/>
      <c r="C30" s="14"/>
      <c r="D30" s="14"/>
      <c r="E30" s="14"/>
      <c r="F30" s="15"/>
      <c r="G30" s="31" t="s">
        <v>62</v>
      </c>
      <c r="H30" s="48">
        <v>40023</v>
      </c>
      <c r="I30" s="32">
        <v>44179</v>
      </c>
      <c r="J30" s="33" t="s">
        <v>63</v>
      </c>
      <c r="K30" s="34" t="str">
        <f>VLOOKUP(L30,Hoja1!B$2:C$401,2,"FALSO")</f>
        <v>PREVENTIVO</v>
      </c>
      <c r="L30" s="14" t="s">
        <v>75</v>
      </c>
      <c r="M30" s="18"/>
      <c r="N30" s="37">
        <v>1</v>
      </c>
      <c r="O30" s="38">
        <v>0</v>
      </c>
      <c r="P30" s="19">
        <f t="shared" si="7"/>
        <v>0</v>
      </c>
      <c r="Q30" s="19">
        <f t="shared" si="8"/>
        <v>0</v>
      </c>
      <c r="R30" s="19">
        <f t="shared" si="9"/>
        <v>0</v>
      </c>
      <c r="S30" s="39">
        <v>9566</v>
      </c>
      <c r="T30" s="20">
        <f t="shared" si="10"/>
        <v>9566</v>
      </c>
      <c r="U30" s="20">
        <f t="shared" si="11"/>
        <v>1817.54</v>
      </c>
      <c r="V30" s="20">
        <f t="shared" si="12"/>
        <v>11383.54</v>
      </c>
      <c r="W30" s="107">
        <f t="shared" si="13"/>
        <v>11383.54</v>
      </c>
    </row>
    <row r="31" spans="1:25" ht="25.5" hidden="1" customHeight="1">
      <c r="A31" s="1"/>
      <c r="B31" s="1"/>
      <c r="C31" s="14"/>
      <c r="D31" s="14"/>
      <c r="E31" s="14"/>
      <c r="F31" s="15"/>
      <c r="G31" s="31" t="s">
        <v>62</v>
      </c>
      <c r="H31" s="48">
        <v>40023</v>
      </c>
      <c r="I31" s="32">
        <v>44179</v>
      </c>
      <c r="J31" s="33" t="s">
        <v>63</v>
      </c>
      <c r="K31" s="34" t="str">
        <f>VLOOKUP(L31,Hoja1!B$2:C$401,2,"FALSO")</f>
        <v>PREVENTIVO</v>
      </c>
      <c r="L31" s="14" t="s">
        <v>76</v>
      </c>
      <c r="M31" s="18"/>
      <c r="N31" s="37">
        <v>1</v>
      </c>
      <c r="O31" s="38">
        <v>0</v>
      </c>
      <c r="P31" s="19">
        <f t="shared" si="7"/>
        <v>0</v>
      </c>
      <c r="Q31" s="19">
        <f t="shared" si="8"/>
        <v>0</v>
      </c>
      <c r="R31" s="19">
        <f t="shared" si="9"/>
        <v>0</v>
      </c>
      <c r="S31" s="39">
        <v>7641</v>
      </c>
      <c r="T31" s="20">
        <f t="shared" si="10"/>
        <v>7641</v>
      </c>
      <c r="U31" s="20">
        <f t="shared" si="11"/>
        <v>1451.79</v>
      </c>
      <c r="V31" s="20">
        <f t="shared" si="12"/>
        <v>9092.7900000000009</v>
      </c>
      <c r="W31" s="107">
        <f t="shared" si="13"/>
        <v>9092.7900000000009</v>
      </c>
    </row>
    <row r="32" spans="1:25" ht="25.5" hidden="1" customHeight="1">
      <c r="A32" s="1"/>
      <c r="B32" s="1"/>
      <c r="C32" s="14"/>
      <c r="D32" s="14"/>
      <c r="E32" s="14"/>
      <c r="F32" s="15"/>
      <c r="G32" s="31" t="s">
        <v>62</v>
      </c>
      <c r="H32" s="48">
        <v>40023</v>
      </c>
      <c r="I32" s="32">
        <v>44179</v>
      </c>
      <c r="J32" s="33" t="s">
        <v>63</v>
      </c>
      <c r="K32" s="34" t="e">
        <f>VLOOKUP(L32,Hoja1!B$2:C$401,2,"FALSO")</f>
        <v>#N/A</v>
      </c>
      <c r="L32" s="14" t="s">
        <v>77</v>
      </c>
      <c r="M32" s="18"/>
      <c r="N32" s="37">
        <v>1</v>
      </c>
      <c r="O32" s="38">
        <v>0</v>
      </c>
      <c r="P32" s="19">
        <f t="shared" si="7"/>
        <v>0</v>
      </c>
      <c r="Q32" s="19">
        <f t="shared" si="8"/>
        <v>0</v>
      </c>
      <c r="R32" s="19">
        <f t="shared" si="9"/>
        <v>0</v>
      </c>
      <c r="S32" s="39">
        <v>65415</v>
      </c>
      <c r="T32" s="20">
        <f t="shared" si="10"/>
        <v>65415</v>
      </c>
      <c r="U32" s="20">
        <f t="shared" si="11"/>
        <v>12428.85</v>
      </c>
      <c r="V32" s="20">
        <f t="shared" si="12"/>
        <v>77843.850000000006</v>
      </c>
      <c r="W32" s="107">
        <f t="shared" si="13"/>
        <v>77843.850000000006</v>
      </c>
    </row>
    <row r="33" spans="1:24" ht="25.5" hidden="1" customHeight="1">
      <c r="A33" s="1"/>
      <c r="B33" s="1"/>
      <c r="C33" s="14"/>
      <c r="D33" s="14"/>
      <c r="E33" s="14"/>
      <c r="F33" s="15"/>
      <c r="G33" s="31" t="s">
        <v>62</v>
      </c>
      <c r="H33" s="48">
        <v>40023</v>
      </c>
      <c r="I33" s="32">
        <v>44179</v>
      </c>
      <c r="J33" s="33" t="s">
        <v>63</v>
      </c>
      <c r="K33" s="34" t="e">
        <f>VLOOKUP(L33,Hoja1!B$2:C$401,2,"FALSO")</f>
        <v>#N/A</v>
      </c>
      <c r="L33" s="14" t="s">
        <v>78</v>
      </c>
      <c r="M33" s="18"/>
      <c r="N33" s="37">
        <v>1</v>
      </c>
      <c r="O33" s="38">
        <v>0</v>
      </c>
      <c r="P33" s="19">
        <f t="shared" si="7"/>
        <v>0</v>
      </c>
      <c r="Q33" s="19">
        <f t="shared" si="8"/>
        <v>0</v>
      </c>
      <c r="R33" s="19">
        <f t="shared" si="9"/>
        <v>0</v>
      </c>
      <c r="S33" s="39">
        <v>210000</v>
      </c>
      <c r="T33" s="20">
        <f t="shared" si="10"/>
        <v>210000</v>
      </c>
      <c r="U33" s="20">
        <f t="shared" si="11"/>
        <v>39900</v>
      </c>
      <c r="V33" s="20">
        <f t="shared" si="12"/>
        <v>249900</v>
      </c>
      <c r="W33" s="107">
        <f t="shared" si="13"/>
        <v>249900</v>
      </c>
    </row>
    <row r="34" spans="1:24" ht="25.5" hidden="1" customHeight="1">
      <c r="A34" s="1"/>
      <c r="B34" s="1"/>
      <c r="C34" s="14"/>
      <c r="D34" s="14"/>
      <c r="E34" s="14"/>
      <c r="F34" s="15"/>
      <c r="G34" s="31" t="s">
        <v>62</v>
      </c>
      <c r="H34" s="48">
        <v>40023</v>
      </c>
      <c r="I34" s="32">
        <v>44179</v>
      </c>
      <c r="J34" s="33" t="s">
        <v>63</v>
      </c>
      <c r="K34" s="34" t="str">
        <f>VLOOKUP(L34,Hoja1!B$2:C$401,2,"FALSO")</f>
        <v>PREVENTIVO</v>
      </c>
      <c r="L34" s="14" t="s">
        <v>79</v>
      </c>
      <c r="M34" s="18"/>
      <c r="N34" s="37">
        <v>1</v>
      </c>
      <c r="O34" s="38">
        <v>0</v>
      </c>
      <c r="P34" s="19">
        <f t="shared" si="7"/>
        <v>0</v>
      </c>
      <c r="Q34" s="19">
        <f t="shared" si="8"/>
        <v>0</v>
      </c>
      <c r="R34" s="19">
        <f t="shared" si="9"/>
        <v>0</v>
      </c>
      <c r="S34" s="39">
        <v>19969</v>
      </c>
      <c r="T34" s="20">
        <f t="shared" si="10"/>
        <v>19969</v>
      </c>
      <c r="U34" s="20">
        <f t="shared" si="11"/>
        <v>3794.11</v>
      </c>
      <c r="V34" s="20">
        <f t="shared" si="12"/>
        <v>23763.11</v>
      </c>
      <c r="W34" s="107">
        <f t="shared" si="13"/>
        <v>23763.11</v>
      </c>
    </row>
    <row r="35" spans="1:24" ht="25.5" hidden="1" customHeight="1">
      <c r="A35" s="1"/>
      <c r="B35" s="1"/>
      <c r="C35" s="14"/>
      <c r="D35" s="14"/>
      <c r="E35" s="14"/>
      <c r="F35" s="15"/>
      <c r="G35" s="31" t="s">
        <v>62</v>
      </c>
      <c r="H35" s="48">
        <v>40023</v>
      </c>
      <c r="I35" s="32">
        <v>44179</v>
      </c>
      <c r="J35" s="33" t="s">
        <v>63</v>
      </c>
      <c r="K35" s="34" t="str">
        <f>VLOOKUP(L35,Hoja1!B$2:C$401,2,"FALSO")</f>
        <v>PREVENTIVO</v>
      </c>
      <c r="L35" s="14" t="s">
        <v>80</v>
      </c>
      <c r="M35" s="18"/>
      <c r="N35" s="37">
        <v>4</v>
      </c>
      <c r="O35" s="38">
        <v>0</v>
      </c>
      <c r="P35" s="19">
        <f t="shared" si="7"/>
        <v>0</v>
      </c>
      <c r="Q35" s="19">
        <f t="shared" si="8"/>
        <v>0</v>
      </c>
      <c r="R35" s="19">
        <f t="shared" si="9"/>
        <v>0</v>
      </c>
      <c r="S35" s="39">
        <v>6941</v>
      </c>
      <c r="T35" s="20">
        <f t="shared" si="10"/>
        <v>27764</v>
      </c>
      <c r="U35" s="20">
        <f t="shared" si="11"/>
        <v>5275.16</v>
      </c>
      <c r="V35" s="20">
        <f t="shared" si="12"/>
        <v>33039.160000000003</v>
      </c>
      <c r="W35" s="107">
        <f t="shared" si="13"/>
        <v>33039.160000000003</v>
      </c>
    </row>
    <row r="36" spans="1:24" ht="25.5" hidden="1" customHeight="1">
      <c r="A36" s="1"/>
      <c r="B36" s="1"/>
      <c r="C36" s="14"/>
      <c r="D36" s="14"/>
      <c r="E36" s="14"/>
      <c r="F36" s="15"/>
      <c r="G36" s="31" t="s">
        <v>62</v>
      </c>
      <c r="H36" s="48">
        <v>40023</v>
      </c>
      <c r="I36" s="32">
        <v>44179</v>
      </c>
      <c r="J36" s="33" t="s">
        <v>63</v>
      </c>
      <c r="K36" s="34" t="e">
        <f>VLOOKUP(L36,Hoja1!B$2:C$401,2,"FALSO")</f>
        <v>#N/A</v>
      </c>
      <c r="L36" s="14" t="s">
        <v>81</v>
      </c>
      <c r="M36" s="18"/>
      <c r="N36" s="37">
        <v>1</v>
      </c>
      <c r="O36" s="38">
        <v>0</v>
      </c>
      <c r="P36" s="19">
        <f t="shared" si="7"/>
        <v>0</v>
      </c>
      <c r="Q36" s="19">
        <f t="shared" si="8"/>
        <v>0</v>
      </c>
      <c r="R36" s="19">
        <f t="shared" si="9"/>
        <v>0</v>
      </c>
      <c r="S36" s="39">
        <v>250000</v>
      </c>
      <c r="T36" s="20">
        <f t="shared" si="10"/>
        <v>250000</v>
      </c>
      <c r="U36" s="20">
        <f t="shared" si="11"/>
        <v>47500</v>
      </c>
      <c r="V36" s="20">
        <f t="shared" si="12"/>
        <v>297500</v>
      </c>
      <c r="W36" s="107">
        <f t="shared" si="13"/>
        <v>297500</v>
      </c>
    </row>
    <row r="37" spans="1:24" ht="25.5" hidden="1" customHeight="1">
      <c r="A37" s="1"/>
      <c r="B37" s="1"/>
      <c r="C37" s="14"/>
      <c r="D37" s="14"/>
      <c r="E37" s="14"/>
      <c r="F37" s="15"/>
      <c r="G37" s="31" t="s">
        <v>62</v>
      </c>
      <c r="H37" s="48">
        <v>40023</v>
      </c>
      <c r="I37" s="32">
        <v>44179</v>
      </c>
      <c r="J37" s="33" t="s">
        <v>63</v>
      </c>
      <c r="K37" s="34" t="str">
        <f>VLOOKUP(L37,Hoja1!B$2:C$401,2,"FALSO")</f>
        <v>PREVENTIVO</v>
      </c>
      <c r="L37" s="14" t="s">
        <v>82</v>
      </c>
      <c r="M37" s="18"/>
      <c r="N37" s="37">
        <v>1</v>
      </c>
      <c r="O37" s="38">
        <v>0</v>
      </c>
      <c r="P37" s="19">
        <f t="shared" si="7"/>
        <v>0</v>
      </c>
      <c r="Q37" s="19">
        <f t="shared" si="8"/>
        <v>0</v>
      </c>
      <c r="R37" s="19">
        <f t="shared" si="9"/>
        <v>0</v>
      </c>
      <c r="S37" s="39">
        <v>52182</v>
      </c>
      <c r="T37" s="20">
        <f t="shared" si="10"/>
        <v>52182</v>
      </c>
      <c r="U37" s="20">
        <f t="shared" si="11"/>
        <v>9914.58</v>
      </c>
      <c r="V37" s="20">
        <f t="shared" si="12"/>
        <v>62096.58</v>
      </c>
      <c r="W37" s="107">
        <f t="shared" si="13"/>
        <v>62096.58</v>
      </c>
    </row>
    <row r="38" spans="1:24" ht="25.5" hidden="1" customHeight="1">
      <c r="A38" s="1"/>
      <c r="B38" s="1"/>
      <c r="C38" s="14"/>
      <c r="D38" s="14"/>
      <c r="E38" s="14"/>
      <c r="F38" s="15"/>
      <c r="G38" s="31" t="s">
        <v>62</v>
      </c>
      <c r="H38" s="48">
        <v>40023</v>
      </c>
      <c r="I38" s="32">
        <v>44179</v>
      </c>
      <c r="J38" s="33" t="s">
        <v>63</v>
      </c>
      <c r="K38" s="34" t="e">
        <f>VLOOKUP(L38,Hoja1!B$2:C$401,2,"FALSO")</f>
        <v>#N/A</v>
      </c>
      <c r="L38" s="14" t="s">
        <v>83</v>
      </c>
      <c r="M38" s="18"/>
      <c r="N38" s="37">
        <v>1</v>
      </c>
      <c r="O38" s="38">
        <v>0</v>
      </c>
      <c r="P38" s="19">
        <f t="shared" si="7"/>
        <v>0</v>
      </c>
      <c r="Q38" s="19">
        <f t="shared" si="8"/>
        <v>0</v>
      </c>
      <c r="R38" s="19">
        <f t="shared" si="9"/>
        <v>0</v>
      </c>
      <c r="S38" s="39">
        <v>77504</v>
      </c>
      <c r="T38" s="20">
        <f t="shared" si="10"/>
        <v>77504</v>
      </c>
      <c r="U38" s="20">
        <f t="shared" si="11"/>
        <v>14725.76</v>
      </c>
      <c r="V38" s="20">
        <f t="shared" si="12"/>
        <v>92229.759999999995</v>
      </c>
      <c r="W38" s="107">
        <f t="shared" si="13"/>
        <v>92229.759999999995</v>
      </c>
      <c r="X38" s="40">
        <f>SUM(W19:W38)</f>
        <v>1440740.1400000004</v>
      </c>
    </row>
    <row r="39" spans="1:24" ht="25.5" hidden="1" customHeight="1">
      <c r="A39" s="1"/>
      <c r="B39" s="1"/>
      <c r="C39" s="14"/>
      <c r="D39" s="14"/>
      <c r="E39" s="14"/>
      <c r="F39" s="15"/>
      <c r="G39" s="31" t="s">
        <v>62</v>
      </c>
      <c r="H39" s="48">
        <v>44575</v>
      </c>
      <c r="I39" s="32">
        <v>44179</v>
      </c>
      <c r="J39" s="33" t="s">
        <v>84</v>
      </c>
      <c r="K39" s="34" t="str">
        <f>VLOOKUP(L39,Hoja1!B$2:C$401,2,"FALSO")</f>
        <v>CORRECTIVO</v>
      </c>
      <c r="L39" s="14" t="s">
        <v>85</v>
      </c>
      <c r="M39" s="18"/>
      <c r="N39" s="37">
        <v>2</v>
      </c>
      <c r="O39" s="38">
        <v>27568</v>
      </c>
      <c r="P39" s="19">
        <f t="shared" si="7"/>
        <v>55136</v>
      </c>
      <c r="Q39" s="19">
        <f t="shared" si="8"/>
        <v>10475.84</v>
      </c>
      <c r="R39" s="19">
        <f t="shared" si="9"/>
        <v>65611.839999999997</v>
      </c>
      <c r="S39" s="39">
        <v>0</v>
      </c>
      <c r="T39" s="20">
        <f t="shared" si="10"/>
        <v>0</v>
      </c>
      <c r="U39" s="20">
        <f t="shared" si="11"/>
        <v>0</v>
      </c>
      <c r="V39" s="20">
        <f t="shared" si="12"/>
        <v>0</v>
      </c>
      <c r="W39" s="107">
        <f t="shared" si="13"/>
        <v>65611.839999999997</v>
      </c>
    </row>
    <row r="40" spans="1:24" ht="25.5" hidden="1" customHeight="1">
      <c r="A40" s="1"/>
      <c r="B40" s="1"/>
      <c r="C40" s="14"/>
      <c r="D40" s="14"/>
      <c r="E40" s="14"/>
      <c r="F40" s="15"/>
      <c r="G40" s="31" t="s">
        <v>62</v>
      </c>
      <c r="H40" s="48">
        <v>44575</v>
      </c>
      <c r="I40" s="32">
        <v>44179</v>
      </c>
      <c r="J40" s="33" t="s">
        <v>84</v>
      </c>
      <c r="K40" s="34" t="str">
        <f>VLOOKUP(L40,Hoja1!B$2:C$401,2,"FALSO")</f>
        <v>CORRECTIVO</v>
      </c>
      <c r="L40" s="14" t="s">
        <v>86</v>
      </c>
      <c r="M40" s="18"/>
      <c r="N40" s="37">
        <v>2</v>
      </c>
      <c r="O40" s="38">
        <v>50700</v>
      </c>
      <c r="P40" s="19">
        <f t="shared" si="7"/>
        <v>101400</v>
      </c>
      <c r="Q40" s="19">
        <f t="shared" si="8"/>
        <v>19266</v>
      </c>
      <c r="R40" s="19">
        <f t="shared" si="9"/>
        <v>120666</v>
      </c>
      <c r="S40" s="39">
        <v>0</v>
      </c>
      <c r="T40" s="20">
        <f t="shared" si="10"/>
        <v>0</v>
      </c>
      <c r="U40" s="20">
        <f t="shared" si="11"/>
        <v>0</v>
      </c>
      <c r="V40" s="20">
        <f t="shared" si="12"/>
        <v>0</v>
      </c>
      <c r="W40" s="107">
        <f t="shared" si="13"/>
        <v>120666</v>
      </c>
    </row>
    <row r="41" spans="1:24" ht="25.5" hidden="1" customHeight="1">
      <c r="A41" s="1"/>
      <c r="B41" s="1"/>
      <c r="C41" s="14"/>
      <c r="D41" s="14"/>
      <c r="E41" s="14"/>
      <c r="F41" s="15"/>
      <c r="G41" s="31" t="s">
        <v>62</v>
      </c>
      <c r="H41" s="48">
        <v>44575</v>
      </c>
      <c r="I41" s="32">
        <v>44179</v>
      </c>
      <c r="J41" s="33" t="s">
        <v>84</v>
      </c>
      <c r="K41" s="34" t="e">
        <f>VLOOKUP(L41,Hoja1!B$2:C$401,2,"FALSO")</f>
        <v>#N/A</v>
      </c>
      <c r="L41" s="14" t="s">
        <v>87</v>
      </c>
      <c r="M41" s="18"/>
      <c r="N41" s="37">
        <v>1</v>
      </c>
      <c r="O41" s="38">
        <v>0</v>
      </c>
      <c r="P41" s="19">
        <f t="shared" si="7"/>
        <v>0</v>
      </c>
      <c r="Q41" s="19">
        <f t="shared" si="8"/>
        <v>0</v>
      </c>
      <c r="R41" s="19">
        <f t="shared" si="9"/>
        <v>0</v>
      </c>
      <c r="S41" s="39">
        <v>48710</v>
      </c>
      <c r="T41" s="20">
        <f t="shared" si="10"/>
        <v>48710</v>
      </c>
      <c r="U41" s="20">
        <f t="shared" si="11"/>
        <v>9254.9</v>
      </c>
      <c r="V41" s="20">
        <f t="shared" si="12"/>
        <v>57964.9</v>
      </c>
      <c r="W41" s="107">
        <f t="shared" si="13"/>
        <v>57964.9</v>
      </c>
    </row>
    <row r="42" spans="1:24" ht="25.5" hidden="1" customHeight="1">
      <c r="A42" s="1"/>
      <c r="B42" s="1"/>
      <c r="C42" s="14"/>
      <c r="D42" s="14"/>
      <c r="E42" s="14"/>
      <c r="F42" s="15"/>
      <c r="G42" s="31" t="s">
        <v>62</v>
      </c>
      <c r="H42" s="48">
        <v>44575</v>
      </c>
      <c r="I42" s="32">
        <v>44179</v>
      </c>
      <c r="J42" s="33" t="s">
        <v>84</v>
      </c>
      <c r="K42" s="34" t="e">
        <f>VLOOKUP(L42,Hoja1!B$2:C$401,2,"FALSO")</f>
        <v>#N/A</v>
      </c>
      <c r="L42" s="14" t="s">
        <v>88</v>
      </c>
      <c r="M42" s="18"/>
      <c r="N42" s="37">
        <v>1</v>
      </c>
      <c r="O42" s="38">
        <v>0</v>
      </c>
      <c r="P42" s="19">
        <f t="shared" si="7"/>
        <v>0</v>
      </c>
      <c r="Q42" s="19">
        <f t="shared" si="8"/>
        <v>0</v>
      </c>
      <c r="R42" s="19">
        <f t="shared" si="9"/>
        <v>0</v>
      </c>
      <c r="S42" s="39">
        <v>17941</v>
      </c>
      <c r="T42" s="20">
        <f t="shared" si="10"/>
        <v>17941</v>
      </c>
      <c r="U42" s="20">
        <f t="shared" si="11"/>
        <v>3408.79</v>
      </c>
      <c r="V42" s="20">
        <f t="shared" si="12"/>
        <v>21349.79</v>
      </c>
      <c r="W42" s="107">
        <f t="shared" si="13"/>
        <v>21349.79</v>
      </c>
    </row>
    <row r="43" spans="1:24" ht="25.5" hidden="1" customHeight="1">
      <c r="A43" s="1"/>
      <c r="B43" s="1"/>
      <c r="C43" s="14"/>
      <c r="D43" s="14"/>
      <c r="E43" s="14"/>
      <c r="F43" s="15"/>
      <c r="G43" s="31" t="s">
        <v>62</v>
      </c>
      <c r="H43" s="48">
        <v>44575</v>
      </c>
      <c r="I43" s="32">
        <v>44179</v>
      </c>
      <c r="J43" s="33" t="s">
        <v>84</v>
      </c>
      <c r="K43" s="34" t="str">
        <f>VLOOKUP(L43,Hoja1!B$2:C$401,2,"FALSO")</f>
        <v>PREVENTIVO</v>
      </c>
      <c r="L43" s="14" t="s">
        <v>89</v>
      </c>
      <c r="M43" s="18"/>
      <c r="N43" s="37">
        <v>1</v>
      </c>
      <c r="O43" s="38">
        <v>0</v>
      </c>
      <c r="P43" s="19">
        <f t="shared" si="7"/>
        <v>0</v>
      </c>
      <c r="Q43" s="19">
        <f t="shared" si="8"/>
        <v>0</v>
      </c>
      <c r="R43" s="19">
        <f t="shared" si="9"/>
        <v>0</v>
      </c>
      <c r="S43" s="39">
        <v>90000</v>
      </c>
      <c r="T43" s="20">
        <f t="shared" si="10"/>
        <v>90000</v>
      </c>
      <c r="U43" s="20">
        <f t="shared" si="11"/>
        <v>17100</v>
      </c>
      <c r="V43" s="20">
        <f t="shared" si="12"/>
        <v>107100</v>
      </c>
      <c r="W43" s="107">
        <f t="shared" si="13"/>
        <v>107100</v>
      </c>
    </row>
    <row r="44" spans="1:24" ht="25.5" hidden="1" customHeight="1">
      <c r="A44" s="1"/>
      <c r="B44" s="1"/>
      <c r="C44" s="14"/>
      <c r="D44" s="14"/>
      <c r="E44" s="14"/>
      <c r="F44" s="15"/>
      <c r="G44" s="31" t="s">
        <v>62</v>
      </c>
      <c r="H44" s="48">
        <v>44575</v>
      </c>
      <c r="I44" s="32">
        <v>44179</v>
      </c>
      <c r="J44" s="33" t="s">
        <v>84</v>
      </c>
      <c r="K44" s="34" t="s">
        <v>90</v>
      </c>
      <c r="L44" s="14" t="s">
        <v>91</v>
      </c>
      <c r="M44" s="18"/>
      <c r="N44" s="37">
        <v>1</v>
      </c>
      <c r="O44" s="38">
        <v>0</v>
      </c>
      <c r="P44" s="19">
        <f t="shared" si="7"/>
        <v>0</v>
      </c>
      <c r="Q44" s="19">
        <f t="shared" si="8"/>
        <v>0</v>
      </c>
      <c r="R44" s="19">
        <f t="shared" si="9"/>
        <v>0</v>
      </c>
      <c r="S44" s="39">
        <v>120000</v>
      </c>
      <c r="T44" s="20">
        <f t="shared" si="10"/>
        <v>120000</v>
      </c>
      <c r="U44" s="20">
        <f t="shared" si="11"/>
        <v>22800</v>
      </c>
      <c r="V44" s="20">
        <f t="shared" si="12"/>
        <v>142800</v>
      </c>
      <c r="W44" s="107">
        <f t="shared" si="13"/>
        <v>142800</v>
      </c>
      <c r="X44" s="40">
        <f>SUM(W39:W44)</f>
        <v>515492.52999999997</v>
      </c>
    </row>
    <row r="45" spans="1:24" ht="25.5" hidden="1" customHeight="1">
      <c r="A45" s="1"/>
      <c r="B45" s="41"/>
      <c r="C45" s="14"/>
      <c r="D45" s="14"/>
      <c r="E45" s="14"/>
      <c r="F45" s="15"/>
      <c r="G45" s="31" t="s">
        <v>92</v>
      </c>
      <c r="H45" s="42">
        <v>34000</v>
      </c>
      <c r="I45" s="32">
        <v>44095</v>
      </c>
      <c r="J45" s="43" t="s">
        <v>93</v>
      </c>
      <c r="K45" s="34" t="str">
        <f>VLOOKUP(L45,Hoja1!B$2:C$401,2,"FALSO")</f>
        <v>PREVENTIVO</v>
      </c>
      <c r="L45" s="14" t="s">
        <v>94</v>
      </c>
      <c r="M45" s="18"/>
      <c r="N45" s="37">
        <v>1</v>
      </c>
      <c r="O45" s="38">
        <v>108066</v>
      </c>
      <c r="P45" s="19">
        <f t="shared" si="7"/>
        <v>108066</v>
      </c>
      <c r="Q45" s="19">
        <f t="shared" si="8"/>
        <v>20532.54</v>
      </c>
      <c r="R45" s="19">
        <f t="shared" si="9"/>
        <v>128598.54000000001</v>
      </c>
      <c r="S45" s="39">
        <v>0</v>
      </c>
      <c r="T45" s="20">
        <f t="shared" si="10"/>
        <v>0</v>
      </c>
      <c r="U45" s="20">
        <f t="shared" si="11"/>
        <v>0</v>
      </c>
      <c r="V45" s="20">
        <f t="shared" si="12"/>
        <v>0</v>
      </c>
      <c r="W45" s="107">
        <f t="shared" si="13"/>
        <v>128598.54000000001</v>
      </c>
    </row>
    <row r="46" spans="1:24" ht="25.5" hidden="1" customHeight="1">
      <c r="A46" s="1"/>
      <c r="B46" s="1"/>
      <c r="C46" s="14"/>
      <c r="D46" s="14"/>
      <c r="E46" s="14"/>
      <c r="F46" s="15"/>
      <c r="G46" s="31" t="s">
        <v>92</v>
      </c>
      <c r="H46" s="42">
        <v>34000</v>
      </c>
      <c r="I46" s="32">
        <v>44095</v>
      </c>
      <c r="J46" s="43" t="s">
        <v>93</v>
      </c>
      <c r="K46" s="34" t="str">
        <f>VLOOKUP(L46,Hoja1!B$2:C$401,2,"FALSO")</f>
        <v>PREVENTIVO</v>
      </c>
      <c r="L46" s="14" t="s">
        <v>95</v>
      </c>
      <c r="M46" s="18"/>
      <c r="N46" s="37">
        <v>1</v>
      </c>
      <c r="O46" s="38">
        <v>0</v>
      </c>
      <c r="P46" s="19">
        <f t="shared" si="7"/>
        <v>0</v>
      </c>
      <c r="Q46" s="19">
        <f t="shared" si="8"/>
        <v>0</v>
      </c>
      <c r="R46" s="19">
        <f t="shared" si="9"/>
        <v>0</v>
      </c>
      <c r="S46" s="39">
        <v>8282</v>
      </c>
      <c r="T46" s="20">
        <f t="shared" si="10"/>
        <v>8282</v>
      </c>
      <c r="U46" s="20">
        <f t="shared" si="11"/>
        <v>1573.58</v>
      </c>
      <c r="V46" s="20">
        <f t="shared" si="12"/>
        <v>9855.58</v>
      </c>
      <c r="W46" s="107">
        <f t="shared" si="13"/>
        <v>9855.58</v>
      </c>
      <c r="X46" s="40">
        <f>SUM(W45:W46)</f>
        <v>138454.12</v>
      </c>
    </row>
    <row r="47" spans="1:24" ht="25.5" hidden="1" customHeight="1">
      <c r="A47" s="1"/>
      <c r="B47" s="41"/>
      <c r="C47" s="14"/>
      <c r="D47" s="14"/>
      <c r="E47" s="14"/>
      <c r="F47" s="15"/>
      <c r="G47" s="31" t="s">
        <v>62</v>
      </c>
      <c r="H47" s="45" t="s">
        <v>96</v>
      </c>
      <c r="I47" s="43">
        <v>44237</v>
      </c>
      <c r="J47" s="40" t="s">
        <v>97</v>
      </c>
      <c r="K47" s="34" t="str">
        <f>VLOOKUP(L47,Hoja1!B$2:C$401,2,"FALSO")</f>
        <v>CORRECTIVO</v>
      </c>
      <c r="L47" s="14" t="s">
        <v>98</v>
      </c>
      <c r="M47" s="18"/>
      <c r="N47" s="37">
        <v>1</v>
      </c>
      <c r="O47" s="38">
        <v>154000</v>
      </c>
      <c r="P47" s="19">
        <f t="shared" si="7"/>
        <v>154000</v>
      </c>
      <c r="Q47" s="19">
        <f t="shared" si="8"/>
        <v>29260</v>
      </c>
      <c r="R47" s="19">
        <f t="shared" si="9"/>
        <v>183260</v>
      </c>
      <c r="S47" s="39">
        <v>0</v>
      </c>
      <c r="T47" s="20">
        <f t="shared" si="10"/>
        <v>0</v>
      </c>
      <c r="U47" s="20">
        <f t="shared" si="11"/>
        <v>0</v>
      </c>
      <c r="V47" s="20">
        <f t="shared" si="12"/>
        <v>0</v>
      </c>
      <c r="W47" s="107">
        <f t="shared" si="13"/>
        <v>183260</v>
      </c>
    </row>
    <row r="48" spans="1:24" ht="25.5" hidden="1" customHeight="1">
      <c r="A48" s="1"/>
      <c r="B48" s="1"/>
      <c r="C48" s="14"/>
      <c r="D48" s="14"/>
      <c r="E48" s="14"/>
      <c r="F48" s="15"/>
      <c r="G48" s="31" t="s">
        <v>62</v>
      </c>
      <c r="H48" s="45">
        <v>41000</v>
      </c>
      <c r="I48" s="43">
        <v>44308</v>
      </c>
      <c r="J48" s="40" t="s">
        <v>99</v>
      </c>
      <c r="K48" s="34" t="str">
        <f>VLOOKUP(L48,Hoja1!B$2:C$401,2,"FALSO")</f>
        <v>CORRECTIVO</v>
      </c>
      <c r="L48" s="14" t="s">
        <v>100</v>
      </c>
      <c r="M48" s="18"/>
      <c r="N48" s="37">
        <v>1</v>
      </c>
      <c r="O48" s="38">
        <v>228910</v>
      </c>
      <c r="P48" s="19">
        <f t="shared" si="7"/>
        <v>228910</v>
      </c>
      <c r="Q48" s="19">
        <f t="shared" si="8"/>
        <v>43492.9</v>
      </c>
      <c r="R48" s="19">
        <f t="shared" si="9"/>
        <v>272402.90000000002</v>
      </c>
      <c r="S48" s="39">
        <v>0</v>
      </c>
      <c r="T48" s="20">
        <f t="shared" si="10"/>
        <v>0</v>
      </c>
      <c r="U48" s="20">
        <f t="shared" si="11"/>
        <v>0</v>
      </c>
      <c r="V48" s="20">
        <f t="shared" si="12"/>
        <v>0</v>
      </c>
      <c r="W48" s="107">
        <f t="shared" si="13"/>
        <v>272402.90000000002</v>
      </c>
    </row>
    <row r="49" spans="1:24" ht="25.5" hidden="1" customHeight="1">
      <c r="A49" s="1"/>
      <c r="B49" s="1"/>
      <c r="C49" s="14"/>
      <c r="D49" s="14"/>
      <c r="E49" s="14"/>
      <c r="F49" s="15"/>
      <c r="G49" s="31" t="s">
        <v>62</v>
      </c>
      <c r="H49" s="45">
        <v>41000</v>
      </c>
      <c r="I49" s="43">
        <v>44308</v>
      </c>
      <c r="J49" s="40" t="s">
        <v>99</v>
      </c>
      <c r="K49" s="34" t="str">
        <f>VLOOKUP(L49,Hoja1!B$2:C$401,2,"FALSO")</f>
        <v>PREVENTIVO</v>
      </c>
      <c r="L49" s="14" t="s">
        <v>101</v>
      </c>
      <c r="M49" s="18"/>
      <c r="N49" s="37">
        <v>1</v>
      </c>
      <c r="O49" s="38">
        <v>3500</v>
      </c>
      <c r="P49" s="19">
        <f t="shared" si="7"/>
        <v>3500</v>
      </c>
      <c r="Q49" s="19">
        <f t="shared" si="8"/>
        <v>665</v>
      </c>
      <c r="R49" s="19">
        <f t="shared" si="9"/>
        <v>4165</v>
      </c>
      <c r="S49" s="39">
        <v>0</v>
      </c>
      <c r="T49" s="20">
        <f t="shared" si="10"/>
        <v>0</v>
      </c>
      <c r="U49" s="20">
        <f t="shared" si="11"/>
        <v>0</v>
      </c>
      <c r="V49" s="20">
        <f t="shared" si="12"/>
        <v>0</v>
      </c>
      <c r="W49" s="107">
        <f t="shared" si="13"/>
        <v>4165</v>
      </c>
    </row>
    <row r="50" spans="1:24" ht="25.5" hidden="1" customHeight="1">
      <c r="A50" s="1"/>
      <c r="B50" s="1"/>
      <c r="C50" s="14"/>
      <c r="D50" s="14"/>
      <c r="E50" s="14"/>
      <c r="F50" s="15"/>
      <c r="G50" s="31" t="s">
        <v>62</v>
      </c>
      <c r="H50" s="45">
        <v>41000</v>
      </c>
      <c r="I50" s="43">
        <v>44308</v>
      </c>
      <c r="J50" s="40" t="s">
        <v>99</v>
      </c>
      <c r="K50" s="34" t="str">
        <f>VLOOKUP(L50,Hoja1!B$2:C$401,2,"FALSO")</f>
        <v>PREVENTIVO</v>
      </c>
      <c r="L50" s="14" t="s">
        <v>102</v>
      </c>
      <c r="M50" s="18"/>
      <c r="N50" s="37">
        <v>2</v>
      </c>
      <c r="O50" s="38">
        <v>5000</v>
      </c>
      <c r="P50" s="19">
        <f t="shared" si="7"/>
        <v>10000</v>
      </c>
      <c r="Q50" s="19">
        <f t="shared" si="8"/>
        <v>1900</v>
      </c>
      <c r="R50" s="19">
        <f t="shared" si="9"/>
        <v>11900</v>
      </c>
      <c r="S50" s="39">
        <v>0</v>
      </c>
      <c r="T50" s="20">
        <f t="shared" si="10"/>
        <v>0</v>
      </c>
      <c r="U50" s="20">
        <f t="shared" si="11"/>
        <v>0</v>
      </c>
      <c r="V50" s="20">
        <f t="shared" si="12"/>
        <v>0</v>
      </c>
      <c r="W50" s="107">
        <f t="shared" si="13"/>
        <v>11900</v>
      </c>
    </row>
    <row r="51" spans="1:24" ht="25.5" hidden="1" customHeight="1">
      <c r="A51" s="1"/>
      <c r="B51" s="1"/>
      <c r="C51" s="14"/>
      <c r="D51" s="14"/>
      <c r="E51" s="14"/>
      <c r="F51" s="15"/>
      <c r="G51" s="31" t="s">
        <v>62</v>
      </c>
      <c r="H51" s="45">
        <v>41000</v>
      </c>
      <c r="I51" s="43">
        <v>44308</v>
      </c>
      <c r="J51" s="40" t="s">
        <v>99</v>
      </c>
      <c r="K51" s="34" t="str">
        <f>VLOOKUP(L51,Hoja1!B$2:C$401,2,"FALSO")</f>
        <v>CORRECTIVO</v>
      </c>
      <c r="L51" s="14" t="s">
        <v>103</v>
      </c>
      <c r="M51" s="18"/>
      <c r="N51" s="37">
        <v>1</v>
      </c>
      <c r="O51" s="38">
        <v>6211</v>
      </c>
      <c r="P51" s="19">
        <f t="shared" si="7"/>
        <v>6211</v>
      </c>
      <c r="Q51" s="19">
        <f t="shared" si="8"/>
        <v>1180.0899999999999</v>
      </c>
      <c r="R51" s="19">
        <f t="shared" si="9"/>
        <v>7391.09</v>
      </c>
      <c r="S51" s="39">
        <v>0</v>
      </c>
      <c r="T51" s="20">
        <f t="shared" si="10"/>
        <v>0</v>
      </c>
      <c r="U51" s="20">
        <f t="shared" si="11"/>
        <v>0</v>
      </c>
      <c r="V51" s="20">
        <f t="shared" si="12"/>
        <v>0</v>
      </c>
      <c r="W51" s="107">
        <f t="shared" si="13"/>
        <v>7391.09</v>
      </c>
    </row>
    <row r="52" spans="1:24" ht="25.5" hidden="1" customHeight="1">
      <c r="A52" s="1"/>
      <c r="B52" s="1"/>
      <c r="C52" s="14"/>
      <c r="D52" s="14"/>
      <c r="E52" s="14"/>
      <c r="F52" s="15"/>
      <c r="G52" s="31" t="s">
        <v>62</v>
      </c>
      <c r="H52" s="45">
        <v>41000</v>
      </c>
      <c r="I52" s="43">
        <v>44308</v>
      </c>
      <c r="J52" s="40" t="s">
        <v>99</v>
      </c>
      <c r="K52" s="34" t="str">
        <f>VLOOKUP(L52,Hoja1!B$2:C$401,2,"FALSO")</f>
        <v>CORRECTIVO</v>
      </c>
      <c r="L52" s="14" t="s">
        <v>104</v>
      </c>
      <c r="M52" s="18"/>
      <c r="N52" s="37">
        <v>1</v>
      </c>
      <c r="O52" s="38">
        <v>0</v>
      </c>
      <c r="P52" s="19">
        <f t="shared" si="7"/>
        <v>0</v>
      </c>
      <c r="Q52" s="19">
        <f t="shared" si="8"/>
        <v>0</v>
      </c>
      <c r="R52" s="19">
        <f t="shared" si="9"/>
        <v>0</v>
      </c>
      <c r="S52" s="39">
        <v>15246</v>
      </c>
      <c r="T52" s="20">
        <f t="shared" si="10"/>
        <v>15246</v>
      </c>
      <c r="U52" s="20">
        <f t="shared" si="11"/>
        <v>2896.7400000000002</v>
      </c>
      <c r="V52" s="20">
        <f t="shared" si="12"/>
        <v>18142.740000000002</v>
      </c>
      <c r="W52" s="107">
        <f t="shared" si="13"/>
        <v>18142.740000000002</v>
      </c>
    </row>
    <row r="53" spans="1:24" ht="25.5" hidden="1" customHeight="1">
      <c r="A53" s="1"/>
      <c r="B53" s="1"/>
      <c r="C53" s="14"/>
      <c r="D53" s="14"/>
      <c r="E53" s="14"/>
      <c r="F53" s="15"/>
      <c r="G53" s="31" t="s">
        <v>62</v>
      </c>
      <c r="H53" s="45">
        <v>41000</v>
      </c>
      <c r="I53" s="43">
        <v>44308</v>
      </c>
      <c r="J53" s="40" t="s">
        <v>99</v>
      </c>
      <c r="K53" s="34" t="str">
        <f>VLOOKUP(L53,Hoja1!B$2:C$401,2,"FALSO")</f>
        <v>PREVENTIVO</v>
      </c>
      <c r="L53" s="14" t="s">
        <v>82</v>
      </c>
      <c r="M53" s="18"/>
      <c r="N53" s="37">
        <v>1</v>
      </c>
      <c r="O53" s="38">
        <v>0</v>
      </c>
      <c r="P53" s="19">
        <f t="shared" si="7"/>
        <v>0</v>
      </c>
      <c r="Q53" s="19">
        <f t="shared" si="8"/>
        <v>0</v>
      </c>
      <c r="R53" s="19">
        <f t="shared" si="9"/>
        <v>0</v>
      </c>
      <c r="S53" s="39">
        <v>52182</v>
      </c>
      <c r="T53" s="20">
        <f t="shared" si="10"/>
        <v>52182</v>
      </c>
      <c r="U53" s="20">
        <f t="shared" si="11"/>
        <v>9914.58</v>
      </c>
      <c r="V53" s="20">
        <f t="shared" si="12"/>
        <v>62096.58</v>
      </c>
      <c r="W53" s="107">
        <f t="shared" si="13"/>
        <v>62096.58</v>
      </c>
    </row>
    <row r="54" spans="1:24" ht="25.5" hidden="1" customHeight="1">
      <c r="A54" s="1"/>
      <c r="B54" s="1"/>
      <c r="C54" s="14"/>
      <c r="D54" s="14"/>
      <c r="E54" s="14"/>
      <c r="F54" s="15"/>
      <c r="G54" s="31" t="s">
        <v>62</v>
      </c>
      <c r="H54" s="45">
        <v>41000</v>
      </c>
      <c r="I54" s="43">
        <v>44308</v>
      </c>
      <c r="J54" s="40" t="s">
        <v>99</v>
      </c>
      <c r="K54" s="34" t="str">
        <f>VLOOKUP(L54,Hoja1!B$2:C$401,2,"FALSO")</f>
        <v>PREVENTIVO</v>
      </c>
      <c r="L54" s="14" t="s">
        <v>105</v>
      </c>
      <c r="M54" s="18"/>
      <c r="N54" s="37">
        <v>1</v>
      </c>
      <c r="O54" s="38">
        <v>0</v>
      </c>
      <c r="P54" s="19">
        <f t="shared" si="7"/>
        <v>0</v>
      </c>
      <c r="Q54" s="19">
        <f t="shared" si="8"/>
        <v>0</v>
      </c>
      <c r="R54" s="19">
        <f t="shared" si="9"/>
        <v>0</v>
      </c>
      <c r="S54" s="39">
        <v>45000</v>
      </c>
      <c r="T54" s="20">
        <f t="shared" si="10"/>
        <v>45000</v>
      </c>
      <c r="U54" s="20">
        <f t="shared" si="11"/>
        <v>8550</v>
      </c>
      <c r="V54" s="20">
        <f t="shared" si="12"/>
        <v>53550</v>
      </c>
      <c r="W54" s="107">
        <f t="shared" si="13"/>
        <v>53550</v>
      </c>
      <c r="X54" s="40">
        <f>SUM(W48:W54)</f>
        <v>429648.31000000006</v>
      </c>
    </row>
    <row r="55" spans="1:24" ht="25.5" hidden="1" customHeight="1">
      <c r="A55" s="1"/>
      <c r="B55" s="1"/>
      <c r="C55" s="14"/>
      <c r="D55" s="14"/>
      <c r="E55" s="14"/>
      <c r="F55" s="15"/>
      <c r="G55" s="47" t="s">
        <v>62</v>
      </c>
      <c r="H55" s="45">
        <v>50331</v>
      </c>
      <c r="I55" s="43">
        <v>44357</v>
      </c>
      <c r="J55" s="32" t="s">
        <v>106</v>
      </c>
      <c r="K55" s="34" t="str">
        <f>VLOOKUP(L55,Hoja1!B$2:C$401,2,"FALSO")</f>
        <v>PREVENTIVO</v>
      </c>
      <c r="L55" s="14" t="s">
        <v>66</v>
      </c>
      <c r="M55" s="18"/>
      <c r="N55" s="37">
        <v>1</v>
      </c>
      <c r="O55" s="38">
        <v>12562</v>
      </c>
      <c r="P55" s="19">
        <f t="shared" si="7"/>
        <v>12562</v>
      </c>
      <c r="Q55" s="19">
        <f t="shared" si="8"/>
        <v>2386.7800000000002</v>
      </c>
      <c r="R55" s="19">
        <f t="shared" si="9"/>
        <v>14948.78</v>
      </c>
      <c r="S55" s="39">
        <v>0</v>
      </c>
      <c r="T55" s="20">
        <f t="shared" si="10"/>
        <v>0</v>
      </c>
      <c r="U55" s="20">
        <f t="shared" si="11"/>
        <v>0</v>
      </c>
      <c r="V55" s="20">
        <f t="shared" si="12"/>
        <v>0</v>
      </c>
      <c r="W55" s="107">
        <f t="shared" si="13"/>
        <v>14948.78</v>
      </c>
    </row>
    <row r="56" spans="1:24" ht="25.5" hidden="1" customHeight="1">
      <c r="A56" s="1"/>
      <c r="B56" s="1"/>
      <c r="C56" s="14"/>
      <c r="D56" s="14"/>
      <c r="E56" s="14"/>
      <c r="F56" s="15"/>
      <c r="G56" s="31" t="s">
        <v>62</v>
      </c>
      <c r="H56" s="45">
        <v>50331</v>
      </c>
      <c r="I56" s="43">
        <v>44357</v>
      </c>
      <c r="J56" s="32" t="s">
        <v>106</v>
      </c>
      <c r="K56" s="34" t="str">
        <f>VLOOKUP(L56,Hoja1!B$2:C$401,2,"FALSO")</f>
        <v>PREVENTIVO</v>
      </c>
      <c r="L56" s="14" t="s">
        <v>67</v>
      </c>
      <c r="M56" s="18"/>
      <c r="N56" s="37">
        <v>1</v>
      </c>
      <c r="O56" s="38">
        <v>30566</v>
      </c>
      <c r="P56" s="19">
        <f t="shared" si="7"/>
        <v>30566</v>
      </c>
      <c r="Q56" s="19">
        <f t="shared" si="8"/>
        <v>5807.54</v>
      </c>
      <c r="R56" s="19">
        <f t="shared" si="9"/>
        <v>36373.54</v>
      </c>
      <c r="S56" s="39">
        <v>0</v>
      </c>
      <c r="T56" s="20">
        <f t="shared" si="10"/>
        <v>0</v>
      </c>
      <c r="U56" s="20">
        <f t="shared" si="11"/>
        <v>0</v>
      </c>
      <c r="V56" s="20">
        <f t="shared" si="12"/>
        <v>0</v>
      </c>
      <c r="W56" s="107">
        <f t="shared" si="13"/>
        <v>36373.54</v>
      </c>
    </row>
    <row r="57" spans="1:24" ht="25.5" hidden="1" customHeight="1">
      <c r="A57" s="1"/>
      <c r="B57" s="1"/>
      <c r="C57" s="14"/>
      <c r="D57" s="14"/>
      <c r="E57" s="14"/>
      <c r="F57" s="15"/>
      <c r="G57" s="31" t="s">
        <v>62</v>
      </c>
      <c r="H57" s="45">
        <v>50331</v>
      </c>
      <c r="I57" s="43">
        <v>44357</v>
      </c>
      <c r="J57" s="32" t="s">
        <v>106</v>
      </c>
      <c r="K57" s="34" t="str">
        <f>VLOOKUP(L57,Hoja1!B$2:C$401,2,"FALSO")</f>
        <v>PREVENTIVO</v>
      </c>
      <c r="L57" s="14" t="s">
        <v>69</v>
      </c>
      <c r="M57" s="18"/>
      <c r="N57" s="37">
        <v>1</v>
      </c>
      <c r="O57" s="38">
        <v>16337</v>
      </c>
      <c r="P57" s="19">
        <f t="shared" si="7"/>
        <v>16337</v>
      </c>
      <c r="Q57" s="19">
        <f t="shared" si="8"/>
        <v>3104.03</v>
      </c>
      <c r="R57" s="19">
        <f t="shared" si="9"/>
        <v>19441.03</v>
      </c>
      <c r="S57" s="39">
        <v>0</v>
      </c>
      <c r="T57" s="20">
        <f t="shared" si="10"/>
        <v>0</v>
      </c>
      <c r="U57" s="20">
        <f t="shared" si="11"/>
        <v>0</v>
      </c>
      <c r="V57" s="20">
        <f t="shared" si="12"/>
        <v>0</v>
      </c>
      <c r="W57" s="107">
        <f t="shared" si="13"/>
        <v>19441.03</v>
      </c>
    </row>
    <row r="58" spans="1:24" ht="25.5" hidden="1" customHeight="1">
      <c r="A58" s="1"/>
      <c r="B58" s="1"/>
      <c r="C58" s="14"/>
      <c r="D58" s="14"/>
      <c r="E58" s="14"/>
      <c r="F58" s="15"/>
      <c r="G58" s="31" t="s">
        <v>62</v>
      </c>
      <c r="H58" s="45">
        <v>50331</v>
      </c>
      <c r="I58" s="43">
        <v>44357</v>
      </c>
      <c r="J58" s="32" t="s">
        <v>106</v>
      </c>
      <c r="K58" s="34" t="str">
        <f>VLOOKUP(L58,Hoja1!B$2:C$401,2,"FALSO")</f>
        <v>PREVENTIVO</v>
      </c>
      <c r="L58" s="14" t="s">
        <v>107</v>
      </c>
      <c r="M58" s="18"/>
      <c r="N58" s="37">
        <v>1</v>
      </c>
      <c r="O58" s="38">
        <v>156829</v>
      </c>
      <c r="P58" s="19">
        <f t="shared" si="7"/>
        <v>156829</v>
      </c>
      <c r="Q58" s="19">
        <f t="shared" si="8"/>
        <v>29797.510000000002</v>
      </c>
      <c r="R58" s="19">
        <f t="shared" si="9"/>
        <v>186626.51</v>
      </c>
      <c r="S58" s="39">
        <v>0</v>
      </c>
      <c r="T58" s="20">
        <f t="shared" si="10"/>
        <v>0</v>
      </c>
      <c r="U58" s="20">
        <f t="shared" si="11"/>
        <v>0</v>
      </c>
      <c r="V58" s="20">
        <f t="shared" si="12"/>
        <v>0</v>
      </c>
      <c r="W58" s="107">
        <f t="shared" si="13"/>
        <v>186626.51</v>
      </c>
    </row>
    <row r="59" spans="1:24" ht="25.5" hidden="1" customHeight="1">
      <c r="A59" s="1"/>
      <c r="B59" s="1"/>
      <c r="C59" s="14"/>
      <c r="D59" s="14"/>
      <c r="E59" s="14"/>
      <c r="F59" s="15"/>
      <c r="G59" s="31" t="s">
        <v>62</v>
      </c>
      <c r="H59" s="45">
        <v>50331</v>
      </c>
      <c r="I59" s="43">
        <v>44357</v>
      </c>
      <c r="J59" s="32" t="s">
        <v>106</v>
      </c>
      <c r="K59" s="34" t="str">
        <f>VLOOKUP(L59,Hoja1!B$2:C$401,2,"FALSO")</f>
        <v xml:space="preserve">PREVENTIVO </v>
      </c>
      <c r="L59" s="14" t="s">
        <v>108</v>
      </c>
      <c r="M59" s="18"/>
      <c r="N59" s="37">
        <v>1</v>
      </c>
      <c r="O59" s="38">
        <v>29460</v>
      </c>
      <c r="P59" s="19">
        <f t="shared" si="7"/>
        <v>29460</v>
      </c>
      <c r="Q59" s="19">
        <f t="shared" si="8"/>
        <v>5597.4</v>
      </c>
      <c r="R59" s="19">
        <f t="shared" si="9"/>
        <v>35057.4</v>
      </c>
      <c r="S59" s="39">
        <v>0</v>
      </c>
      <c r="T59" s="20">
        <f t="shared" si="10"/>
        <v>0</v>
      </c>
      <c r="U59" s="20">
        <f t="shared" si="11"/>
        <v>0</v>
      </c>
      <c r="V59" s="20">
        <f t="shared" si="12"/>
        <v>0</v>
      </c>
      <c r="W59" s="107">
        <f t="shared" si="13"/>
        <v>35057.4</v>
      </c>
    </row>
    <row r="60" spans="1:24" ht="25.5" hidden="1" customHeight="1">
      <c r="A60" s="1"/>
      <c r="B60" s="1"/>
      <c r="C60" s="14"/>
      <c r="D60" s="14"/>
      <c r="E60" s="14"/>
      <c r="F60" s="15"/>
      <c r="G60" s="31" t="s">
        <v>62</v>
      </c>
      <c r="H60" s="45">
        <v>50331</v>
      </c>
      <c r="I60" s="43">
        <v>44357</v>
      </c>
      <c r="J60" s="32" t="s">
        <v>106</v>
      </c>
      <c r="K60" s="34" t="str">
        <f>VLOOKUP(L60,Hoja1!B$2:C$401,2,"FALSO")</f>
        <v>CORRECTIVO</v>
      </c>
      <c r="L60" s="14" t="s">
        <v>72</v>
      </c>
      <c r="M60" s="18"/>
      <c r="N60" s="37">
        <v>1</v>
      </c>
      <c r="O60" s="38">
        <v>140000</v>
      </c>
      <c r="P60" s="19">
        <f t="shared" si="7"/>
        <v>140000</v>
      </c>
      <c r="Q60" s="19">
        <f t="shared" si="8"/>
        <v>26600</v>
      </c>
      <c r="R60" s="19">
        <f t="shared" si="9"/>
        <v>166600</v>
      </c>
      <c r="S60" s="39">
        <v>0</v>
      </c>
      <c r="T60" s="20">
        <f t="shared" si="10"/>
        <v>0</v>
      </c>
      <c r="U60" s="20">
        <f t="shared" si="11"/>
        <v>0</v>
      </c>
      <c r="V60" s="20">
        <f t="shared" si="12"/>
        <v>0</v>
      </c>
      <c r="W60" s="107">
        <f t="shared" si="13"/>
        <v>166600</v>
      </c>
    </row>
    <row r="61" spans="1:24" ht="25.5" hidden="1" customHeight="1">
      <c r="A61" s="1"/>
      <c r="B61" s="1"/>
      <c r="C61" s="14"/>
      <c r="D61" s="14"/>
      <c r="E61" s="14"/>
      <c r="F61" s="15"/>
      <c r="G61" s="31" t="s">
        <v>62</v>
      </c>
      <c r="H61" s="45">
        <v>50331</v>
      </c>
      <c r="I61" s="43">
        <v>44357</v>
      </c>
      <c r="J61" s="32" t="s">
        <v>106</v>
      </c>
      <c r="K61" s="34" t="str">
        <f>VLOOKUP(L61,Hoja1!B$2:C$401,2,"FALSO")</f>
        <v>CORRECTIVO</v>
      </c>
      <c r="L61" s="14" t="s">
        <v>109</v>
      </c>
      <c r="M61" s="18"/>
      <c r="N61" s="37">
        <v>1</v>
      </c>
      <c r="O61" s="38">
        <v>208411</v>
      </c>
      <c r="P61" s="19">
        <f t="shared" si="7"/>
        <v>208411</v>
      </c>
      <c r="Q61" s="19">
        <f t="shared" si="8"/>
        <v>39598.090000000004</v>
      </c>
      <c r="R61" s="19">
        <f t="shared" si="9"/>
        <v>248009.09</v>
      </c>
      <c r="S61" s="39">
        <v>0</v>
      </c>
      <c r="T61" s="20">
        <f t="shared" si="10"/>
        <v>0</v>
      </c>
      <c r="U61" s="20">
        <f t="shared" si="11"/>
        <v>0</v>
      </c>
      <c r="V61" s="20">
        <f t="shared" si="12"/>
        <v>0</v>
      </c>
      <c r="W61" s="107">
        <f t="shared" si="13"/>
        <v>248009.09</v>
      </c>
    </row>
    <row r="62" spans="1:24" ht="25.5" hidden="1" customHeight="1">
      <c r="A62" s="1"/>
      <c r="B62" s="1"/>
      <c r="C62" s="14"/>
      <c r="D62" s="14"/>
      <c r="E62" s="14"/>
      <c r="F62" s="15"/>
      <c r="G62" s="31" t="s">
        <v>62</v>
      </c>
      <c r="H62" s="45">
        <v>50331</v>
      </c>
      <c r="I62" s="43">
        <v>44357</v>
      </c>
      <c r="J62" s="32" t="s">
        <v>106</v>
      </c>
      <c r="K62" s="34" t="str">
        <f>VLOOKUP(L62,Hoja1!B$2:C$401,2,"FALSO")</f>
        <v>CORRECTIVO</v>
      </c>
      <c r="L62" s="14" t="s">
        <v>110</v>
      </c>
      <c r="M62" s="18"/>
      <c r="N62" s="37">
        <v>1</v>
      </c>
      <c r="O62" s="38">
        <v>320000</v>
      </c>
      <c r="P62" s="19">
        <f t="shared" si="7"/>
        <v>320000</v>
      </c>
      <c r="Q62" s="19">
        <f t="shared" si="8"/>
        <v>60800</v>
      </c>
      <c r="R62" s="19">
        <f t="shared" si="9"/>
        <v>380800</v>
      </c>
      <c r="S62" s="39">
        <v>0</v>
      </c>
      <c r="T62" s="20">
        <f t="shared" si="10"/>
        <v>0</v>
      </c>
      <c r="U62" s="20">
        <f t="shared" si="11"/>
        <v>0</v>
      </c>
      <c r="V62" s="20">
        <f t="shared" si="12"/>
        <v>0</v>
      </c>
      <c r="W62" s="107">
        <f t="shared" si="13"/>
        <v>380800</v>
      </c>
    </row>
    <row r="63" spans="1:24" ht="25.5" hidden="1" customHeight="1">
      <c r="A63" s="1"/>
      <c r="B63" s="1"/>
      <c r="C63" s="14"/>
      <c r="D63" s="14"/>
      <c r="E63" s="14"/>
      <c r="F63" s="15"/>
      <c r="G63" s="31" t="s">
        <v>62</v>
      </c>
      <c r="H63" s="45">
        <v>50331</v>
      </c>
      <c r="I63" s="43">
        <v>44357</v>
      </c>
      <c r="J63" s="32" t="s">
        <v>106</v>
      </c>
      <c r="K63" s="34" t="str">
        <f>VLOOKUP(L63,Hoja1!B$2:C$401,2,"FALSO")</f>
        <v>PREVENTIVO</v>
      </c>
      <c r="L63" s="14" t="s">
        <v>111</v>
      </c>
      <c r="M63" s="18"/>
      <c r="N63" s="37">
        <v>1</v>
      </c>
      <c r="O63" s="38">
        <v>40000</v>
      </c>
      <c r="P63" s="19">
        <f t="shared" si="7"/>
        <v>40000</v>
      </c>
      <c r="Q63" s="19">
        <f t="shared" si="8"/>
        <v>7600</v>
      </c>
      <c r="R63" s="19">
        <f t="shared" si="9"/>
        <v>47600</v>
      </c>
      <c r="S63" s="39">
        <v>0</v>
      </c>
      <c r="T63" s="20">
        <f t="shared" si="10"/>
        <v>0</v>
      </c>
      <c r="U63" s="20">
        <f t="shared" si="11"/>
        <v>0</v>
      </c>
      <c r="V63" s="20">
        <f t="shared" si="12"/>
        <v>0</v>
      </c>
      <c r="W63" s="107">
        <f t="shared" si="13"/>
        <v>47600</v>
      </c>
    </row>
    <row r="64" spans="1:24" ht="25.5" hidden="1" customHeight="1">
      <c r="A64" s="1"/>
      <c r="B64" s="1"/>
      <c r="C64" s="14"/>
      <c r="D64" s="14"/>
      <c r="E64" s="14"/>
      <c r="F64" s="15"/>
      <c r="G64" s="31" t="s">
        <v>62</v>
      </c>
      <c r="H64" s="45">
        <v>50331</v>
      </c>
      <c r="I64" s="43">
        <v>44357</v>
      </c>
      <c r="J64" s="32" t="s">
        <v>106</v>
      </c>
      <c r="K64" s="34" t="str">
        <f>VLOOKUP(L64,Hoja1!B$2:C$451,2,"FALSO")</f>
        <v>CORRECTIVO</v>
      </c>
      <c r="L64" s="14" t="s">
        <v>112</v>
      </c>
      <c r="M64" s="18"/>
      <c r="N64" s="37">
        <v>2</v>
      </c>
      <c r="O64" s="38">
        <v>27600</v>
      </c>
      <c r="P64" s="19">
        <f t="shared" si="7"/>
        <v>55200</v>
      </c>
      <c r="Q64" s="19">
        <f t="shared" si="8"/>
        <v>10488</v>
      </c>
      <c r="R64" s="19">
        <f t="shared" si="9"/>
        <v>65688</v>
      </c>
      <c r="S64" s="39">
        <v>0</v>
      </c>
      <c r="T64" s="20">
        <f t="shared" si="10"/>
        <v>0</v>
      </c>
      <c r="U64" s="20">
        <f t="shared" si="11"/>
        <v>0</v>
      </c>
      <c r="V64" s="20">
        <f t="shared" si="12"/>
        <v>0</v>
      </c>
      <c r="W64" s="107">
        <f t="shared" si="13"/>
        <v>65688</v>
      </c>
    </row>
    <row r="65" spans="1:24" ht="25.5" hidden="1" customHeight="1">
      <c r="A65" s="1"/>
      <c r="B65" s="1"/>
      <c r="C65" s="14"/>
      <c r="D65" s="14"/>
      <c r="E65" s="14"/>
      <c r="F65" s="15"/>
      <c r="G65" s="31" t="s">
        <v>62</v>
      </c>
      <c r="H65" s="45">
        <v>50331</v>
      </c>
      <c r="I65" s="43">
        <v>44357</v>
      </c>
      <c r="J65" s="32" t="s">
        <v>106</v>
      </c>
      <c r="K65" s="34" t="str">
        <f>VLOOKUP(L65,Hoja1!B$2:C$451,2,"FALSO")</f>
        <v>PREVENTIVO</v>
      </c>
      <c r="L65" s="14" t="s">
        <v>74</v>
      </c>
      <c r="M65" s="18"/>
      <c r="N65" s="37">
        <v>1</v>
      </c>
      <c r="O65" s="38">
        <v>0</v>
      </c>
      <c r="P65" s="19">
        <f t="shared" si="7"/>
        <v>0</v>
      </c>
      <c r="Q65" s="19">
        <f t="shared" si="8"/>
        <v>0</v>
      </c>
      <c r="R65" s="19">
        <f t="shared" si="9"/>
        <v>0</v>
      </c>
      <c r="S65" s="39">
        <v>11824</v>
      </c>
      <c r="T65" s="20">
        <f t="shared" si="10"/>
        <v>11824</v>
      </c>
      <c r="U65" s="20">
        <f t="shared" si="11"/>
        <v>2246.56</v>
      </c>
      <c r="V65" s="20">
        <f t="shared" si="12"/>
        <v>14070.56</v>
      </c>
      <c r="W65" s="107">
        <f t="shared" si="13"/>
        <v>14070.56</v>
      </c>
    </row>
    <row r="66" spans="1:24" ht="25.5" hidden="1" customHeight="1">
      <c r="A66" s="1"/>
      <c r="B66" s="1"/>
      <c r="C66" s="14"/>
      <c r="D66" s="14"/>
      <c r="E66" s="14"/>
      <c r="F66" s="15"/>
      <c r="G66" s="31" t="s">
        <v>62</v>
      </c>
      <c r="H66" s="45">
        <v>50331</v>
      </c>
      <c r="I66" s="43">
        <v>44357</v>
      </c>
      <c r="J66" s="32" t="s">
        <v>106</v>
      </c>
      <c r="K66" s="34" t="str">
        <f>VLOOKUP(L66,Hoja1!B$2:C$451,2,"FALSO")</f>
        <v>PREVENTIVO</v>
      </c>
      <c r="L66" s="14" t="s">
        <v>75</v>
      </c>
      <c r="M66" s="18"/>
      <c r="N66" s="37">
        <v>1</v>
      </c>
      <c r="O66" s="38">
        <v>0</v>
      </c>
      <c r="P66" s="19">
        <f t="shared" si="7"/>
        <v>0</v>
      </c>
      <c r="Q66" s="19">
        <f t="shared" si="8"/>
        <v>0</v>
      </c>
      <c r="R66" s="19">
        <f t="shared" si="9"/>
        <v>0</v>
      </c>
      <c r="S66" s="39">
        <v>9566</v>
      </c>
      <c r="T66" s="20">
        <f t="shared" si="10"/>
        <v>9566</v>
      </c>
      <c r="U66" s="20">
        <f t="shared" si="11"/>
        <v>1817.54</v>
      </c>
      <c r="V66" s="20">
        <f t="shared" si="12"/>
        <v>11383.54</v>
      </c>
      <c r="W66" s="107">
        <f t="shared" si="13"/>
        <v>11383.54</v>
      </c>
    </row>
    <row r="67" spans="1:24" ht="25.5" hidden="1" customHeight="1">
      <c r="A67" s="1"/>
      <c r="B67" s="1"/>
      <c r="C67" s="14"/>
      <c r="D67" s="14"/>
      <c r="E67" s="14"/>
      <c r="F67" s="15"/>
      <c r="G67" s="31" t="s">
        <v>62</v>
      </c>
      <c r="H67" s="45">
        <v>50331</v>
      </c>
      <c r="I67" s="43">
        <v>44357</v>
      </c>
      <c r="J67" s="32" t="s">
        <v>106</v>
      </c>
      <c r="K67" s="34" t="str">
        <f>VLOOKUP(L67,Hoja1!B$2:C$451,2,"FALSO")</f>
        <v>PREVENTIVO</v>
      </c>
      <c r="L67" s="14" t="s">
        <v>113</v>
      </c>
      <c r="M67" s="18"/>
      <c r="N67" s="37">
        <v>1</v>
      </c>
      <c r="O67" s="38">
        <v>0</v>
      </c>
      <c r="P67" s="19">
        <f t="shared" si="7"/>
        <v>0</v>
      </c>
      <c r="Q67" s="19">
        <f t="shared" si="8"/>
        <v>0</v>
      </c>
      <c r="R67" s="19">
        <f t="shared" si="9"/>
        <v>0</v>
      </c>
      <c r="S67" s="39">
        <v>7641</v>
      </c>
      <c r="T67" s="20">
        <f t="shared" si="10"/>
        <v>7641</v>
      </c>
      <c r="U67" s="20">
        <f t="shared" si="11"/>
        <v>1451.79</v>
      </c>
      <c r="V67" s="20">
        <f t="shared" si="12"/>
        <v>9092.7900000000009</v>
      </c>
      <c r="W67" s="107">
        <f t="shared" si="13"/>
        <v>9092.7900000000009</v>
      </c>
    </row>
    <row r="68" spans="1:24" ht="25.5" hidden="1" customHeight="1">
      <c r="A68" s="1"/>
      <c r="B68" s="1"/>
      <c r="C68" s="14"/>
      <c r="D68" s="14"/>
      <c r="E68" s="14"/>
      <c r="F68" s="15"/>
      <c r="G68" s="31" t="s">
        <v>62</v>
      </c>
      <c r="H68" s="45">
        <v>50331</v>
      </c>
      <c r="I68" s="43">
        <v>44357</v>
      </c>
      <c r="J68" s="32" t="s">
        <v>106</v>
      </c>
      <c r="K68" s="34" t="str">
        <f>VLOOKUP(L68,Hoja1!B$2:C$451,2,"FALSO")</f>
        <v>PREVENTIVO</v>
      </c>
      <c r="L68" s="14" t="s">
        <v>114</v>
      </c>
      <c r="M68" s="18"/>
      <c r="N68" s="37">
        <v>1</v>
      </c>
      <c r="O68" s="38">
        <v>0</v>
      </c>
      <c r="P68" s="19">
        <f t="shared" si="7"/>
        <v>0</v>
      </c>
      <c r="Q68" s="19">
        <f t="shared" si="8"/>
        <v>0</v>
      </c>
      <c r="R68" s="19">
        <f t="shared" si="9"/>
        <v>0</v>
      </c>
      <c r="S68" s="39">
        <v>24949</v>
      </c>
      <c r="T68" s="20">
        <f t="shared" si="10"/>
        <v>24949</v>
      </c>
      <c r="U68" s="20">
        <f t="shared" si="11"/>
        <v>4740.3100000000004</v>
      </c>
      <c r="V68" s="20">
        <f t="shared" si="12"/>
        <v>29689.31</v>
      </c>
      <c r="W68" s="107">
        <f t="shared" si="13"/>
        <v>29689.31</v>
      </c>
    </row>
    <row r="69" spans="1:24" ht="25.5" hidden="1" customHeight="1">
      <c r="A69" s="1"/>
      <c r="B69" s="1"/>
      <c r="C69" s="14"/>
      <c r="D69" s="14"/>
      <c r="E69" s="14"/>
      <c r="F69" s="15"/>
      <c r="G69" s="31" t="s">
        <v>62</v>
      </c>
      <c r="H69" s="45">
        <v>50331</v>
      </c>
      <c r="I69" s="43">
        <v>44357</v>
      </c>
      <c r="J69" s="32" t="s">
        <v>106</v>
      </c>
      <c r="K69" s="34" t="str">
        <f>VLOOKUP(L69,Hoja1!B$2:C$451,2,"FALSO")</f>
        <v>PREVENTIVO</v>
      </c>
      <c r="L69" s="14" t="s">
        <v>115</v>
      </c>
      <c r="M69" s="18"/>
      <c r="N69" s="37">
        <v>1</v>
      </c>
      <c r="O69" s="38">
        <v>0</v>
      </c>
      <c r="P69" s="19">
        <f t="shared" si="7"/>
        <v>0</v>
      </c>
      <c r="Q69" s="19">
        <f t="shared" si="8"/>
        <v>0</v>
      </c>
      <c r="R69" s="19">
        <f t="shared" si="9"/>
        <v>0</v>
      </c>
      <c r="S69" s="39">
        <v>26139</v>
      </c>
      <c r="T69" s="20">
        <f t="shared" si="10"/>
        <v>26139</v>
      </c>
      <c r="U69" s="20">
        <f t="shared" si="11"/>
        <v>4966.41</v>
      </c>
      <c r="V69" s="20">
        <f t="shared" si="12"/>
        <v>31105.41</v>
      </c>
      <c r="W69" s="107">
        <f t="shared" si="13"/>
        <v>31105.41</v>
      </c>
    </row>
    <row r="70" spans="1:24" ht="25.5" hidden="1" customHeight="1">
      <c r="A70" s="1"/>
      <c r="B70" s="1"/>
      <c r="C70" s="14"/>
      <c r="D70" s="14"/>
      <c r="E70" s="14"/>
      <c r="F70" s="15"/>
      <c r="G70" s="31" t="s">
        <v>62</v>
      </c>
      <c r="H70" s="45">
        <v>50331</v>
      </c>
      <c r="I70" s="43">
        <v>44357</v>
      </c>
      <c r="J70" s="32" t="s">
        <v>106</v>
      </c>
      <c r="K70" s="34" t="str">
        <f>VLOOKUP(L70,Hoja1!B$2:C$451,2,"FALSO")</f>
        <v>PREVENTIVO</v>
      </c>
      <c r="L70" s="14" t="s">
        <v>116</v>
      </c>
      <c r="M70" s="18"/>
      <c r="N70" s="37">
        <v>1</v>
      </c>
      <c r="O70" s="38">
        <v>0</v>
      </c>
      <c r="P70" s="19">
        <f t="shared" si="7"/>
        <v>0</v>
      </c>
      <c r="Q70" s="19">
        <f t="shared" si="8"/>
        <v>0</v>
      </c>
      <c r="R70" s="19">
        <f t="shared" si="9"/>
        <v>0</v>
      </c>
      <c r="S70" s="39">
        <v>37856</v>
      </c>
      <c r="T70" s="20">
        <f t="shared" si="10"/>
        <v>37856</v>
      </c>
      <c r="U70" s="20">
        <f t="shared" si="11"/>
        <v>7192.64</v>
      </c>
      <c r="V70" s="20">
        <f t="shared" si="12"/>
        <v>45048.639999999999</v>
      </c>
      <c r="W70" s="107">
        <f t="shared" si="13"/>
        <v>45048.639999999999</v>
      </c>
    </row>
    <row r="71" spans="1:24" ht="25.5" hidden="1" customHeight="1">
      <c r="A71" s="1"/>
      <c r="B71" s="1"/>
      <c r="C71" s="14"/>
      <c r="D71" s="14"/>
      <c r="E71" s="14"/>
      <c r="F71" s="15"/>
      <c r="G71" s="31" t="s">
        <v>62</v>
      </c>
      <c r="H71" s="45">
        <v>50331</v>
      </c>
      <c r="I71" s="43">
        <v>44357</v>
      </c>
      <c r="J71" s="32" t="s">
        <v>106</v>
      </c>
      <c r="K71" s="34" t="str">
        <f>VLOOKUP(L71,Hoja1!B$2:C$451,2,"FALSO")</f>
        <v>CORRECTIVO</v>
      </c>
      <c r="L71" s="14" t="s">
        <v>117</v>
      </c>
      <c r="M71" s="18"/>
      <c r="N71" s="37">
        <v>1</v>
      </c>
      <c r="O71" s="38">
        <v>0</v>
      </c>
      <c r="P71" s="19">
        <f t="shared" si="7"/>
        <v>0</v>
      </c>
      <c r="Q71" s="19">
        <f t="shared" si="8"/>
        <v>0</v>
      </c>
      <c r="R71" s="19">
        <f t="shared" si="9"/>
        <v>0</v>
      </c>
      <c r="S71" s="39">
        <v>150000</v>
      </c>
      <c r="T71" s="20">
        <f t="shared" si="10"/>
        <v>150000</v>
      </c>
      <c r="U71" s="20">
        <f t="shared" si="11"/>
        <v>28500</v>
      </c>
      <c r="V71" s="20">
        <f t="shared" si="12"/>
        <v>178500</v>
      </c>
      <c r="W71" s="107">
        <f t="shared" si="13"/>
        <v>178500</v>
      </c>
    </row>
    <row r="72" spans="1:24" ht="25.5" hidden="1" customHeight="1">
      <c r="A72" s="1"/>
      <c r="B72" s="1"/>
      <c r="C72" s="14"/>
      <c r="D72" s="14"/>
      <c r="E72" s="14"/>
      <c r="F72" s="15"/>
      <c r="G72" s="31" t="s">
        <v>62</v>
      </c>
      <c r="H72" s="45">
        <v>50331</v>
      </c>
      <c r="I72" s="43">
        <v>44357</v>
      </c>
      <c r="J72" s="32" t="s">
        <v>106</v>
      </c>
      <c r="K72" s="34" t="str">
        <f>VLOOKUP(L72,Hoja1!B$2:C$451,2,"FALSO")</f>
        <v>PREVENTIVO</v>
      </c>
      <c r="L72" s="14" t="s">
        <v>79</v>
      </c>
      <c r="M72" s="18"/>
      <c r="N72" s="37">
        <v>1</v>
      </c>
      <c r="O72" s="38">
        <v>0</v>
      </c>
      <c r="P72" s="19">
        <f t="shared" si="7"/>
        <v>0</v>
      </c>
      <c r="Q72" s="19">
        <f t="shared" si="8"/>
        <v>0</v>
      </c>
      <c r="R72" s="19">
        <f t="shared" si="9"/>
        <v>0</v>
      </c>
      <c r="S72" s="39">
        <v>19969</v>
      </c>
      <c r="T72" s="20">
        <f t="shared" si="10"/>
        <v>19969</v>
      </c>
      <c r="U72" s="20">
        <f t="shared" si="11"/>
        <v>3794.11</v>
      </c>
      <c r="V72" s="20">
        <f t="shared" si="12"/>
        <v>23763.11</v>
      </c>
      <c r="W72" s="107">
        <f t="shared" si="13"/>
        <v>23763.11</v>
      </c>
    </row>
    <row r="73" spans="1:24" ht="25.5" hidden="1" customHeight="1">
      <c r="A73" s="1"/>
      <c r="B73" s="1"/>
      <c r="C73" s="14"/>
      <c r="D73" s="14"/>
      <c r="E73" s="14"/>
      <c r="F73" s="15"/>
      <c r="G73" s="31" t="s">
        <v>62</v>
      </c>
      <c r="H73" s="45">
        <v>50331</v>
      </c>
      <c r="I73" s="43">
        <v>44357</v>
      </c>
      <c r="J73" s="32" t="s">
        <v>106</v>
      </c>
      <c r="K73" s="34" t="str">
        <f>VLOOKUP(L73,Hoja1!B$2:C$451,2,"FALSO")</f>
        <v>CORRECTIVO</v>
      </c>
      <c r="L73" s="14" t="s">
        <v>118</v>
      </c>
      <c r="M73" s="18"/>
      <c r="N73" s="37">
        <v>1</v>
      </c>
      <c r="O73" s="38">
        <v>0</v>
      </c>
      <c r="P73" s="19">
        <f t="shared" si="7"/>
        <v>0</v>
      </c>
      <c r="Q73" s="19">
        <f t="shared" si="8"/>
        <v>0</v>
      </c>
      <c r="R73" s="19">
        <f t="shared" si="9"/>
        <v>0</v>
      </c>
      <c r="S73" s="39">
        <v>140000</v>
      </c>
      <c r="T73" s="20">
        <f t="shared" si="10"/>
        <v>140000</v>
      </c>
      <c r="U73" s="20">
        <f t="shared" si="11"/>
        <v>26600</v>
      </c>
      <c r="V73" s="20">
        <f t="shared" si="12"/>
        <v>166600</v>
      </c>
      <c r="W73" s="107">
        <f t="shared" si="13"/>
        <v>166600</v>
      </c>
    </row>
    <row r="74" spans="1:24" ht="25.5" hidden="1" customHeight="1">
      <c r="A74" s="1"/>
      <c r="B74" s="1"/>
      <c r="C74" s="14"/>
      <c r="D74" s="14"/>
      <c r="E74" s="14"/>
      <c r="F74" s="15"/>
      <c r="G74" s="31" t="s">
        <v>62</v>
      </c>
      <c r="H74" s="45">
        <v>50331</v>
      </c>
      <c r="I74" s="43">
        <v>44357</v>
      </c>
      <c r="J74" s="32" t="s">
        <v>106</v>
      </c>
      <c r="K74" s="34" t="str">
        <f>VLOOKUP(L74,Hoja1!B$2:C$451,2,"FALSO")</f>
        <v>PREVENTIVO</v>
      </c>
      <c r="L74" s="14" t="s">
        <v>82</v>
      </c>
      <c r="M74" s="18"/>
      <c r="N74" s="37">
        <v>1</v>
      </c>
      <c r="O74" s="38">
        <v>0</v>
      </c>
      <c r="P74" s="19">
        <f t="shared" si="7"/>
        <v>0</v>
      </c>
      <c r="Q74" s="19">
        <f t="shared" si="8"/>
        <v>0</v>
      </c>
      <c r="R74" s="19">
        <f t="shared" si="9"/>
        <v>0</v>
      </c>
      <c r="S74" s="39">
        <v>52182</v>
      </c>
      <c r="T74" s="20">
        <f t="shared" si="10"/>
        <v>52182</v>
      </c>
      <c r="U74" s="20">
        <f t="shared" si="11"/>
        <v>9914.58</v>
      </c>
      <c r="V74" s="20">
        <f t="shared" si="12"/>
        <v>62096.58</v>
      </c>
      <c r="W74" s="107">
        <f t="shared" si="13"/>
        <v>62096.58</v>
      </c>
    </row>
    <row r="75" spans="1:24" ht="25.5" hidden="1" customHeight="1">
      <c r="A75" s="1"/>
      <c r="B75" s="1"/>
      <c r="C75" s="14"/>
      <c r="D75" s="14"/>
      <c r="E75" s="14"/>
      <c r="F75" s="15"/>
      <c r="G75" s="31" t="s">
        <v>62</v>
      </c>
      <c r="H75" s="45">
        <v>50331</v>
      </c>
      <c r="I75" s="43">
        <v>44357</v>
      </c>
      <c r="J75" s="32" t="s">
        <v>106</v>
      </c>
      <c r="K75" s="34" t="str">
        <f>VLOOKUP(L75,Hoja1!B$2:C$451,2,"FALSO")</f>
        <v>CORRECTIVO</v>
      </c>
      <c r="L75" s="14" t="s">
        <v>119</v>
      </c>
      <c r="M75" s="18"/>
      <c r="N75" s="37">
        <v>1</v>
      </c>
      <c r="O75" s="38">
        <v>0</v>
      </c>
      <c r="P75" s="19">
        <f t="shared" si="7"/>
        <v>0</v>
      </c>
      <c r="Q75" s="19">
        <f t="shared" si="8"/>
        <v>0</v>
      </c>
      <c r="R75" s="19">
        <f t="shared" si="9"/>
        <v>0</v>
      </c>
      <c r="S75" s="39">
        <v>133558</v>
      </c>
      <c r="T75" s="20">
        <f t="shared" si="10"/>
        <v>133558</v>
      </c>
      <c r="U75" s="20">
        <f t="shared" si="11"/>
        <v>25376.02</v>
      </c>
      <c r="V75" s="20">
        <f t="shared" si="12"/>
        <v>158934.01999999999</v>
      </c>
      <c r="W75" s="107">
        <f t="shared" si="13"/>
        <v>158934.01999999999</v>
      </c>
    </row>
    <row r="76" spans="1:24" ht="25.5" hidden="1" customHeight="1">
      <c r="A76" s="1"/>
      <c r="B76" s="1"/>
      <c r="C76" s="14"/>
      <c r="D76" s="14"/>
      <c r="E76" s="14"/>
      <c r="F76" s="15"/>
      <c r="G76" s="31" t="s">
        <v>62</v>
      </c>
      <c r="H76" s="45">
        <v>50331</v>
      </c>
      <c r="I76" s="43">
        <v>44357</v>
      </c>
      <c r="J76" s="32" t="s">
        <v>106</v>
      </c>
      <c r="K76" s="34" t="str">
        <f>VLOOKUP(L76,Hoja1!B$2:C$451,2,"FALSO")</f>
        <v>PREVENTIVO</v>
      </c>
      <c r="L76" s="14" t="s">
        <v>120</v>
      </c>
      <c r="M76" s="18"/>
      <c r="N76" s="37">
        <v>4</v>
      </c>
      <c r="O76" s="38">
        <v>25062</v>
      </c>
      <c r="P76" s="19">
        <f t="shared" si="7"/>
        <v>100248</v>
      </c>
      <c r="Q76" s="19">
        <f t="shared" si="8"/>
        <v>19047.12</v>
      </c>
      <c r="R76" s="19">
        <f t="shared" si="9"/>
        <v>119295.12</v>
      </c>
      <c r="S76" s="39">
        <v>0</v>
      </c>
      <c r="T76" s="20">
        <f t="shared" si="10"/>
        <v>0</v>
      </c>
      <c r="U76" s="20">
        <f t="shared" si="11"/>
        <v>0</v>
      </c>
      <c r="V76" s="20">
        <f t="shared" si="12"/>
        <v>0</v>
      </c>
      <c r="W76" s="107">
        <f t="shared" si="13"/>
        <v>119295.12</v>
      </c>
    </row>
    <row r="77" spans="1:24" ht="25.5" hidden="1" customHeight="1">
      <c r="A77" s="1"/>
      <c r="B77" s="1"/>
      <c r="C77" s="14"/>
      <c r="D77" s="14"/>
      <c r="E77" s="14"/>
      <c r="F77" s="15"/>
      <c r="G77" s="31" t="s">
        <v>62</v>
      </c>
      <c r="H77" s="45">
        <v>50331</v>
      </c>
      <c r="I77" s="43">
        <v>44357</v>
      </c>
      <c r="J77" s="32" t="s">
        <v>106</v>
      </c>
      <c r="K77" s="34" t="str">
        <f>VLOOKUP(L77,Hoja1!B$2:C$451,2,"FALSO")</f>
        <v>CORRECTIVO</v>
      </c>
      <c r="L77" s="14" t="s">
        <v>121</v>
      </c>
      <c r="M77" s="18"/>
      <c r="N77" s="37">
        <v>2</v>
      </c>
      <c r="O77" s="38">
        <v>17311</v>
      </c>
      <c r="P77" s="19">
        <f t="shared" si="7"/>
        <v>34622</v>
      </c>
      <c r="Q77" s="19">
        <f t="shared" si="8"/>
        <v>6578.18</v>
      </c>
      <c r="R77" s="19">
        <f t="shared" si="9"/>
        <v>41200.18</v>
      </c>
      <c r="S77" s="39">
        <v>0</v>
      </c>
      <c r="T77" s="20">
        <f t="shared" si="10"/>
        <v>0</v>
      </c>
      <c r="U77" s="20">
        <f t="shared" si="11"/>
        <v>0</v>
      </c>
      <c r="V77" s="20">
        <f t="shared" si="12"/>
        <v>0</v>
      </c>
      <c r="W77" s="107">
        <f t="shared" si="13"/>
        <v>41200.18</v>
      </c>
      <c r="X77" s="40">
        <f>SUM(W55:W77)</f>
        <v>2091923.61</v>
      </c>
    </row>
    <row r="78" spans="1:24" ht="25.5" hidden="1" customHeight="1">
      <c r="A78" s="1"/>
      <c r="B78" s="1"/>
      <c r="C78" s="14"/>
      <c r="D78" s="14"/>
      <c r="E78" s="14"/>
      <c r="F78" s="15"/>
      <c r="G78" s="31" t="s">
        <v>62</v>
      </c>
      <c r="H78" s="48">
        <v>52993</v>
      </c>
      <c r="I78" s="49">
        <v>44446</v>
      </c>
      <c r="J78" s="17" t="s">
        <v>122</v>
      </c>
      <c r="K78" s="34" t="s">
        <v>123</v>
      </c>
      <c r="L78" s="14" t="s">
        <v>85</v>
      </c>
      <c r="M78" s="18"/>
      <c r="N78" s="37">
        <v>1</v>
      </c>
      <c r="O78" s="38">
        <v>23399</v>
      </c>
      <c r="P78" s="19">
        <f t="shared" si="7"/>
        <v>23399</v>
      </c>
      <c r="Q78" s="19">
        <f t="shared" si="8"/>
        <v>4445.8100000000004</v>
      </c>
      <c r="R78" s="19">
        <f t="shared" si="9"/>
        <v>27844.81</v>
      </c>
      <c r="S78" s="39">
        <v>0</v>
      </c>
      <c r="T78" s="20">
        <f t="shared" si="10"/>
        <v>0</v>
      </c>
      <c r="U78" s="20">
        <f t="shared" si="11"/>
        <v>0</v>
      </c>
      <c r="V78" s="20">
        <f t="shared" si="12"/>
        <v>0</v>
      </c>
      <c r="W78" s="107">
        <f t="shared" si="13"/>
        <v>27844.81</v>
      </c>
    </row>
    <row r="79" spans="1:24" ht="25.5" hidden="1" customHeight="1">
      <c r="A79" s="1"/>
      <c r="B79" s="1"/>
      <c r="C79" s="14"/>
      <c r="D79" s="14"/>
      <c r="E79" s="14"/>
      <c r="F79" s="15"/>
      <c r="G79" s="31" t="s">
        <v>62</v>
      </c>
      <c r="H79" s="48">
        <v>52993</v>
      </c>
      <c r="I79" s="49">
        <v>44446</v>
      </c>
      <c r="J79" s="17" t="s">
        <v>122</v>
      </c>
      <c r="K79" s="34" t="s">
        <v>123</v>
      </c>
      <c r="L79" s="14" t="s">
        <v>124</v>
      </c>
      <c r="M79" s="18"/>
      <c r="N79" s="37">
        <v>2</v>
      </c>
      <c r="O79" s="38">
        <v>42000</v>
      </c>
      <c r="P79" s="19">
        <f t="shared" si="7"/>
        <v>84000</v>
      </c>
      <c r="Q79" s="19">
        <f t="shared" si="8"/>
        <v>15960</v>
      </c>
      <c r="R79" s="19">
        <f t="shared" si="9"/>
        <v>99960</v>
      </c>
      <c r="S79" s="39">
        <v>0</v>
      </c>
      <c r="T79" s="20">
        <f t="shared" si="10"/>
        <v>0</v>
      </c>
      <c r="U79" s="20">
        <f t="shared" si="11"/>
        <v>0</v>
      </c>
      <c r="V79" s="20">
        <f t="shared" si="12"/>
        <v>0</v>
      </c>
      <c r="W79" s="107">
        <f t="shared" si="13"/>
        <v>99960</v>
      </c>
    </row>
    <row r="80" spans="1:24" ht="25.5" hidden="1" customHeight="1">
      <c r="A80" s="1"/>
      <c r="B80" s="1"/>
      <c r="C80" s="14"/>
      <c r="D80" s="14"/>
      <c r="E80" s="14"/>
      <c r="F80" s="15"/>
      <c r="G80" s="53" t="s">
        <v>62</v>
      </c>
      <c r="H80" s="54">
        <v>52993</v>
      </c>
      <c r="I80" s="55">
        <v>44446</v>
      </c>
      <c r="J80" s="56" t="s">
        <v>122</v>
      </c>
      <c r="K80" s="57" t="s">
        <v>123</v>
      </c>
      <c r="L80" s="58" t="s">
        <v>125</v>
      </c>
      <c r="M80" s="59"/>
      <c r="N80" s="60">
        <v>1</v>
      </c>
      <c r="O80" s="61">
        <v>0</v>
      </c>
      <c r="P80" s="62">
        <f t="shared" si="7"/>
        <v>0</v>
      </c>
      <c r="Q80" s="62">
        <f t="shared" si="8"/>
        <v>0</v>
      </c>
      <c r="R80" s="62">
        <f t="shared" si="9"/>
        <v>0</v>
      </c>
      <c r="S80" s="63">
        <v>90000</v>
      </c>
      <c r="T80" s="64">
        <f t="shared" si="10"/>
        <v>90000</v>
      </c>
      <c r="U80" s="64">
        <f t="shared" si="11"/>
        <v>17100</v>
      </c>
      <c r="V80" s="64">
        <f t="shared" si="12"/>
        <v>107100</v>
      </c>
      <c r="W80" s="108">
        <f t="shared" si="13"/>
        <v>107100</v>
      </c>
    </row>
    <row r="81" spans="1:25" ht="25.5" customHeight="1">
      <c r="A81" s="1"/>
      <c r="B81" s="1"/>
      <c r="C81" s="58"/>
      <c r="D81" s="58"/>
      <c r="E81" s="58"/>
      <c r="F81" s="97"/>
      <c r="G81" s="98" t="s">
        <v>126</v>
      </c>
      <c r="H81" s="99">
        <v>122184</v>
      </c>
      <c r="I81" s="100">
        <v>45342</v>
      </c>
      <c r="J81" s="101" t="s">
        <v>127</v>
      </c>
      <c r="K81" s="78" t="s">
        <v>128</v>
      </c>
      <c r="L81" s="88" t="s">
        <v>129</v>
      </c>
      <c r="M81" s="80"/>
      <c r="N81" s="81">
        <v>1</v>
      </c>
      <c r="O81" s="82">
        <v>178647.9</v>
      </c>
      <c r="P81" s="83">
        <f t="shared" si="7"/>
        <v>178647.9</v>
      </c>
      <c r="Q81" s="83">
        <f t="shared" si="8"/>
        <v>33943.101000000002</v>
      </c>
      <c r="R81" s="83">
        <f t="shared" si="9"/>
        <v>212591.00099999999</v>
      </c>
      <c r="S81" s="84">
        <v>123815.13</v>
      </c>
      <c r="T81" s="85">
        <f t="shared" si="10"/>
        <v>123815.13</v>
      </c>
      <c r="U81" s="85">
        <f t="shared" si="11"/>
        <v>23524.8747</v>
      </c>
      <c r="V81" s="85">
        <f t="shared" si="12"/>
        <v>147340.00469999999</v>
      </c>
      <c r="W81" s="95">
        <f>+V81+R81</f>
        <v>359931.00569999998</v>
      </c>
      <c r="X81" s="86">
        <f>W81</f>
        <v>359931.00569999998</v>
      </c>
      <c r="Y81" s="87" t="s">
        <v>130</v>
      </c>
    </row>
    <row r="82" spans="1:25" ht="25.5" customHeight="1">
      <c r="A82" s="1"/>
      <c r="B82" s="1"/>
      <c r="C82" s="164">
        <v>45362</v>
      </c>
      <c r="D82" s="160"/>
      <c r="E82" s="163" t="s">
        <v>131</v>
      </c>
      <c r="F82" s="161"/>
      <c r="G82" s="160" t="s">
        <v>126</v>
      </c>
      <c r="H82" s="165">
        <v>124938</v>
      </c>
      <c r="I82" s="164">
        <v>45374</v>
      </c>
      <c r="J82" s="164" t="s">
        <v>132</v>
      </c>
      <c r="K82" s="96" t="s">
        <v>128</v>
      </c>
      <c r="L82" s="88" t="s">
        <v>133</v>
      </c>
      <c r="M82" s="88"/>
      <c r="N82" s="81">
        <v>2</v>
      </c>
      <c r="O82" s="82">
        <v>21899.16</v>
      </c>
      <c r="P82" s="83">
        <f t="shared" si="7"/>
        <v>43798.32</v>
      </c>
      <c r="Q82" s="83">
        <f t="shared" si="8"/>
        <v>8321.6808000000001</v>
      </c>
      <c r="R82" s="83">
        <f t="shared" si="9"/>
        <v>52120.000800000002</v>
      </c>
      <c r="S82" s="84"/>
      <c r="T82" s="85">
        <f t="shared" si="10"/>
        <v>0</v>
      </c>
      <c r="U82" s="85">
        <f t="shared" si="11"/>
        <v>0</v>
      </c>
      <c r="V82" s="85">
        <f t="shared" si="12"/>
        <v>0</v>
      </c>
      <c r="W82" s="95">
        <f t="shared" ref="W82:W155" si="14">+V82+R82</f>
        <v>52120.000800000002</v>
      </c>
      <c r="X82" s="166">
        <f>SUM(W82:W94)</f>
        <v>3466813.6601000004</v>
      </c>
      <c r="Y82" s="169" t="s">
        <v>130</v>
      </c>
    </row>
    <row r="83" spans="1:25" ht="25.5" customHeight="1">
      <c r="A83" s="1"/>
      <c r="B83" s="1"/>
      <c r="C83" s="164"/>
      <c r="D83" s="160"/>
      <c r="E83" s="163"/>
      <c r="F83" s="161"/>
      <c r="G83" s="160"/>
      <c r="H83" s="165"/>
      <c r="I83" s="164"/>
      <c r="J83" s="164"/>
      <c r="K83" s="96" t="s">
        <v>123</v>
      </c>
      <c r="L83" s="88" t="s">
        <v>134</v>
      </c>
      <c r="M83" s="88"/>
      <c r="N83" s="81">
        <v>2</v>
      </c>
      <c r="O83" s="82">
        <v>34791.599999999999</v>
      </c>
      <c r="P83" s="83">
        <f t="shared" si="7"/>
        <v>69583.199999999997</v>
      </c>
      <c r="Q83" s="83">
        <f t="shared" si="8"/>
        <v>13220.807999999999</v>
      </c>
      <c r="R83" s="83">
        <f t="shared" si="9"/>
        <v>82804.008000000002</v>
      </c>
      <c r="S83" s="84">
        <v>10957.14</v>
      </c>
      <c r="T83" s="85">
        <f t="shared" si="10"/>
        <v>21914.28</v>
      </c>
      <c r="U83" s="85">
        <f t="shared" si="11"/>
        <v>4163.7132000000001</v>
      </c>
      <c r="V83" s="85">
        <f t="shared" si="12"/>
        <v>26077.993199999997</v>
      </c>
      <c r="W83" s="95">
        <f t="shared" si="14"/>
        <v>108882.0012</v>
      </c>
      <c r="X83" s="167"/>
      <c r="Y83" s="170"/>
    </row>
    <row r="84" spans="1:25" ht="25.5" customHeight="1">
      <c r="A84" s="1"/>
      <c r="B84" s="1"/>
      <c r="C84" s="164"/>
      <c r="D84" s="160"/>
      <c r="E84" s="163"/>
      <c r="F84" s="161"/>
      <c r="G84" s="160"/>
      <c r="H84" s="165"/>
      <c r="I84" s="164"/>
      <c r="J84" s="164"/>
      <c r="K84" s="96" t="s">
        <v>123</v>
      </c>
      <c r="L84" s="88" t="s">
        <v>135</v>
      </c>
      <c r="M84" s="88"/>
      <c r="N84" s="81">
        <v>1</v>
      </c>
      <c r="O84" s="82">
        <v>330000</v>
      </c>
      <c r="P84" s="83">
        <f t="shared" ref="P84:P155" si="15">+O84*N84</f>
        <v>330000</v>
      </c>
      <c r="Q84" s="83">
        <f t="shared" ref="Q84:Q155" si="16">+P84*0.19</f>
        <v>62700</v>
      </c>
      <c r="R84" s="83">
        <f t="shared" ref="R84:R155" si="17">+Q84+P84</f>
        <v>392700</v>
      </c>
      <c r="S84" s="84">
        <v>75000</v>
      </c>
      <c r="T84" s="85">
        <f t="shared" ref="T84:T155" si="18">+S84*N84</f>
        <v>75000</v>
      </c>
      <c r="U84" s="85">
        <f t="shared" ref="U84:U155" si="19">+T84*0.19</f>
        <v>14250</v>
      </c>
      <c r="V84" s="85">
        <f t="shared" ref="V84:V155" si="20">+U84+T84</f>
        <v>89250</v>
      </c>
      <c r="W84" s="95">
        <f t="shared" si="14"/>
        <v>481950</v>
      </c>
      <c r="X84" s="167"/>
      <c r="Y84" s="170"/>
    </row>
    <row r="85" spans="1:25" ht="25.5" customHeight="1">
      <c r="A85" s="1"/>
      <c r="B85" s="1"/>
      <c r="C85" s="164"/>
      <c r="D85" s="160"/>
      <c r="E85" s="163"/>
      <c r="F85" s="161"/>
      <c r="G85" s="160"/>
      <c r="H85" s="165"/>
      <c r="I85" s="164"/>
      <c r="J85" s="164"/>
      <c r="K85" s="96" t="s">
        <v>123</v>
      </c>
      <c r="L85" s="88" t="s">
        <v>136</v>
      </c>
      <c r="M85" s="88"/>
      <c r="N85" s="81">
        <v>1</v>
      </c>
      <c r="O85" s="82">
        <v>380000</v>
      </c>
      <c r="P85" s="83">
        <f t="shared" si="15"/>
        <v>380000</v>
      </c>
      <c r="Q85" s="83">
        <f t="shared" si="16"/>
        <v>72200</v>
      </c>
      <c r="R85" s="83">
        <f t="shared" si="17"/>
        <v>452200</v>
      </c>
      <c r="S85" s="84">
        <v>150000</v>
      </c>
      <c r="T85" s="85">
        <f t="shared" si="18"/>
        <v>150000</v>
      </c>
      <c r="U85" s="85">
        <f t="shared" si="19"/>
        <v>28500</v>
      </c>
      <c r="V85" s="85">
        <f t="shared" si="20"/>
        <v>178500</v>
      </c>
      <c r="W85" s="95">
        <f t="shared" si="14"/>
        <v>630700</v>
      </c>
      <c r="X85" s="167"/>
      <c r="Y85" s="170"/>
    </row>
    <row r="86" spans="1:25" ht="25.5" customHeight="1">
      <c r="A86" s="1"/>
      <c r="B86" s="1"/>
      <c r="C86" s="164"/>
      <c r="D86" s="160"/>
      <c r="E86" s="163"/>
      <c r="F86" s="161"/>
      <c r="G86" s="160"/>
      <c r="H86" s="165"/>
      <c r="I86" s="164"/>
      <c r="J86" s="164"/>
      <c r="K86" s="96" t="s">
        <v>123</v>
      </c>
      <c r="L86" s="88" t="s">
        <v>137</v>
      </c>
      <c r="M86" s="88"/>
      <c r="N86" s="81">
        <v>1</v>
      </c>
      <c r="O86" s="82">
        <v>410000</v>
      </c>
      <c r="P86" s="83">
        <f t="shared" si="15"/>
        <v>410000</v>
      </c>
      <c r="Q86" s="83">
        <f t="shared" si="16"/>
        <v>77900</v>
      </c>
      <c r="R86" s="83">
        <f t="shared" si="17"/>
        <v>487900</v>
      </c>
      <c r="S86" s="84">
        <v>15800</v>
      </c>
      <c r="T86" s="85">
        <f t="shared" si="18"/>
        <v>15800</v>
      </c>
      <c r="U86" s="85">
        <f t="shared" si="19"/>
        <v>3002</v>
      </c>
      <c r="V86" s="85">
        <f t="shared" si="20"/>
        <v>18802</v>
      </c>
      <c r="W86" s="95">
        <f t="shared" si="14"/>
        <v>506702</v>
      </c>
      <c r="X86" s="167"/>
      <c r="Y86" s="170"/>
    </row>
    <row r="87" spans="1:25" ht="25.5" customHeight="1">
      <c r="A87" s="1"/>
      <c r="B87" s="1"/>
      <c r="C87" s="164"/>
      <c r="D87" s="160"/>
      <c r="E87" s="163"/>
      <c r="F87" s="161"/>
      <c r="G87" s="160"/>
      <c r="H87" s="165"/>
      <c r="I87" s="164"/>
      <c r="J87" s="164"/>
      <c r="K87" s="96" t="s">
        <v>123</v>
      </c>
      <c r="L87" s="88" t="s">
        <v>138</v>
      </c>
      <c r="M87" s="88"/>
      <c r="N87" s="81">
        <v>1</v>
      </c>
      <c r="O87" s="82">
        <v>120000</v>
      </c>
      <c r="P87" s="83">
        <f t="shared" si="15"/>
        <v>120000</v>
      </c>
      <c r="Q87" s="83">
        <f t="shared" si="16"/>
        <v>22800</v>
      </c>
      <c r="R87" s="83">
        <f t="shared" si="17"/>
        <v>142800</v>
      </c>
      <c r="S87" s="84"/>
      <c r="T87" s="85">
        <f t="shared" si="18"/>
        <v>0</v>
      </c>
      <c r="U87" s="85">
        <f t="shared" si="19"/>
        <v>0</v>
      </c>
      <c r="V87" s="85">
        <f t="shared" si="20"/>
        <v>0</v>
      </c>
      <c r="W87" s="95">
        <f t="shared" si="14"/>
        <v>142800</v>
      </c>
      <c r="X87" s="167"/>
      <c r="Y87" s="170"/>
    </row>
    <row r="88" spans="1:25" ht="25.5" customHeight="1">
      <c r="A88" s="1"/>
      <c r="B88" s="1"/>
      <c r="C88" s="164"/>
      <c r="D88" s="160"/>
      <c r="E88" s="163"/>
      <c r="F88" s="161"/>
      <c r="G88" s="160"/>
      <c r="H88" s="165"/>
      <c r="I88" s="164"/>
      <c r="J88" s="164"/>
      <c r="K88" s="96" t="s">
        <v>128</v>
      </c>
      <c r="L88" s="88" t="s">
        <v>139</v>
      </c>
      <c r="M88" s="88"/>
      <c r="N88" s="81">
        <v>1</v>
      </c>
      <c r="O88" s="82"/>
      <c r="P88" s="83">
        <f t="shared" si="15"/>
        <v>0</v>
      </c>
      <c r="Q88" s="83">
        <f t="shared" si="16"/>
        <v>0</v>
      </c>
      <c r="R88" s="83">
        <f t="shared" si="17"/>
        <v>0</v>
      </c>
      <c r="S88" s="84">
        <v>81083.19</v>
      </c>
      <c r="T88" s="85">
        <f t="shared" si="18"/>
        <v>81083.19</v>
      </c>
      <c r="U88" s="85">
        <f t="shared" si="19"/>
        <v>15405.8061</v>
      </c>
      <c r="V88" s="85">
        <f t="shared" si="20"/>
        <v>96488.996100000004</v>
      </c>
      <c r="W88" s="95">
        <f t="shared" si="14"/>
        <v>96488.996100000004</v>
      </c>
      <c r="X88" s="167"/>
      <c r="Y88" s="170"/>
    </row>
    <row r="89" spans="1:25" ht="25.5" customHeight="1">
      <c r="A89" s="1"/>
      <c r="B89" s="1"/>
      <c r="C89" s="164"/>
      <c r="D89" s="160"/>
      <c r="E89" s="163"/>
      <c r="F89" s="161"/>
      <c r="G89" s="160"/>
      <c r="H89" s="165"/>
      <c r="I89" s="164"/>
      <c r="J89" s="164"/>
      <c r="K89" s="96" t="s">
        <v>123</v>
      </c>
      <c r="L89" s="88" t="s">
        <v>140</v>
      </c>
      <c r="M89" s="88"/>
      <c r="N89" s="81">
        <v>2</v>
      </c>
      <c r="O89" s="82"/>
      <c r="P89" s="83">
        <f t="shared" si="15"/>
        <v>0</v>
      </c>
      <c r="Q89" s="83">
        <f t="shared" si="16"/>
        <v>0</v>
      </c>
      <c r="R89" s="83">
        <f t="shared" si="17"/>
        <v>0</v>
      </c>
      <c r="S89" s="84">
        <v>105000</v>
      </c>
      <c r="T89" s="85">
        <f t="shared" si="18"/>
        <v>210000</v>
      </c>
      <c r="U89" s="85">
        <f t="shared" si="19"/>
        <v>39900</v>
      </c>
      <c r="V89" s="85">
        <f t="shared" si="20"/>
        <v>249900</v>
      </c>
      <c r="W89" s="95">
        <f t="shared" si="14"/>
        <v>249900</v>
      </c>
      <c r="X89" s="167"/>
      <c r="Y89" s="170"/>
    </row>
    <row r="90" spans="1:25" ht="25.5" customHeight="1">
      <c r="A90" s="1"/>
      <c r="B90" s="1"/>
      <c r="C90" s="164"/>
      <c r="D90" s="160"/>
      <c r="E90" s="163"/>
      <c r="F90" s="161"/>
      <c r="G90" s="160"/>
      <c r="H90" s="165"/>
      <c r="I90" s="164"/>
      <c r="J90" s="164"/>
      <c r="K90" s="96" t="s">
        <v>123</v>
      </c>
      <c r="L90" s="88" t="s">
        <v>141</v>
      </c>
      <c r="M90" s="88"/>
      <c r="N90" s="81">
        <v>1</v>
      </c>
      <c r="O90" s="82"/>
      <c r="P90" s="83">
        <f t="shared" si="15"/>
        <v>0</v>
      </c>
      <c r="Q90" s="83">
        <f t="shared" si="16"/>
        <v>0</v>
      </c>
      <c r="R90" s="83">
        <f t="shared" si="17"/>
        <v>0</v>
      </c>
      <c r="S90" s="84">
        <v>29411.759999999998</v>
      </c>
      <c r="T90" s="85">
        <f t="shared" si="18"/>
        <v>29411.759999999998</v>
      </c>
      <c r="U90" s="85">
        <f t="shared" si="19"/>
        <v>5588.2343999999994</v>
      </c>
      <c r="V90" s="85">
        <f t="shared" si="20"/>
        <v>34999.994399999996</v>
      </c>
      <c r="W90" s="95">
        <f t="shared" si="14"/>
        <v>34999.994399999996</v>
      </c>
      <c r="X90" s="167"/>
      <c r="Y90" s="170"/>
    </row>
    <row r="91" spans="1:25" ht="25.5" customHeight="1">
      <c r="A91" s="1"/>
      <c r="B91" s="1"/>
      <c r="C91" s="164"/>
      <c r="D91" s="160"/>
      <c r="E91" s="163"/>
      <c r="F91" s="161"/>
      <c r="G91" s="160"/>
      <c r="H91" s="165"/>
      <c r="I91" s="164"/>
      <c r="J91" s="164"/>
      <c r="K91" s="96" t="s">
        <v>123</v>
      </c>
      <c r="L91" s="88" t="s">
        <v>142</v>
      </c>
      <c r="M91" s="88"/>
      <c r="N91" s="81">
        <v>1</v>
      </c>
      <c r="O91" s="82"/>
      <c r="P91" s="83">
        <f t="shared" si="15"/>
        <v>0</v>
      </c>
      <c r="Q91" s="83">
        <f t="shared" si="16"/>
        <v>0</v>
      </c>
      <c r="R91" s="83">
        <f t="shared" si="17"/>
        <v>0</v>
      </c>
      <c r="S91" s="84">
        <v>170000</v>
      </c>
      <c r="T91" s="85">
        <f t="shared" si="18"/>
        <v>170000</v>
      </c>
      <c r="U91" s="85">
        <f t="shared" si="19"/>
        <v>32300</v>
      </c>
      <c r="V91" s="85">
        <f t="shared" si="20"/>
        <v>202300</v>
      </c>
      <c r="W91" s="95">
        <f t="shared" si="14"/>
        <v>202300</v>
      </c>
      <c r="X91" s="167"/>
      <c r="Y91" s="170"/>
    </row>
    <row r="92" spans="1:25" ht="25.5" customHeight="1">
      <c r="A92" s="1"/>
      <c r="B92" s="1"/>
      <c r="C92" s="164"/>
      <c r="D92" s="160"/>
      <c r="E92" s="163"/>
      <c r="F92" s="161"/>
      <c r="G92" s="160"/>
      <c r="H92" s="165"/>
      <c r="I92" s="164"/>
      <c r="J92" s="164"/>
      <c r="K92" s="96" t="s">
        <v>123</v>
      </c>
      <c r="L92" s="88" t="s">
        <v>143</v>
      </c>
      <c r="M92" s="88"/>
      <c r="N92" s="81">
        <v>1</v>
      </c>
      <c r="O92" s="82"/>
      <c r="P92" s="83">
        <f t="shared" si="15"/>
        <v>0</v>
      </c>
      <c r="Q92" s="83">
        <f t="shared" si="16"/>
        <v>0</v>
      </c>
      <c r="R92" s="83">
        <f t="shared" si="17"/>
        <v>0</v>
      </c>
      <c r="S92" s="84">
        <v>360000.04</v>
      </c>
      <c r="T92" s="85">
        <f t="shared" si="18"/>
        <v>360000.04</v>
      </c>
      <c r="U92" s="85">
        <f t="shared" si="19"/>
        <v>68400.007599999997</v>
      </c>
      <c r="V92" s="85">
        <f t="shared" si="20"/>
        <v>428400.04759999999</v>
      </c>
      <c r="W92" s="95">
        <f t="shared" si="14"/>
        <v>428400.04759999999</v>
      </c>
      <c r="X92" s="167"/>
      <c r="Y92" s="170"/>
    </row>
    <row r="93" spans="1:25" ht="25.5" customHeight="1">
      <c r="A93" s="1"/>
      <c r="B93" s="1"/>
      <c r="C93" s="164"/>
      <c r="D93" s="160"/>
      <c r="E93" s="163"/>
      <c r="F93" s="161"/>
      <c r="G93" s="160"/>
      <c r="H93" s="165"/>
      <c r="I93" s="164"/>
      <c r="J93" s="164"/>
      <c r="K93" s="96" t="s">
        <v>128</v>
      </c>
      <c r="L93" s="88" t="s">
        <v>144</v>
      </c>
      <c r="M93" s="88"/>
      <c r="N93" s="81">
        <v>1</v>
      </c>
      <c r="O93" s="82"/>
      <c r="P93" s="83">
        <f t="shared" si="15"/>
        <v>0</v>
      </c>
      <c r="Q93" s="83">
        <f t="shared" si="16"/>
        <v>0</v>
      </c>
      <c r="R93" s="83">
        <f t="shared" si="17"/>
        <v>0</v>
      </c>
      <c r="S93" s="84">
        <v>176470.59</v>
      </c>
      <c r="T93" s="85">
        <f t="shared" si="18"/>
        <v>176470.59</v>
      </c>
      <c r="U93" s="85">
        <f t="shared" si="19"/>
        <v>33529.412100000001</v>
      </c>
      <c r="V93" s="85">
        <f t="shared" si="20"/>
        <v>210000.00209999998</v>
      </c>
      <c r="W93" s="95">
        <f t="shared" si="14"/>
        <v>210000.00209999998</v>
      </c>
      <c r="X93" s="167"/>
      <c r="Y93" s="170"/>
    </row>
    <row r="94" spans="1:25" ht="25.5" customHeight="1">
      <c r="A94" s="1"/>
      <c r="B94" s="1"/>
      <c r="C94" s="164"/>
      <c r="D94" s="160"/>
      <c r="E94" s="163"/>
      <c r="F94" s="162"/>
      <c r="G94" s="114"/>
      <c r="H94" s="134"/>
      <c r="I94" s="132"/>
      <c r="J94" s="132"/>
      <c r="K94" s="96" t="s">
        <v>128</v>
      </c>
      <c r="L94" s="88" t="s">
        <v>145</v>
      </c>
      <c r="M94" s="88"/>
      <c r="N94" s="81">
        <v>1</v>
      </c>
      <c r="O94" s="82"/>
      <c r="P94" s="83">
        <f t="shared" si="15"/>
        <v>0</v>
      </c>
      <c r="Q94" s="83">
        <f t="shared" si="16"/>
        <v>0</v>
      </c>
      <c r="R94" s="83">
        <f t="shared" si="17"/>
        <v>0</v>
      </c>
      <c r="S94" s="84">
        <v>270227.40999999997</v>
      </c>
      <c r="T94" s="85">
        <f t="shared" si="18"/>
        <v>270227.40999999997</v>
      </c>
      <c r="U94" s="85">
        <f t="shared" si="19"/>
        <v>51343.207899999994</v>
      </c>
      <c r="V94" s="85">
        <f t="shared" si="20"/>
        <v>321570.61789999995</v>
      </c>
      <c r="W94" s="95">
        <f t="shared" si="14"/>
        <v>321570.61789999995</v>
      </c>
      <c r="X94" s="168"/>
      <c r="Y94" s="171"/>
    </row>
    <row r="95" spans="1:25" ht="25.5" customHeight="1">
      <c r="A95" s="1"/>
      <c r="B95" s="1"/>
      <c r="C95" s="176">
        <v>45434</v>
      </c>
      <c r="D95" s="175"/>
      <c r="E95" s="172" t="s">
        <v>146</v>
      </c>
      <c r="F95" s="161"/>
      <c r="G95" s="163" t="s">
        <v>147</v>
      </c>
      <c r="H95" s="165">
        <v>127220</v>
      </c>
      <c r="I95" s="164">
        <v>45455</v>
      </c>
      <c r="J95" s="164" t="s">
        <v>148</v>
      </c>
      <c r="K95" s="96" t="s">
        <v>123</v>
      </c>
      <c r="L95" s="88" t="s">
        <v>149</v>
      </c>
      <c r="M95" s="88"/>
      <c r="N95" s="81">
        <v>4</v>
      </c>
      <c r="O95" s="82">
        <v>22867</v>
      </c>
      <c r="P95" s="83">
        <f t="shared" si="15"/>
        <v>91468</v>
      </c>
      <c r="Q95" s="83">
        <f t="shared" si="16"/>
        <v>17378.920000000002</v>
      </c>
      <c r="R95" s="83">
        <f t="shared" si="17"/>
        <v>108846.92</v>
      </c>
      <c r="S95" s="84"/>
      <c r="T95" s="85">
        <f t="shared" si="18"/>
        <v>0</v>
      </c>
      <c r="U95" s="85">
        <f t="shared" si="19"/>
        <v>0</v>
      </c>
      <c r="V95" s="85">
        <f t="shared" si="20"/>
        <v>0</v>
      </c>
      <c r="W95" s="95">
        <f t="shared" si="14"/>
        <v>108846.92</v>
      </c>
      <c r="X95" s="166">
        <f>SUM(W95:W101)</f>
        <v>1649726.75</v>
      </c>
      <c r="Y95" s="129" t="s">
        <v>130</v>
      </c>
    </row>
    <row r="96" spans="1:25" ht="25.5" customHeight="1">
      <c r="A96" s="1"/>
      <c r="B96" s="1"/>
      <c r="C96" s="124"/>
      <c r="D96" s="121"/>
      <c r="E96" s="173"/>
      <c r="F96" s="161"/>
      <c r="G96" s="163"/>
      <c r="H96" s="165"/>
      <c r="I96" s="164"/>
      <c r="J96" s="164"/>
      <c r="K96" s="96" t="s">
        <v>128</v>
      </c>
      <c r="L96" s="88" t="s">
        <v>150</v>
      </c>
      <c r="M96" s="88"/>
      <c r="N96" s="81">
        <v>1</v>
      </c>
      <c r="O96" s="82">
        <v>78233</v>
      </c>
      <c r="P96" s="83">
        <f t="shared" si="15"/>
        <v>78233</v>
      </c>
      <c r="Q96" s="83">
        <f t="shared" si="16"/>
        <v>14864.27</v>
      </c>
      <c r="R96" s="83">
        <f t="shared" si="17"/>
        <v>93097.27</v>
      </c>
      <c r="S96" s="84"/>
      <c r="T96" s="85">
        <f t="shared" si="18"/>
        <v>0</v>
      </c>
      <c r="U96" s="85">
        <f t="shared" si="19"/>
        <v>0</v>
      </c>
      <c r="V96" s="85">
        <f t="shared" si="20"/>
        <v>0</v>
      </c>
      <c r="W96" s="95">
        <f t="shared" si="14"/>
        <v>93097.27</v>
      </c>
      <c r="X96" s="167"/>
      <c r="Y96" s="130"/>
    </row>
    <row r="97" spans="1:25" ht="25.5" customHeight="1">
      <c r="A97" s="1"/>
      <c r="B97" s="1"/>
      <c r="C97" s="124"/>
      <c r="D97" s="121"/>
      <c r="E97" s="173"/>
      <c r="F97" s="161"/>
      <c r="G97" s="163"/>
      <c r="H97" s="165"/>
      <c r="I97" s="164"/>
      <c r="J97" s="164"/>
      <c r="K97" s="96" t="s">
        <v>123</v>
      </c>
      <c r="L97" s="88" t="s">
        <v>151</v>
      </c>
      <c r="M97" s="88"/>
      <c r="N97" s="81">
        <v>4</v>
      </c>
      <c r="O97" s="82">
        <v>162400</v>
      </c>
      <c r="P97" s="83">
        <f t="shared" si="15"/>
        <v>649600</v>
      </c>
      <c r="Q97" s="83">
        <f t="shared" si="16"/>
        <v>123424</v>
      </c>
      <c r="R97" s="83">
        <f t="shared" si="17"/>
        <v>773024</v>
      </c>
      <c r="S97" s="84"/>
      <c r="T97" s="85">
        <f t="shared" si="18"/>
        <v>0</v>
      </c>
      <c r="U97" s="85">
        <f t="shared" si="19"/>
        <v>0</v>
      </c>
      <c r="V97" s="85">
        <f t="shared" si="20"/>
        <v>0</v>
      </c>
      <c r="W97" s="95">
        <f t="shared" si="14"/>
        <v>773024</v>
      </c>
      <c r="X97" s="167"/>
      <c r="Y97" s="130"/>
    </row>
    <row r="98" spans="1:25" ht="25.5" customHeight="1">
      <c r="A98" s="1"/>
      <c r="B98" s="1"/>
      <c r="C98" s="124"/>
      <c r="D98" s="121"/>
      <c r="E98" s="173"/>
      <c r="F98" s="161"/>
      <c r="G98" s="163"/>
      <c r="H98" s="165"/>
      <c r="I98" s="164"/>
      <c r="J98" s="164"/>
      <c r="K98" s="96" t="s">
        <v>128</v>
      </c>
      <c r="L98" s="88" t="s">
        <v>152</v>
      </c>
      <c r="M98" s="88"/>
      <c r="N98" s="81">
        <v>1</v>
      </c>
      <c r="O98" s="82">
        <v>22500</v>
      </c>
      <c r="P98" s="83">
        <f t="shared" si="15"/>
        <v>22500</v>
      </c>
      <c r="Q98" s="83">
        <f t="shared" si="16"/>
        <v>4275</v>
      </c>
      <c r="R98" s="83">
        <f t="shared" si="17"/>
        <v>26775</v>
      </c>
      <c r="S98" s="84">
        <v>127400</v>
      </c>
      <c r="T98" s="85">
        <f t="shared" si="18"/>
        <v>127400</v>
      </c>
      <c r="U98" s="85">
        <f t="shared" si="19"/>
        <v>24206</v>
      </c>
      <c r="V98" s="85">
        <f t="shared" si="20"/>
        <v>151606</v>
      </c>
      <c r="W98" s="95">
        <f t="shared" si="14"/>
        <v>178381</v>
      </c>
      <c r="X98" s="167"/>
      <c r="Y98" s="130"/>
    </row>
    <row r="99" spans="1:25" ht="25.5" customHeight="1">
      <c r="A99" s="1"/>
      <c r="B99" s="1"/>
      <c r="C99" s="124"/>
      <c r="D99" s="121"/>
      <c r="E99" s="173"/>
      <c r="F99" s="161"/>
      <c r="G99" s="163"/>
      <c r="H99" s="165"/>
      <c r="I99" s="164"/>
      <c r="J99" s="164"/>
      <c r="K99" s="96" t="s">
        <v>128</v>
      </c>
      <c r="L99" s="88" t="s">
        <v>153</v>
      </c>
      <c r="M99" s="88"/>
      <c r="N99" s="81">
        <v>1</v>
      </c>
      <c r="O99" s="82"/>
      <c r="P99" s="83">
        <f t="shared" si="15"/>
        <v>0</v>
      </c>
      <c r="Q99" s="83">
        <f t="shared" si="16"/>
        <v>0</v>
      </c>
      <c r="R99" s="83">
        <f t="shared" si="17"/>
        <v>0</v>
      </c>
      <c r="S99" s="84">
        <v>347380</v>
      </c>
      <c r="T99" s="85">
        <f t="shared" si="18"/>
        <v>347380</v>
      </c>
      <c r="U99" s="85">
        <f t="shared" si="19"/>
        <v>66002.2</v>
      </c>
      <c r="V99" s="85">
        <f t="shared" si="20"/>
        <v>413382.2</v>
      </c>
      <c r="W99" s="95">
        <f t="shared" si="14"/>
        <v>413382.2</v>
      </c>
      <c r="X99" s="167"/>
      <c r="Y99" s="130"/>
    </row>
    <row r="100" spans="1:25" ht="25.5" customHeight="1">
      <c r="A100" s="1"/>
      <c r="B100" s="1"/>
      <c r="C100" s="124"/>
      <c r="D100" s="121"/>
      <c r="E100" s="173"/>
      <c r="F100" s="161"/>
      <c r="G100" s="163"/>
      <c r="H100" s="165"/>
      <c r="I100" s="164"/>
      <c r="J100" s="164"/>
      <c r="K100" s="96" t="s">
        <v>128</v>
      </c>
      <c r="L100" s="88" t="s">
        <v>154</v>
      </c>
      <c r="M100" s="88"/>
      <c r="N100" s="81">
        <v>1</v>
      </c>
      <c r="O100" s="82"/>
      <c r="P100" s="83">
        <f t="shared" si="15"/>
        <v>0</v>
      </c>
      <c r="Q100" s="83">
        <f t="shared" si="16"/>
        <v>0</v>
      </c>
      <c r="R100" s="83">
        <f t="shared" si="17"/>
        <v>0</v>
      </c>
      <c r="S100" s="84">
        <v>34941</v>
      </c>
      <c r="T100" s="85">
        <f t="shared" si="18"/>
        <v>34941</v>
      </c>
      <c r="U100" s="85">
        <f t="shared" si="19"/>
        <v>6638.79</v>
      </c>
      <c r="V100" s="85">
        <f t="shared" si="20"/>
        <v>41579.79</v>
      </c>
      <c r="W100" s="95">
        <f t="shared" si="14"/>
        <v>41579.79</v>
      </c>
      <c r="X100" s="167"/>
      <c r="Y100" s="130"/>
    </row>
    <row r="101" spans="1:25" ht="25.5" customHeight="1">
      <c r="A101" s="1"/>
      <c r="B101" s="1"/>
      <c r="C101" s="125"/>
      <c r="D101" s="122"/>
      <c r="E101" s="174"/>
      <c r="F101" s="161"/>
      <c r="G101" s="163"/>
      <c r="H101" s="165"/>
      <c r="I101" s="164"/>
      <c r="J101" s="164"/>
      <c r="K101" s="103" t="s">
        <v>123</v>
      </c>
      <c r="L101" s="88" t="s">
        <v>155</v>
      </c>
      <c r="M101" s="80"/>
      <c r="N101" s="81">
        <v>1</v>
      </c>
      <c r="O101" s="82">
        <v>34803</v>
      </c>
      <c r="P101" s="83">
        <f t="shared" si="15"/>
        <v>34803</v>
      </c>
      <c r="Q101" s="83">
        <f t="shared" si="16"/>
        <v>6612.57</v>
      </c>
      <c r="R101" s="83">
        <f t="shared" si="17"/>
        <v>41415.57</v>
      </c>
      <c r="S101" s="84"/>
      <c r="T101" s="85">
        <f t="shared" si="18"/>
        <v>0</v>
      </c>
      <c r="U101" s="85">
        <f t="shared" si="19"/>
        <v>0</v>
      </c>
      <c r="V101" s="85">
        <f t="shared" si="20"/>
        <v>0</v>
      </c>
      <c r="W101" s="95">
        <f t="shared" si="14"/>
        <v>41415.57</v>
      </c>
      <c r="X101" s="168"/>
      <c r="Y101" s="131"/>
    </row>
    <row r="102" spans="1:25" ht="25.5" customHeight="1">
      <c r="A102" s="1"/>
      <c r="B102" s="1"/>
      <c r="C102" s="123">
        <v>45485</v>
      </c>
      <c r="D102" s="120">
        <v>129048</v>
      </c>
      <c r="E102" s="117" t="s">
        <v>156</v>
      </c>
      <c r="F102" s="115"/>
      <c r="G102" s="177" t="s">
        <v>147</v>
      </c>
      <c r="H102" s="134">
        <v>129044</v>
      </c>
      <c r="I102" s="132">
        <v>45512</v>
      </c>
      <c r="J102" s="132" t="s">
        <v>157</v>
      </c>
      <c r="K102" s="104" t="s">
        <v>123</v>
      </c>
      <c r="L102" s="88" t="s">
        <v>158</v>
      </c>
      <c r="M102" s="80"/>
      <c r="N102" s="81">
        <v>1</v>
      </c>
      <c r="O102" s="82">
        <v>517500</v>
      </c>
      <c r="P102" s="83">
        <f t="shared" si="15"/>
        <v>517500</v>
      </c>
      <c r="Q102" s="83">
        <f t="shared" si="16"/>
        <v>98325</v>
      </c>
      <c r="R102" s="83">
        <f t="shared" si="17"/>
        <v>615825</v>
      </c>
      <c r="S102" s="84"/>
      <c r="T102" s="85">
        <f t="shared" si="18"/>
        <v>0</v>
      </c>
      <c r="U102" s="85">
        <f t="shared" si="19"/>
        <v>0</v>
      </c>
      <c r="V102" s="85">
        <f t="shared" si="20"/>
        <v>0</v>
      </c>
      <c r="W102" s="95">
        <f t="shared" si="14"/>
        <v>615825</v>
      </c>
      <c r="X102" s="126">
        <f>SUM(W102:W127)</f>
        <v>7613077.3599999994</v>
      </c>
      <c r="Y102" s="129" t="s">
        <v>130</v>
      </c>
    </row>
    <row r="103" spans="1:25" ht="25.5" customHeight="1">
      <c r="A103" s="1"/>
      <c r="B103" s="1"/>
      <c r="C103" s="124"/>
      <c r="D103" s="121"/>
      <c r="E103" s="118"/>
      <c r="F103" s="116"/>
      <c r="G103" s="178"/>
      <c r="H103" s="135"/>
      <c r="I103" s="133"/>
      <c r="J103" s="133"/>
      <c r="K103" s="112" t="s">
        <v>123</v>
      </c>
      <c r="L103" s="88" t="s">
        <v>159</v>
      </c>
      <c r="M103" s="80"/>
      <c r="N103" s="81">
        <v>1</v>
      </c>
      <c r="O103" s="82">
        <v>250000</v>
      </c>
      <c r="P103" s="83">
        <f t="shared" si="15"/>
        <v>250000</v>
      </c>
      <c r="Q103" s="83">
        <f t="shared" si="16"/>
        <v>47500</v>
      </c>
      <c r="R103" s="83">
        <f t="shared" si="17"/>
        <v>297500</v>
      </c>
      <c r="S103" s="84"/>
      <c r="T103" s="85">
        <f t="shared" si="18"/>
        <v>0</v>
      </c>
      <c r="U103" s="85">
        <f t="shared" si="19"/>
        <v>0</v>
      </c>
      <c r="V103" s="85">
        <f t="shared" si="20"/>
        <v>0</v>
      </c>
      <c r="W103" s="95">
        <f t="shared" si="14"/>
        <v>297500</v>
      </c>
      <c r="X103" s="127"/>
      <c r="Y103" s="130"/>
    </row>
    <row r="104" spans="1:25" ht="25.5" customHeight="1">
      <c r="A104" s="1"/>
      <c r="B104" s="1"/>
      <c r="C104" s="124"/>
      <c r="D104" s="121"/>
      <c r="E104" s="118"/>
      <c r="F104" s="116"/>
      <c r="G104" s="178"/>
      <c r="H104" s="135"/>
      <c r="I104" s="133"/>
      <c r="J104" s="133"/>
      <c r="K104" s="110" t="s">
        <v>123</v>
      </c>
      <c r="L104" s="111" t="s">
        <v>160</v>
      </c>
      <c r="M104" s="80"/>
      <c r="N104" s="81">
        <v>1</v>
      </c>
      <c r="O104" s="82">
        <v>145171</v>
      </c>
      <c r="P104" s="83">
        <f t="shared" si="15"/>
        <v>145171</v>
      </c>
      <c r="Q104" s="83">
        <f t="shared" si="16"/>
        <v>27582.49</v>
      </c>
      <c r="R104" s="83">
        <f t="shared" si="17"/>
        <v>172753.49</v>
      </c>
      <c r="S104" s="84"/>
      <c r="T104" s="85">
        <f t="shared" si="18"/>
        <v>0</v>
      </c>
      <c r="U104" s="85">
        <f t="shared" si="19"/>
        <v>0</v>
      </c>
      <c r="V104" s="85">
        <f t="shared" si="20"/>
        <v>0</v>
      </c>
      <c r="W104" s="95">
        <f t="shared" si="14"/>
        <v>172753.49</v>
      </c>
      <c r="X104" s="127"/>
      <c r="Y104" s="130"/>
    </row>
    <row r="105" spans="1:25" ht="25.5" customHeight="1">
      <c r="A105" s="1"/>
      <c r="B105" s="1"/>
      <c r="C105" s="124"/>
      <c r="D105" s="121"/>
      <c r="E105" s="118"/>
      <c r="F105" s="116"/>
      <c r="G105" s="178"/>
      <c r="H105" s="135"/>
      <c r="I105" s="133"/>
      <c r="J105" s="133"/>
      <c r="K105" s="113" t="s">
        <v>123</v>
      </c>
      <c r="L105" s="88" t="s">
        <v>161</v>
      </c>
      <c r="M105" s="80"/>
      <c r="N105" s="81">
        <v>1</v>
      </c>
      <c r="O105" s="82">
        <v>131590</v>
      </c>
      <c r="P105" s="83">
        <f t="shared" si="15"/>
        <v>131590</v>
      </c>
      <c r="Q105" s="83">
        <f t="shared" si="16"/>
        <v>25002.1</v>
      </c>
      <c r="R105" s="83">
        <f t="shared" si="17"/>
        <v>156592.1</v>
      </c>
      <c r="S105" s="84"/>
      <c r="T105" s="85">
        <f t="shared" si="18"/>
        <v>0</v>
      </c>
      <c r="U105" s="85">
        <f t="shared" si="19"/>
        <v>0</v>
      </c>
      <c r="V105" s="85">
        <f t="shared" si="20"/>
        <v>0</v>
      </c>
      <c r="W105" s="95">
        <f t="shared" si="14"/>
        <v>156592.1</v>
      </c>
      <c r="X105" s="127"/>
      <c r="Y105" s="130"/>
    </row>
    <row r="106" spans="1:25" ht="25.5" customHeight="1">
      <c r="A106" s="1"/>
      <c r="B106" s="1"/>
      <c r="C106" s="124"/>
      <c r="D106" s="121"/>
      <c r="E106" s="118"/>
      <c r="F106" s="116"/>
      <c r="G106" s="178"/>
      <c r="H106" s="135"/>
      <c r="I106" s="133"/>
      <c r="J106" s="133"/>
      <c r="K106" s="89" t="s">
        <v>123</v>
      </c>
      <c r="L106" s="88" t="s">
        <v>162</v>
      </c>
      <c r="M106" s="80"/>
      <c r="N106" s="81">
        <v>1</v>
      </c>
      <c r="O106" s="82">
        <v>636537</v>
      </c>
      <c r="P106" s="83">
        <f t="shared" si="15"/>
        <v>636537</v>
      </c>
      <c r="Q106" s="83">
        <f t="shared" si="16"/>
        <v>120942.03</v>
      </c>
      <c r="R106" s="83">
        <f t="shared" si="17"/>
        <v>757479.03</v>
      </c>
      <c r="S106" s="84"/>
      <c r="T106" s="85">
        <f t="shared" si="18"/>
        <v>0</v>
      </c>
      <c r="U106" s="85">
        <f t="shared" si="19"/>
        <v>0</v>
      </c>
      <c r="V106" s="85">
        <f t="shared" si="20"/>
        <v>0</v>
      </c>
      <c r="W106" s="95">
        <f t="shared" si="14"/>
        <v>757479.03</v>
      </c>
      <c r="X106" s="127"/>
      <c r="Y106" s="130"/>
    </row>
    <row r="107" spans="1:25" ht="25.5" customHeight="1">
      <c r="A107" s="1"/>
      <c r="B107" s="1"/>
      <c r="C107" s="124"/>
      <c r="D107" s="121"/>
      <c r="E107" s="118"/>
      <c r="F107" s="116"/>
      <c r="G107" s="178"/>
      <c r="H107" s="135"/>
      <c r="I107" s="133"/>
      <c r="J107" s="133"/>
      <c r="K107" s="89" t="s">
        <v>128</v>
      </c>
      <c r="L107" s="88" t="s">
        <v>163</v>
      </c>
      <c r="M107" s="80"/>
      <c r="N107" s="81">
        <v>1</v>
      </c>
      <c r="O107" s="82">
        <v>97019</v>
      </c>
      <c r="P107" s="83">
        <f t="shared" si="15"/>
        <v>97019</v>
      </c>
      <c r="Q107" s="83">
        <f t="shared" si="16"/>
        <v>18433.61</v>
      </c>
      <c r="R107" s="83">
        <f t="shared" si="17"/>
        <v>115452.61</v>
      </c>
      <c r="S107" s="84"/>
      <c r="T107" s="85">
        <f t="shared" si="18"/>
        <v>0</v>
      </c>
      <c r="U107" s="85">
        <f t="shared" si="19"/>
        <v>0</v>
      </c>
      <c r="V107" s="85">
        <f t="shared" si="20"/>
        <v>0</v>
      </c>
      <c r="W107" s="95">
        <f t="shared" si="14"/>
        <v>115452.61</v>
      </c>
      <c r="X107" s="127"/>
      <c r="Y107" s="130"/>
    </row>
    <row r="108" spans="1:25" ht="25.5" customHeight="1">
      <c r="A108" s="1"/>
      <c r="B108" s="1"/>
      <c r="C108" s="124"/>
      <c r="D108" s="121"/>
      <c r="E108" s="118"/>
      <c r="F108" s="116"/>
      <c r="G108" s="178"/>
      <c r="H108" s="135"/>
      <c r="I108" s="133"/>
      <c r="J108" s="133"/>
      <c r="K108" s="89" t="s">
        <v>123</v>
      </c>
      <c r="L108" s="88" t="s">
        <v>164</v>
      </c>
      <c r="M108" s="80"/>
      <c r="N108" s="81">
        <v>1</v>
      </c>
      <c r="O108" s="82">
        <v>28182</v>
      </c>
      <c r="P108" s="83">
        <f t="shared" si="15"/>
        <v>28182</v>
      </c>
      <c r="Q108" s="83">
        <f t="shared" si="16"/>
        <v>5354.58</v>
      </c>
      <c r="R108" s="83">
        <f t="shared" si="17"/>
        <v>33536.58</v>
      </c>
      <c r="S108" s="84"/>
      <c r="T108" s="85">
        <f t="shared" si="18"/>
        <v>0</v>
      </c>
      <c r="U108" s="85">
        <f t="shared" si="19"/>
        <v>0</v>
      </c>
      <c r="V108" s="85">
        <f t="shared" si="20"/>
        <v>0</v>
      </c>
      <c r="W108" s="95">
        <f t="shared" si="14"/>
        <v>33536.58</v>
      </c>
      <c r="X108" s="127"/>
      <c r="Y108" s="130"/>
    </row>
    <row r="109" spans="1:25" ht="25.5" customHeight="1">
      <c r="A109" s="1"/>
      <c r="B109" s="1"/>
      <c r="C109" s="124"/>
      <c r="D109" s="121"/>
      <c r="E109" s="118"/>
      <c r="F109" s="116"/>
      <c r="G109" s="178"/>
      <c r="H109" s="135"/>
      <c r="I109" s="133"/>
      <c r="J109" s="133"/>
      <c r="K109" s="89" t="s">
        <v>128</v>
      </c>
      <c r="L109" s="88" t="s">
        <v>165</v>
      </c>
      <c r="M109" s="80"/>
      <c r="N109" s="81">
        <v>1</v>
      </c>
      <c r="O109" s="82">
        <v>16764</v>
      </c>
      <c r="P109" s="83">
        <f t="shared" si="15"/>
        <v>16764</v>
      </c>
      <c r="Q109" s="83">
        <f t="shared" si="16"/>
        <v>3185.16</v>
      </c>
      <c r="R109" s="83">
        <f t="shared" si="17"/>
        <v>19949.16</v>
      </c>
      <c r="S109" s="84"/>
      <c r="T109" s="85">
        <f t="shared" si="18"/>
        <v>0</v>
      </c>
      <c r="U109" s="85">
        <f t="shared" si="19"/>
        <v>0</v>
      </c>
      <c r="V109" s="85">
        <f t="shared" si="20"/>
        <v>0</v>
      </c>
      <c r="W109" s="95">
        <f t="shared" si="14"/>
        <v>19949.16</v>
      </c>
      <c r="X109" s="127"/>
      <c r="Y109" s="130"/>
    </row>
    <row r="110" spans="1:25" ht="25.5" customHeight="1">
      <c r="A110" s="1"/>
      <c r="B110" s="1"/>
      <c r="C110" s="124"/>
      <c r="D110" s="121"/>
      <c r="E110" s="118"/>
      <c r="F110" s="116"/>
      <c r="G110" s="178"/>
      <c r="H110" s="135"/>
      <c r="I110" s="133"/>
      <c r="J110" s="133"/>
      <c r="K110" s="89" t="s">
        <v>128</v>
      </c>
      <c r="L110" s="88" t="s">
        <v>166</v>
      </c>
      <c r="M110" s="80"/>
      <c r="N110" s="81">
        <v>5</v>
      </c>
      <c r="O110" s="82">
        <v>26535</v>
      </c>
      <c r="P110" s="83">
        <f t="shared" si="15"/>
        <v>132675</v>
      </c>
      <c r="Q110" s="83">
        <f t="shared" si="16"/>
        <v>25208.25</v>
      </c>
      <c r="R110" s="83">
        <f t="shared" si="17"/>
        <v>157883.25</v>
      </c>
      <c r="S110" s="84"/>
      <c r="T110" s="85">
        <f t="shared" si="18"/>
        <v>0</v>
      </c>
      <c r="U110" s="85">
        <f t="shared" si="19"/>
        <v>0</v>
      </c>
      <c r="V110" s="85">
        <f t="shared" si="20"/>
        <v>0</v>
      </c>
      <c r="W110" s="95">
        <f t="shared" si="14"/>
        <v>157883.25</v>
      </c>
      <c r="X110" s="127"/>
      <c r="Y110" s="130"/>
    </row>
    <row r="111" spans="1:25" ht="25.5" customHeight="1">
      <c r="A111" s="1"/>
      <c r="B111" s="1"/>
      <c r="C111" s="124"/>
      <c r="D111" s="121"/>
      <c r="E111" s="118"/>
      <c r="F111" s="116"/>
      <c r="G111" s="178"/>
      <c r="H111" s="135"/>
      <c r="I111" s="133"/>
      <c r="J111" s="133"/>
      <c r="K111" s="89" t="s">
        <v>128</v>
      </c>
      <c r="L111" s="88" t="s">
        <v>167</v>
      </c>
      <c r="M111" s="80"/>
      <c r="N111" s="81">
        <v>1</v>
      </c>
      <c r="O111" s="82">
        <v>47985</v>
      </c>
      <c r="P111" s="83">
        <f t="shared" si="15"/>
        <v>47985</v>
      </c>
      <c r="Q111" s="83">
        <f t="shared" si="16"/>
        <v>9117.15</v>
      </c>
      <c r="R111" s="83">
        <f t="shared" si="17"/>
        <v>57102.15</v>
      </c>
      <c r="S111" s="84"/>
      <c r="T111" s="85">
        <f t="shared" si="18"/>
        <v>0</v>
      </c>
      <c r="U111" s="85">
        <f t="shared" si="19"/>
        <v>0</v>
      </c>
      <c r="V111" s="85">
        <f t="shared" si="20"/>
        <v>0</v>
      </c>
      <c r="W111" s="95">
        <f t="shared" si="14"/>
        <v>57102.15</v>
      </c>
      <c r="X111" s="127"/>
      <c r="Y111" s="130"/>
    </row>
    <row r="112" spans="1:25" ht="25.5" customHeight="1">
      <c r="A112" s="1"/>
      <c r="B112" s="1"/>
      <c r="C112" s="124"/>
      <c r="D112" s="121"/>
      <c r="E112" s="118"/>
      <c r="F112" s="116"/>
      <c r="G112" s="178"/>
      <c r="H112" s="135"/>
      <c r="I112" s="133"/>
      <c r="J112" s="133"/>
      <c r="K112" s="89" t="s">
        <v>128</v>
      </c>
      <c r="L112" s="88" t="s">
        <v>150</v>
      </c>
      <c r="M112" s="80"/>
      <c r="N112" s="81">
        <v>1</v>
      </c>
      <c r="O112" s="82">
        <v>78233</v>
      </c>
      <c r="P112" s="83">
        <f t="shared" si="15"/>
        <v>78233</v>
      </c>
      <c r="Q112" s="83">
        <f t="shared" si="16"/>
        <v>14864.27</v>
      </c>
      <c r="R112" s="83">
        <f t="shared" si="17"/>
        <v>93097.27</v>
      </c>
      <c r="S112" s="84"/>
      <c r="T112" s="85">
        <f t="shared" si="18"/>
        <v>0</v>
      </c>
      <c r="U112" s="85">
        <f t="shared" si="19"/>
        <v>0</v>
      </c>
      <c r="V112" s="85">
        <f t="shared" si="20"/>
        <v>0</v>
      </c>
      <c r="W112" s="95">
        <f t="shared" si="14"/>
        <v>93097.27</v>
      </c>
      <c r="X112" s="127"/>
      <c r="Y112" s="130"/>
    </row>
    <row r="113" spans="1:25" ht="25.5" customHeight="1">
      <c r="A113" s="1"/>
      <c r="B113" s="1"/>
      <c r="C113" s="124"/>
      <c r="D113" s="121"/>
      <c r="E113" s="118"/>
      <c r="F113" s="116"/>
      <c r="G113" s="178"/>
      <c r="H113" s="135"/>
      <c r="I113" s="133"/>
      <c r="J113" s="133"/>
      <c r="K113" s="89" t="s">
        <v>123</v>
      </c>
      <c r="L113" s="88" t="s">
        <v>168</v>
      </c>
      <c r="M113" s="80"/>
      <c r="N113" s="81">
        <v>2</v>
      </c>
      <c r="O113" s="82">
        <v>210508</v>
      </c>
      <c r="P113" s="83">
        <f t="shared" si="15"/>
        <v>421016</v>
      </c>
      <c r="Q113" s="83">
        <f t="shared" si="16"/>
        <v>79993.040000000008</v>
      </c>
      <c r="R113" s="83">
        <f t="shared" si="17"/>
        <v>501009.04000000004</v>
      </c>
      <c r="S113" s="84"/>
      <c r="T113" s="85">
        <f t="shared" si="18"/>
        <v>0</v>
      </c>
      <c r="U113" s="85">
        <f t="shared" si="19"/>
        <v>0</v>
      </c>
      <c r="V113" s="85">
        <f t="shared" si="20"/>
        <v>0</v>
      </c>
      <c r="W113" s="95">
        <f t="shared" si="14"/>
        <v>501009.04000000004</v>
      </c>
      <c r="X113" s="127"/>
      <c r="Y113" s="130"/>
    </row>
    <row r="114" spans="1:25" ht="25.5" customHeight="1">
      <c r="A114" s="1"/>
      <c r="B114" s="1"/>
      <c r="C114" s="124"/>
      <c r="D114" s="121"/>
      <c r="E114" s="118"/>
      <c r="F114" s="116"/>
      <c r="G114" s="178"/>
      <c r="H114" s="135"/>
      <c r="I114" s="133"/>
      <c r="J114" s="133"/>
      <c r="K114" s="89" t="s">
        <v>123</v>
      </c>
      <c r="L114" s="88" t="s">
        <v>169</v>
      </c>
      <c r="M114" s="80"/>
      <c r="N114" s="81">
        <v>2</v>
      </c>
      <c r="O114" s="82">
        <v>285600</v>
      </c>
      <c r="P114" s="83">
        <f t="shared" si="15"/>
        <v>571200</v>
      </c>
      <c r="Q114" s="83">
        <f t="shared" si="16"/>
        <v>108528</v>
      </c>
      <c r="R114" s="83">
        <f t="shared" si="17"/>
        <v>679728</v>
      </c>
      <c r="S114" s="84"/>
      <c r="T114" s="85">
        <f t="shared" si="18"/>
        <v>0</v>
      </c>
      <c r="U114" s="85">
        <f t="shared" si="19"/>
        <v>0</v>
      </c>
      <c r="V114" s="85">
        <f t="shared" si="20"/>
        <v>0</v>
      </c>
      <c r="W114" s="95">
        <f t="shared" si="14"/>
        <v>679728</v>
      </c>
      <c r="X114" s="127"/>
      <c r="Y114" s="130"/>
    </row>
    <row r="115" spans="1:25" ht="25.5" customHeight="1">
      <c r="A115" s="1"/>
      <c r="B115" s="1"/>
      <c r="C115" s="124"/>
      <c r="D115" s="121"/>
      <c r="E115" s="118"/>
      <c r="F115" s="116"/>
      <c r="G115" s="178"/>
      <c r="H115" s="135"/>
      <c r="I115" s="133"/>
      <c r="J115" s="133"/>
      <c r="K115" s="89" t="s">
        <v>123</v>
      </c>
      <c r="L115" s="88" t="s">
        <v>170</v>
      </c>
      <c r="M115" s="80"/>
      <c r="N115" s="81">
        <v>2</v>
      </c>
      <c r="O115" s="82">
        <v>546000</v>
      </c>
      <c r="P115" s="83">
        <f t="shared" si="15"/>
        <v>1092000</v>
      </c>
      <c r="Q115" s="83">
        <f t="shared" si="16"/>
        <v>207480</v>
      </c>
      <c r="R115" s="83">
        <f t="shared" si="17"/>
        <v>1299480</v>
      </c>
      <c r="S115" s="84"/>
      <c r="T115" s="85">
        <f t="shared" si="18"/>
        <v>0</v>
      </c>
      <c r="U115" s="85">
        <f t="shared" si="19"/>
        <v>0</v>
      </c>
      <c r="V115" s="85">
        <f t="shared" si="20"/>
        <v>0</v>
      </c>
      <c r="W115" s="95">
        <f t="shared" si="14"/>
        <v>1299480</v>
      </c>
      <c r="X115" s="127"/>
      <c r="Y115" s="130"/>
    </row>
    <row r="116" spans="1:25" ht="25.5" customHeight="1">
      <c r="A116" s="1"/>
      <c r="B116" s="1"/>
      <c r="C116" s="124"/>
      <c r="D116" s="121"/>
      <c r="E116" s="118"/>
      <c r="F116" s="116"/>
      <c r="G116" s="178"/>
      <c r="H116" s="135"/>
      <c r="I116" s="133"/>
      <c r="J116" s="133"/>
      <c r="K116" s="89" t="s">
        <v>123</v>
      </c>
      <c r="L116" s="88" t="s">
        <v>171</v>
      </c>
      <c r="M116" s="80"/>
      <c r="N116" s="81">
        <v>1</v>
      </c>
      <c r="O116" s="82">
        <v>222545</v>
      </c>
      <c r="P116" s="83">
        <f t="shared" si="15"/>
        <v>222545</v>
      </c>
      <c r="Q116" s="83">
        <f t="shared" si="16"/>
        <v>42283.55</v>
      </c>
      <c r="R116" s="83">
        <f t="shared" si="17"/>
        <v>264828.55</v>
      </c>
      <c r="S116" s="84"/>
      <c r="T116" s="85">
        <f t="shared" si="18"/>
        <v>0</v>
      </c>
      <c r="U116" s="85">
        <f t="shared" si="19"/>
        <v>0</v>
      </c>
      <c r="V116" s="85">
        <f t="shared" si="20"/>
        <v>0</v>
      </c>
      <c r="W116" s="95">
        <f t="shared" si="14"/>
        <v>264828.55</v>
      </c>
      <c r="X116" s="127"/>
      <c r="Y116" s="130"/>
    </row>
    <row r="117" spans="1:25" ht="25.5" customHeight="1">
      <c r="A117" s="1"/>
      <c r="B117" s="1"/>
      <c r="C117" s="124"/>
      <c r="D117" s="121"/>
      <c r="E117" s="118"/>
      <c r="F117" s="116"/>
      <c r="G117" s="178"/>
      <c r="H117" s="135"/>
      <c r="I117" s="133"/>
      <c r="J117" s="133"/>
      <c r="K117" s="89" t="s">
        <v>123</v>
      </c>
      <c r="L117" s="88" t="s">
        <v>172</v>
      </c>
      <c r="M117" s="80"/>
      <c r="N117" s="81">
        <v>2</v>
      </c>
      <c r="O117" s="82">
        <v>125501</v>
      </c>
      <c r="P117" s="83">
        <f t="shared" si="15"/>
        <v>251002</v>
      </c>
      <c r="Q117" s="83">
        <f t="shared" si="16"/>
        <v>47690.38</v>
      </c>
      <c r="R117" s="83">
        <f t="shared" si="17"/>
        <v>298692.38</v>
      </c>
      <c r="S117" s="84"/>
      <c r="T117" s="85">
        <f t="shared" si="18"/>
        <v>0</v>
      </c>
      <c r="U117" s="85">
        <f t="shared" si="19"/>
        <v>0</v>
      </c>
      <c r="V117" s="85">
        <f t="shared" si="20"/>
        <v>0</v>
      </c>
      <c r="W117" s="95">
        <f t="shared" si="14"/>
        <v>298692.38</v>
      </c>
      <c r="X117" s="127"/>
      <c r="Y117" s="130"/>
    </row>
    <row r="118" spans="1:25" ht="25.5" customHeight="1">
      <c r="A118" s="1"/>
      <c r="B118" s="1"/>
      <c r="C118" s="124"/>
      <c r="D118" s="121"/>
      <c r="E118" s="118"/>
      <c r="F118" s="116"/>
      <c r="G118" s="178"/>
      <c r="H118" s="135"/>
      <c r="I118" s="133"/>
      <c r="J118" s="133"/>
      <c r="K118" s="89" t="s">
        <v>123</v>
      </c>
      <c r="L118" s="88" t="s">
        <v>173</v>
      </c>
      <c r="M118" s="80"/>
      <c r="N118" s="81">
        <v>2</v>
      </c>
      <c r="O118" s="82">
        <v>19294</v>
      </c>
      <c r="P118" s="83">
        <f t="shared" si="15"/>
        <v>38588</v>
      </c>
      <c r="Q118" s="83">
        <f t="shared" si="16"/>
        <v>7331.72</v>
      </c>
      <c r="R118" s="83">
        <f t="shared" si="17"/>
        <v>45919.72</v>
      </c>
      <c r="S118" s="84"/>
      <c r="T118" s="85">
        <f t="shared" si="18"/>
        <v>0</v>
      </c>
      <c r="U118" s="85">
        <f t="shared" si="19"/>
        <v>0</v>
      </c>
      <c r="V118" s="85">
        <f t="shared" si="20"/>
        <v>0</v>
      </c>
      <c r="W118" s="95">
        <f t="shared" si="14"/>
        <v>45919.72</v>
      </c>
      <c r="X118" s="127"/>
      <c r="Y118" s="130"/>
    </row>
    <row r="119" spans="1:25" ht="25.5" customHeight="1">
      <c r="A119" s="1"/>
      <c r="B119" s="1"/>
      <c r="C119" s="124"/>
      <c r="D119" s="121"/>
      <c r="E119" s="118"/>
      <c r="F119" s="116"/>
      <c r="G119" s="178"/>
      <c r="H119" s="135"/>
      <c r="I119" s="133"/>
      <c r="J119" s="133"/>
      <c r="K119" s="89" t="s">
        <v>128</v>
      </c>
      <c r="L119" s="88" t="s">
        <v>174</v>
      </c>
      <c r="M119" s="80"/>
      <c r="N119" s="81">
        <v>3</v>
      </c>
      <c r="O119" s="82">
        <v>25000</v>
      </c>
      <c r="P119" s="83">
        <f t="shared" si="15"/>
        <v>75000</v>
      </c>
      <c r="Q119" s="83">
        <f t="shared" si="16"/>
        <v>14250</v>
      </c>
      <c r="R119" s="83">
        <f t="shared" si="17"/>
        <v>89250</v>
      </c>
      <c r="S119" s="84"/>
      <c r="T119" s="85">
        <f t="shared" si="18"/>
        <v>0</v>
      </c>
      <c r="U119" s="85">
        <f t="shared" si="19"/>
        <v>0</v>
      </c>
      <c r="V119" s="85">
        <f t="shared" si="20"/>
        <v>0</v>
      </c>
      <c r="W119" s="95">
        <f t="shared" si="14"/>
        <v>89250</v>
      </c>
      <c r="X119" s="127"/>
      <c r="Y119" s="130"/>
    </row>
    <row r="120" spans="1:25" ht="25.5" customHeight="1">
      <c r="A120" s="1"/>
      <c r="B120" s="1"/>
      <c r="C120" s="124"/>
      <c r="D120" s="121"/>
      <c r="E120" s="118"/>
      <c r="F120" s="116"/>
      <c r="G120" s="178"/>
      <c r="H120" s="135"/>
      <c r="I120" s="133"/>
      <c r="J120" s="133"/>
      <c r="K120" s="89" t="s">
        <v>123</v>
      </c>
      <c r="L120" s="88" t="s">
        <v>175</v>
      </c>
      <c r="M120" s="80"/>
      <c r="N120" s="81">
        <v>1</v>
      </c>
      <c r="O120" s="82"/>
      <c r="P120" s="83">
        <f t="shared" si="15"/>
        <v>0</v>
      </c>
      <c r="Q120" s="83">
        <f t="shared" si="16"/>
        <v>0</v>
      </c>
      <c r="R120" s="83">
        <f t="shared" si="17"/>
        <v>0</v>
      </c>
      <c r="S120" s="84">
        <v>411948</v>
      </c>
      <c r="T120" s="85">
        <f t="shared" si="18"/>
        <v>411948</v>
      </c>
      <c r="U120" s="85">
        <f t="shared" si="19"/>
        <v>78270.12</v>
      </c>
      <c r="V120" s="85">
        <f t="shared" si="20"/>
        <v>490218.12</v>
      </c>
      <c r="W120" s="95">
        <f t="shared" si="14"/>
        <v>490218.12</v>
      </c>
      <c r="X120" s="127"/>
      <c r="Y120" s="130"/>
    </row>
    <row r="121" spans="1:25" ht="25.5" customHeight="1">
      <c r="A121" s="1"/>
      <c r="B121" s="1"/>
      <c r="C121" s="124"/>
      <c r="D121" s="121"/>
      <c r="E121" s="118"/>
      <c r="F121" s="116"/>
      <c r="G121" s="178"/>
      <c r="H121" s="135"/>
      <c r="I121" s="133"/>
      <c r="J121" s="133"/>
      <c r="K121" s="89" t="s">
        <v>123</v>
      </c>
      <c r="L121" s="88" t="s">
        <v>176</v>
      </c>
      <c r="M121" s="80"/>
      <c r="N121" s="81">
        <v>1</v>
      </c>
      <c r="O121" s="82"/>
      <c r="P121" s="83">
        <f t="shared" si="15"/>
        <v>0</v>
      </c>
      <c r="Q121" s="83">
        <f t="shared" si="16"/>
        <v>0</v>
      </c>
      <c r="R121" s="83">
        <f t="shared" si="17"/>
        <v>0</v>
      </c>
      <c r="S121" s="84">
        <v>322332</v>
      </c>
      <c r="T121" s="85">
        <f t="shared" si="18"/>
        <v>322332</v>
      </c>
      <c r="U121" s="85">
        <f t="shared" si="19"/>
        <v>61243.08</v>
      </c>
      <c r="V121" s="85">
        <f t="shared" si="20"/>
        <v>383575.08</v>
      </c>
      <c r="W121" s="95">
        <f t="shared" si="14"/>
        <v>383575.08</v>
      </c>
      <c r="X121" s="127"/>
      <c r="Y121" s="130"/>
    </row>
    <row r="122" spans="1:25" ht="25.5" customHeight="1">
      <c r="A122" s="1"/>
      <c r="B122" s="1"/>
      <c r="C122" s="124"/>
      <c r="D122" s="121"/>
      <c r="E122" s="118"/>
      <c r="F122" s="116"/>
      <c r="G122" s="178"/>
      <c r="H122" s="135"/>
      <c r="I122" s="133"/>
      <c r="J122" s="133"/>
      <c r="K122" s="89" t="s">
        <v>128</v>
      </c>
      <c r="L122" s="88" t="s">
        <v>177</v>
      </c>
      <c r="M122" s="80"/>
      <c r="N122" s="81">
        <v>1</v>
      </c>
      <c r="O122" s="82"/>
      <c r="P122" s="83">
        <f t="shared" si="15"/>
        <v>0</v>
      </c>
      <c r="Q122" s="83">
        <f t="shared" si="16"/>
        <v>0</v>
      </c>
      <c r="R122" s="83">
        <f t="shared" si="17"/>
        <v>0</v>
      </c>
      <c r="S122" s="84">
        <v>104610</v>
      </c>
      <c r="T122" s="85">
        <f t="shared" si="18"/>
        <v>104610</v>
      </c>
      <c r="U122" s="85">
        <f t="shared" si="19"/>
        <v>19875.900000000001</v>
      </c>
      <c r="V122" s="85">
        <f t="shared" si="20"/>
        <v>124485.9</v>
      </c>
      <c r="W122" s="95">
        <f t="shared" si="14"/>
        <v>124485.9</v>
      </c>
      <c r="X122" s="127"/>
      <c r="Y122" s="130"/>
    </row>
    <row r="123" spans="1:25" ht="25.5" customHeight="1">
      <c r="A123" s="1"/>
      <c r="B123" s="1"/>
      <c r="C123" s="124"/>
      <c r="D123" s="121"/>
      <c r="E123" s="118"/>
      <c r="F123" s="116"/>
      <c r="G123" s="178"/>
      <c r="H123" s="135"/>
      <c r="I123" s="133"/>
      <c r="J123" s="133"/>
      <c r="K123" s="89" t="s">
        <v>123</v>
      </c>
      <c r="L123" s="88" t="s">
        <v>178</v>
      </c>
      <c r="M123" s="80"/>
      <c r="N123" s="81">
        <v>1</v>
      </c>
      <c r="O123" s="82"/>
      <c r="P123" s="83">
        <f t="shared" si="15"/>
        <v>0</v>
      </c>
      <c r="Q123" s="83">
        <f t="shared" si="16"/>
        <v>0</v>
      </c>
      <c r="R123" s="83">
        <f t="shared" si="17"/>
        <v>0</v>
      </c>
      <c r="S123" s="84">
        <v>515000</v>
      </c>
      <c r="T123" s="85">
        <f t="shared" si="18"/>
        <v>515000</v>
      </c>
      <c r="U123" s="85">
        <f t="shared" si="19"/>
        <v>97850</v>
      </c>
      <c r="V123" s="85">
        <f t="shared" si="20"/>
        <v>612850</v>
      </c>
      <c r="W123" s="95">
        <f t="shared" si="14"/>
        <v>612850</v>
      </c>
      <c r="X123" s="127"/>
      <c r="Y123" s="130"/>
    </row>
    <row r="124" spans="1:25" ht="25.5" customHeight="1">
      <c r="A124" s="1"/>
      <c r="B124" s="1"/>
      <c r="C124" s="124"/>
      <c r="D124" s="121"/>
      <c r="E124" s="118"/>
      <c r="F124" s="116"/>
      <c r="G124" s="178"/>
      <c r="H124" s="135"/>
      <c r="I124" s="133"/>
      <c r="J124" s="133"/>
      <c r="K124" s="89" t="s">
        <v>123</v>
      </c>
      <c r="L124" s="88" t="s">
        <v>179</v>
      </c>
      <c r="M124" s="80"/>
      <c r="N124" s="81">
        <v>1</v>
      </c>
      <c r="O124" s="82"/>
      <c r="P124" s="83">
        <f t="shared" si="15"/>
        <v>0</v>
      </c>
      <c r="Q124" s="83">
        <f t="shared" si="16"/>
        <v>0</v>
      </c>
      <c r="R124" s="83">
        <f t="shared" si="17"/>
        <v>0</v>
      </c>
      <c r="S124" s="84">
        <v>125000</v>
      </c>
      <c r="T124" s="85">
        <f t="shared" si="18"/>
        <v>125000</v>
      </c>
      <c r="U124" s="85">
        <f t="shared" si="19"/>
        <v>23750</v>
      </c>
      <c r="V124" s="85">
        <f t="shared" si="20"/>
        <v>148750</v>
      </c>
      <c r="W124" s="95">
        <f t="shared" si="14"/>
        <v>148750</v>
      </c>
      <c r="X124" s="127"/>
      <c r="Y124" s="130"/>
    </row>
    <row r="125" spans="1:25" ht="25.5" customHeight="1">
      <c r="A125" s="1"/>
      <c r="B125" s="1"/>
      <c r="C125" s="124"/>
      <c r="D125" s="121"/>
      <c r="E125" s="118"/>
      <c r="F125" s="116"/>
      <c r="G125" s="178"/>
      <c r="H125" s="135"/>
      <c r="I125" s="133"/>
      <c r="J125" s="133"/>
      <c r="K125" s="89" t="s">
        <v>123</v>
      </c>
      <c r="L125" s="88" t="s">
        <v>180</v>
      </c>
      <c r="M125" s="80"/>
      <c r="N125" s="81">
        <v>1</v>
      </c>
      <c r="O125" s="82"/>
      <c r="P125" s="83">
        <f t="shared" si="15"/>
        <v>0</v>
      </c>
      <c r="Q125" s="83">
        <f t="shared" si="16"/>
        <v>0</v>
      </c>
      <c r="R125" s="83">
        <f t="shared" si="17"/>
        <v>0</v>
      </c>
      <c r="S125" s="84">
        <v>65000</v>
      </c>
      <c r="T125" s="85">
        <f t="shared" si="18"/>
        <v>65000</v>
      </c>
      <c r="U125" s="85">
        <f t="shared" si="19"/>
        <v>12350</v>
      </c>
      <c r="V125" s="85">
        <f t="shared" si="20"/>
        <v>77350</v>
      </c>
      <c r="W125" s="95">
        <f t="shared" si="14"/>
        <v>77350</v>
      </c>
      <c r="X125" s="127"/>
      <c r="Y125" s="130"/>
    </row>
    <row r="126" spans="1:25" ht="25.5" customHeight="1">
      <c r="A126" s="1"/>
      <c r="B126" s="1"/>
      <c r="C126" s="124"/>
      <c r="D126" s="121"/>
      <c r="E126" s="118"/>
      <c r="F126" s="116"/>
      <c r="G126" s="178"/>
      <c r="H126" s="135"/>
      <c r="I126" s="133"/>
      <c r="J126" s="133"/>
      <c r="K126" s="89" t="s">
        <v>128</v>
      </c>
      <c r="L126" s="88" t="s">
        <v>181</v>
      </c>
      <c r="M126" s="80"/>
      <c r="N126" s="81">
        <v>1</v>
      </c>
      <c r="O126" s="82"/>
      <c r="P126" s="83">
        <f t="shared" si="15"/>
        <v>0</v>
      </c>
      <c r="Q126" s="83">
        <f t="shared" si="16"/>
        <v>0</v>
      </c>
      <c r="R126" s="83">
        <f t="shared" si="17"/>
        <v>0</v>
      </c>
      <c r="S126" s="84">
        <v>65000</v>
      </c>
      <c r="T126" s="85">
        <f t="shared" si="18"/>
        <v>65000</v>
      </c>
      <c r="U126" s="85">
        <f t="shared" si="19"/>
        <v>12350</v>
      </c>
      <c r="V126" s="85">
        <f t="shared" si="20"/>
        <v>77350</v>
      </c>
      <c r="W126" s="95">
        <f t="shared" si="14"/>
        <v>77350</v>
      </c>
      <c r="X126" s="127"/>
      <c r="Y126" s="130"/>
    </row>
    <row r="127" spans="1:25" ht="25.5" customHeight="1">
      <c r="A127" s="1"/>
      <c r="B127" s="1"/>
      <c r="C127" s="124"/>
      <c r="D127" s="121"/>
      <c r="E127" s="119"/>
      <c r="F127" s="116"/>
      <c r="G127" s="178"/>
      <c r="H127" s="136"/>
      <c r="I127" s="133"/>
      <c r="J127" s="133"/>
      <c r="K127" s="89" t="s">
        <v>128</v>
      </c>
      <c r="L127" s="88" t="s">
        <v>182</v>
      </c>
      <c r="M127" s="80"/>
      <c r="N127" s="81">
        <v>1</v>
      </c>
      <c r="O127" s="82"/>
      <c r="P127" s="83">
        <f t="shared" si="15"/>
        <v>0</v>
      </c>
      <c r="Q127" s="83">
        <f t="shared" si="16"/>
        <v>0</v>
      </c>
      <c r="R127" s="83">
        <f t="shared" si="17"/>
        <v>0</v>
      </c>
      <c r="S127" s="84">
        <v>35647</v>
      </c>
      <c r="T127" s="85">
        <f t="shared" si="18"/>
        <v>35647</v>
      </c>
      <c r="U127" s="85">
        <f t="shared" si="19"/>
        <v>6772.93</v>
      </c>
      <c r="V127" s="85">
        <f t="shared" si="20"/>
        <v>42419.93</v>
      </c>
      <c r="W127" s="95">
        <f t="shared" si="14"/>
        <v>42419.93</v>
      </c>
      <c r="X127" s="128"/>
      <c r="Y127" s="131"/>
    </row>
    <row r="128" spans="1:25" ht="58.5" customHeight="1">
      <c r="A128" s="1"/>
      <c r="B128" s="1"/>
      <c r="C128" s="102">
        <v>45516</v>
      </c>
      <c r="D128" s="79">
        <v>129502</v>
      </c>
      <c r="E128" s="187" t="s">
        <v>183</v>
      </c>
      <c r="F128" s="183" t="s">
        <v>147</v>
      </c>
      <c r="G128" s="75"/>
      <c r="H128" s="184">
        <v>129512</v>
      </c>
      <c r="I128" s="102">
        <v>45539</v>
      </c>
      <c r="J128" s="102" t="s">
        <v>184</v>
      </c>
      <c r="K128" s="182" t="s">
        <v>123</v>
      </c>
      <c r="L128" s="79" t="s">
        <v>100</v>
      </c>
      <c r="M128" s="80"/>
      <c r="N128" s="81">
        <v>1</v>
      </c>
      <c r="O128" s="82">
        <v>472042</v>
      </c>
      <c r="P128" s="83">
        <f t="shared" si="15"/>
        <v>472042</v>
      </c>
      <c r="Q128" s="83">
        <f t="shared" si="16"/>
        <v>89687.98</v>
      </c>
      <c r="R128" s="83">
        <f t="shared" si="17"/>
        <v>561729.98</v>
      </c>
      <c r="S128" s="84">
        <v>41112</v>
      </c>
      <c r="T128" s="85">
        <f t="shared" si="18"/>
        <v>41112</v>
      </c>
      <c r="U128" s="85">
        <f t="shared" si="19"/>
        <v>7811.28</v>
      </c>
      <c r="V128" s="85">
        <f t="shared" si="20"/>
        <v>48923.28</v>
      </c>
      <c r="W128" s="95">
        <f t="shared" si="14"/>
        <v>610653.26</v>
      </c>
      <c r="X128" s="179">
        <f>W128</f>
        <v>610653.26</v>
      </c>
      <c r="Y128" s="189" t="s">
        <v>130</v>
      </c>
    </row>
    <row r="129" spans="1:25" ht="25.5" customHeight="1">
      <c r="A129" s="1"/>
      <c r="B129" s="1"/>
      <c r="C129" s="188"/>
      <c r="D129" s="188"/>
      <c r="E129" s="14"/>
      <c r="F129" s="185"/>
      <c r="G129" s="186"/>
      <c r="H129" s="76"/>
      <c r="I129" s="180"/>
      <c r="J129" s="181"/>
      <c r="K129" s="89"/>
      <c r="L129" s="79"/>
      <c r="M129" s="80"/>
      <c r="N129" s="81"/>
      <c r="O129" s="82"/>
      <c r="P129" s="83">
        <f t="shared" si="15"/>
        <v>0</v>
      </c>
      <c r="Q129" s="83">
        <f t="shared" si="16"/>
        <v>0</v>
      </c>
      <c r="R129" s="83">
        <f t="shared" si="17"/>
        <v>0</v>
      </c>
      <c r="S129" s="84"/>
      <c r="T129" s="85">
        <f t="shared" si="18"/>
        <v>0</v>
      </c>
      <c r="U129" s="85">
        <f t="shared" si="19"/>
        <v>0</v>
      </c>
      <c r="V129" s="85">
        <f t="shared" si="20"/>
        <v>0</v>
      </c>
      <c r="W129" s="95">
        <f t="shared" si="14"/>
        <v>0</v>
      </c>
      <c r="X129" s="94"/>
      <c r="Y129" s="93"/>
    </row>
    <row r="130" spans="1:25" ht="25.5" customHeight="1">
      <c r="A130" s="1"/>
      <c r="B130" s="1"/>
      <c r="C130" s="14"/>
      <c r="D130" s="14"/>
      <c r="E130" s="14"/>
      <c r="F130" s="52"/>
      <c r="G130" s="75"/>
      <c r="H130" s="76"/>
      <c r="I130" s="77"/>
      <c r="J130" s="90"/>
      <c r="K130" s="89"/>
      <c r="L130" s="79"/>
      <c r="M130" s="80"/>
      <c r="N130" s="81"/>
      <c r="O130" s="82"/>
      <c r="P130" s="83">
        <f t="shared" si="15"/>
        <v>0</v>
      </c>
      <c r="Q130" s="83">
        <f t="shared" si="16"/>
        <v>0</v>
      </c>
      <c r="R130" s="83">
        <f t="shared" si="17"/>
        <v>0</v>
      </c>
      <c r="S130" s="84"/>
      <c r="T130" s="85">
        <f t="shared" si="18"/>
        <v>0</v>
      </c>
      <c r="U130" s="85">
        <f t="shared" si="19"/>
        <v>0</v>
      </c>
      <c r="V130" s="85">
        <f t="shared" si="20"/>
        <v>0</v>
      </c>
      <c r="W130" s="95">
        <f t="shared" si="14"/>
        <v>0</v>
      </c>
      <c r="X130" s="94"/>
      <c r="Y130" s="93"/>
    </row>
    <row r="131" spans="1:25" ht="25.5" customHeight="1">
      <c r="A131" s="1"/>
      <c r="B131" s="1"/>
      <c r="C131" s="14"/>
      <c r="D131" s="14"/>
      <c r="E131" s="14"/>
      <c r="F131" s="52"/>
      <c r="G131" s="75"/>
      <c r="H131" s="76"/>
      <c r="I131" s="77"/>
      <c r="J131" s="90"/>
      <c r="K131" s="89"/>
      <c r="L131" s="79"/>
      <c r="M131" s="80"/>
      <c r="N131" s="81"/>
      <c r="O131" s="82"/>
      <c r="P131" s="83">
        <f t="shared" si="15"/>
        <v>0</v>
      </c>
      <c r="Q131" s="83">
        <f t="shared" si="16"/>
        <v>0</v>
      </c>
      <c r="R131" s="83">
        <f t="shared" si="17"/>
        <v>0</v>
      </c>
      <c r="S131" s="84"/>
      <c r="T131" s="85">
        <f t="shared" si="18"/>
        <v>0</v>
      </c>
      <c r="U131" s="85">
        <f t="shared" si="19"/>
        <v>0</v>
      </c>
      <c r="V131" s="85">
        <f t="shared" si="20"/>
        <v>0</v>
      </c>
      <c r="W131" s="95">
        <f t="shared" si="14"/>
        <v>0</v>
      </c>
      <c r="X131" s="94"/>
      <c r="Y131" s="93"/>
    </row>
    <row r="132" spans="1:25" ht="25.5" customHeight="1">
      <c r="A132" s="1"/>
      <c r="B132" s="1"/>
      <c r="C132" s="14"/>
      <c r="D132" s="14"/>
      <c r="E132" s="14"/>
      <c r="F132" s="52"/>
      <c r="G132" s="75"/>
      <c r="H132" s="76"/>
      <c r="I132" s="77"/>
      <c r="J132" s="90"/>
      <c r="K132" s="89"/>
      <c r="L132" s="79"/>
      <c r="M132" s="80"/>
      <c r="N132" s="81"/>
      <c r="O132" s="82"/>
      <c r="P132" s="83">
        <f t="shared" si="15"/>
        <v>0</v>
      </c>
      <c r="Q132" s="83">
        <f t="shared" si="16"/>
        <v>0</v>
      </c>
      <c r="R132" s="83">
        <f t="shared" si="17"/>
        <v>0</v>
      </c>
      <c r="S132" s="84"/>
      <c r="T132" s="85">
        <f t="shared" si="18"/>
        <v>0</v>
      </c>
      <c r="U132" s="85">
        <f t="shared" si="19"/>
        <v>0</v>
      </c>
      <c r="V132" s="85">
        <f t="shared" si="20"/>
        <v>0</v>
      </c>
      <c r="W132" s="95">
        <f t="shared" si="14"/>
        <v>0</v>
      </c>
      <c r="X132" s="94"/>
      <c r="Y132" s="93"/>
    </row>
    <row r="133" spans="1:25" ht="25.5" customHeight="1">
      <c r="A133" s="1"/>
      <c r="B133" s="1"/>
      <c r="C133" s="14"/>
      <c r="D133" s="14"/>
      <c r="E133" s="14"/>
      <c r="F133" s="52"/>
      <c r="G133" s="75"/>
      <c r="H133" s="76"/>
      <c r="I133" s="77"/>
      <c r="J133" s="90"/>
      <c r="K133" s="89"/>
      <c r="L133" s="79"/>
      <c r="M133" s="80"/>
      <c r="N133" s="81"/>
      <c r="O133" s="82"/>
      <c r="P133" s="83">
        <f t="shared" si="15"/>
        <v>0</v>
      </c>
      <c r="Q133" s="83">
        <f t="shared" si="16"/>
        <v>0</v>
      </c>
      <c r="R133" s="83">
        <f t="shared" si="17"/>
        <v>0</v>
      </c>
      <c r="S133" s="84"/>
      <c r="T133" s="85">
        <f t="shared" si="18"/>
        <v>0</v>
      </c>
      <c r="U133" s="85">
        <f t="shared" si="19"/>
        <v>0</v>
      </c>
      <c r="V133" s="85">
        <f t="shared" si="20"/>
        <v>0</v>
      </c>
      <c r="W133" s="95">
        <f t="shared" si="14"/>
        <v>0</v>
      </c>
      <c r="X133" s="94"/>
      <c r="Y133" s="93"/>
    </row>
    <row r="134" spans="1:25" ht="25.5" customHeight="1">
      <c r="A134" s="1"/>
      <c r="B134" s="1"/>
      <c r="C134" s="14"/>
      <c r="D134" s="14"/>
      <c r="E134" s="14"/>
      <c r="F134" s="52"/>
      <c r="G134" s="75"/>
      <c r="H134" s="76"/>
      <c r="I134" s="77"/>
      <c r="J134" s="90"/>
      <c r="K134" s="89"/>
      <c r="L134" s="79"/>
      <c r="M134" s="80"/>
      <c r="N134" s="81"/>
      <c r="O134" s="82"/>
      <c r="P134" s="83">
        <f t="shared" si="15"/>
        <v>0</v>
      </c>
      <c r="Q134" s="83">
        <f t="shared" si="16"/>
        <v>0</v>
      </c>
      <c r="R134" s="83">
        <f t="shared" si="17"/>
        <v>0</v>
      </c>
      <c r="S134" s="84"/>
      <c r="T134" s="85">
        <f t="shared" si="18"/>
        <v>0</v>
      </c>
      <c r="U134" s="85">
        <f t="shared" si="19"/>
        <v>0</v>
      </c>
      <c r="V134" s="85">
        <f t="shared" si="20"/>
        <v>0</v>
      </c>
      <c r="W134" s="95">
        <f t="shared" si="14"/>
        <v>0</v>
      </c>
      <c r="X134" s="94"/>
      <c r="Y134" s="93"/>
    </row>
    <row r="135" spans="1:25" ht="25.5" customHeight="1">
      <c r="A135" s="1"/>
      <c r="B135" s="1"/>
      <c r="C135" s="14"/>
      <c r="D135" s="14"/>
      <c r="E135" s="14"/>
      <c r="F135" s="52"/>
      <c r="G135" s="75"/>
      <c r="H135" s="76"/>
      <c r="I135" s="77"/>
      <c r="J135" s="90"/>
      <c r="K135" s="89"/>
      <c r="L135" s="79"/>
      <c r="M135" s="80"/>
      <c r="N135" s="81"/>
      <c r="O135" s="82"/>
      <c r="P135" s="83">
        <f t="shared" si="15"/>
        <v>0</v>
      </c>
      <c r="Q135" s="83">
        <f t="shared" si="16"/>
        <v>0</v>
      </c>
      <c r="R135" s="83">
        <f t="shared" si="17"/>
        <v>0</v>
      </c>
      <c r="S135" s="84"/>
      <c r="T135" s="85">
        <f t="shared" si="18"/>
        <v>0</v>
      </c>
      <c r="U135" s="85">
        <f t="shared" si="19"/>
        <v>0</v>
      </c>
      <c r="V135" s="85">
        <f t="shared" si="20"/>
        <v>0</v>
      </c>
      <c r="W135" s="95">
        <f t="shared" si="14"/>
        <v>0</v>
      </c>
      <c r="X135" s="94"/>
      <c r="Y135" s="93"/>
    </row>
    <row r="136" spans="1:25" ht="25.5" customHeight="1">
      <c r="A136" s="1"/>
      <c r="B136" s="1"/>
      <c r="C136" s="14"/>
      <c r="D136" s="14"/>
      <c r="E136" s="14"/>
      <c r="F136" s="52"/>
      <c r="G136" s="75"/>
      <c r="H136" s="76"/>
      <c r="I136" s="77"/>
      <c r="J136" s="90"/>
      <c r="K136" s="89"/>
      <c r="L136" s="79"/>
      <c r="M136" s="80"/>
      <c r="N136" s="81"/>
      <c r="O136" s="82"/>
      <c r="P136" s="83">
        <f t="shared" si="15"/>
        <v>0</v>
      </c>
      <c r="Q136" s="83">
        <f t="shared" si="16"/>
        <v>0</v>
      </c>
      <c r="R136" s="83">
        <f t="shared" si="17"/>
        <v>0</v>
      </c>
      <c r="S136" s="84"/>
      <c r="T136" s="85">
        <f t="shared" si="18"/>
        <v>0</v>
      </c>
      <c r="U136" s="85">
        <f t="shared" si="19"/>
        <v>0</v>
      </c>
      <c r="V136" s="85">
        <f t="shared" si="20"/>
        <v>0</v>
      </c>
      <c r="W136" s="95">
        <f t="shared" si="14"/>
        <v>0</v>
      </c>
      <c r="X136" s="94"/>
      <c r="Y136" s="93"/>
    </row>
    <row r="137" spans="1:25" ht="25.5" customHeight="1">
      <c r="A137" s="1"/>
      <c r="B137" s="1"/>
      <c r="C137" s="14"/>
      <c r="D137" s="14"/>
      <c r="E137" s="14"/>
      <c r="F137" s="52"/>
      <c r="G137" s="75"/>
      <c r="H137" s="76"/>
      <c r="I137" s="77"/>
      <c r="J137" s="90"/>
      <c r="K137" s="89"/>
      <c r="L137" s="79"/>
      <c r="M137" s="80"/>
      <c r="N137" s="81"/>
      <c r="O137" s="82"/>
      <c r="P137" s="83">
        <f t="shared" si="15"/>
        <v>0</v>
      </c>
      <c r="Q137" s="83">
        <f t="shared" si="16"/>
        <v>0</v>
      </c>
      <c r="R137" s="83">
        <f t="shared" si="17"/>
        <v>0</v>
      </c>
      <c r="S137" s="84"/>
      <c r="T137" s="85">
        <f t="shared" si="18"/>
        <v>0</v>
      </c>
      <c r="U137" s="85">
        <f t="shared" si="19"/>
        <v>0</v>
      </c>
      <c r="V137" s="85">
        <f t="shared" si="20"/>
        <v>0</v>
      </c>
      <c r="W137" s="95">
        <f t="shared" si="14"/>
        <v>0</v>
      </c>
      <c r="X137" s="94"/>
      <c r="Y137" s="93"/>
    </row>
    <row r="138" spans="1:25" ht="25.5" customHeight="1">
      <c r="A138" s="1"/>
      <c r="B138" s="1"/>
      <c r="C138" s="14"/>
      <c r="D138" s="14"/>
      <c r="E138" s="14"/>
      <c r="F138" s="52"/>
      <c r="G138" s="75"/>
      <c r="H138" s="76"/>
      <c r="I138" s="77"/>
      <c r="J138" s="90"/>
      <c r="K138" s="89"/>
      <c r="L138" s="79"/>
      <c r="M138" s="80"/>
      <c r="N138" s="81"/>
      <c r="O138" s="82"/>
      <c r="P138" s="83">
        <f t="shared" si="15"/>
        <v>0</v>
      </c>
      <c r="Q138" s="83">
        <f t="shared" si="16"/>
        <v>0</v>
      </c>
      <c r="R138" s="83">
        <f t="shared" si="17"/>
        <v>0</v>
      </c>
      <c r="S138" s="84"/>
      <c r="T138" s="85">
        <f t="shared" si="18"/>
        <v>0</v>
      </c>
      <c r="U138" s="85">
        <f t="shared" si="19"/>
        <v>0</v>
      </c>
      <c r="V138" s="85">
        <f t="shared" si="20"/>
        <v>0</v>
      </c>
      <c r="W138" s="95">
        <f t="shared" si="14"/>
        <v>0</v>
      </c>
      <c r="X138" s="94"/>
      <c r="Y138" s="93"/>
    </row>
    <row r="139" spans="1:25" ht="25.5" customHeight="1">
      <c r="A139" s="1"/>
      <c r="B139" s="1"/>
      <c r="C139" s="14"/>
      <c r="D139" s="14"/>
      <c r="E139" s="14"/>
      <c r="F139" s="52"/>
      <c r="G139" s="75"/>
      <c r="H139" s="76"/>
      <c r="I139" s="77"/>
      <c r="J139" s="90"/>
      <c r="K139" s="89"/>
      <c r="L139" s="79"/>
      <c r="M139" s="80"/>
      <c r="N139" s="81"/>
      <c r="O139" s="82"/>
      <c r="P139" s="83">
        <f t="shared" si="15"/>
        <v>0</v>
      </c>
      <c r="Q139" s="83">
        <f t="shared" si="16"/>
        <v>0</v>
      </c>
      <c r="R139" s="83">
        <f t="shared" si="17"/>
        <v>0</v>
      </c>
      <c r="S139" s="84"/>
      <c r="T139" s="85">
        <f t="shared" si="18"/>
        <v>0</v>
      </c>
      <c r="U139" s="85">
        <f t="shared" si="19"/>
        <v>0</v>
      </c>
      <c r="V139" s="85">
        <f t="shared" si="20"/>
        <v>0</v>
      </c>
      <c r="W139" s="95">
        <f t="shared" si="14"/>
        <v>0</v>
      </c>
      <c r="X139" s="94"/>
      <c r="Y139" s="93"/>
    </row>
    <row r="140" spans="1:25" ht="25.5" customHeight="1">
      <c r="A140" s="1"/>
      <c r="B140" s="1"/>
      <c r="C140" s="14"/>
      <c r="D140" s="14"/>
      <c r="E140" s="14"/>
      <c r="F140" s="52"/>
      <c r="G140" s="75"/>
      <c r="H140" s="76"/>
      <c r="I140" s="77"/>
      <c r="J140" s="90"/>
      <c r="K140" s="89"/>
      <c r="L140" s="79"/>
      <c r="M140" s="80"/>
      <c r="N140" s="81"/>
      <c r="O140" s="82"/>
      <c r="P140" s="83">
        <f t="shared" si="15"/>
        <v>0</v>
      </c>
      <c r="Q140" s="83">
        <f t="shared" si="16"/>
        <v>0</v>
      </c>
      <c r="R140" s="83">
        <f t="shared" si="17"/>
        <v>0</v>
      </c>
      <c r="S140" s="84"/>
      <c r="T140" s="85">
        <f t="shared" si="18"/>
        <v>0</v>
      </c>
      <c r="U140" s="85">
        <f t="shared" si="19"/>
        <v>0</v>
      </c>
      <c r="V140" s="85">
        <f t="shared" si="20"/>
        <v>0</v>
      </c>
      <c r="W140" s="95">
        <f t="shared" si="14"/>
        <v>0</v>
      </c>
      <c r="X140" s="94"/>
      <c r="Y140" s="93"/>
    </row>
    <row r="141" spans="1:25" ht="25.5" customHeight="1">
      <c r="A141" s="1"/>
      <c r="B141" s="1"/>
      <c r="C141" s="14"/>
      <c r="D141" s="14"/>
      <c r="E141" s="14"/>
      <c r="F141" s="52"/>
      <c r="G141" s="75"/>
      <c r="H141" s="76"/>
      <c r="I141" s="77"/>
      <c r="J141" s="90"/>
      <c r="K141" s="89"/>
      <c r="L141" s="79"/>
      <c r="M141" s="80"/>
      <c r="N141" s="81"/>
      <c r="O141" s="82"/>
      <c r="P141" s="83">
        <f t="shared" si="15"/>
        <v>0</v>
      </c>
      <c r="Q141" s="83">
        <f t="shared" si="16"/>
        <v>0</v>
      </c>
      <c r="R141" s="83">
        <f t="shared" si="17"/>
        <v>0</v>
      </c>
      <c r="S141" s="84"/>
      <c r="T141" s="85">
        <f t="shared" si="18"/>
        <v>0</v>
      </c>
      <c r="U141" s="85">
        <f t="shared" si="19"/>
        <v>0</v>
      </c>
      <c r="V141" s="85">
        <f t="shared" si="20"/>
        <v>0</v>
      </c>
      <c r="W141" s="95">
        <f t="shared" si="14"/>
        <v>0</v>
      </c>
      <c r="X141" s="94"/>
      <c r="Y141" s="93"/>
    </row>
    <row r="142" spans="1:25" ht="25.5" customHeight="1">
      <c r="A142" s="1"/>
      <c r="B142" s="1"/>
      <c r="C142" s="14"/>
      <c r="D142" s="14"/>
      <c r="E142" s="14"/>
      <c r="F142" s="52"/>
      <c r="G142" s="75"/>
      <c r="H142" s="76"/>
      <c r="I142" s="77"/>
      <c r="J142" s="90"/>
      <c r="K142" s="89"/>
      <c r="L142" s="79"/>
      <c r="M142" s="80"/>
      <c r="N142" s="81"/>
      <c r="O142" s="82"/>
      <c r="P142" s="83">
        <f t="shared" si="15"/>
        <v>0</v>
      </c>
      <c r="Q142" s="83">
        <f t="shared" si="16"/>
        <v>0</v>
      </c>
      <c r="R142" s="83">
        <f t="shared" si="17"/>
        <v>0</v>
      </c>
      <c r="S142" s="84"/>
      <c r="T142" s="85">
        <f t="shared" si="18"/>
        <v>0</v>
      </c>
      <c r="U142" s="85">
        <f t="shared" si="19"/>
        <v>0</v>
      </c>
      <c r="V142" s="85">
        <f t="shared" si="20"/>
        <v>0</v>
      </c>
      <c r="W142" s="95">
        <f t="shared" si="14"/>
        <v>0</v>
      </c>
      <c r="X142" s="94"/>
      <c r="Y142" s="93"/>
    </row>
    <row r="143" spans="1:25" ht="25.5" customHeight="1">
      <c r="A143" s="1"/>
      <c r="B143" s="1"/>
      <c r="C143" s="14"/>
      <c r="D143" s="14"/>
      <c r="E143" s="14"/>
      <c r="F143" s="52"/>
      <c r="G143" s="75"/>
      <c r="H143" s="76"/>
      <c r="I143" s="77"/>
      <c r="J143" s="90"/>
      <c r="K143" s="89"/>
      <c r="L143" s="79"/>
      <c r="M143" s="80"/>
      <c r="N143" s="81"/>
      <c r="O143" s="82"/>
      <c r="P143" s="83">
        <f t="shared" si="15"/>
        <v>0</v>
      </c>
      <c r="Q143" s="83">
        <f t="shared" si="16"/>
        <v>0</v>
      </c>
      <c r="R143" s="83">
        <f t="shared" si="17"/>
        <v>0</v>
      </c>
      <c r="S143" s="84"/>
      <c r="T143" s="85">
        <f t="shared" si="18"/>
        <v>0</v>
      </c>
      <c r="U143" s="85">
        <f t="shared" si="19"/>
        <v>0</v>
      </c>
      <c r="V143" s="85">
        <f t="shared" si="20"/>
        <v>0</v>
      </c>
      <c r="W143" s="95">
        <f t="shared" si="14"/>
        <v>0</v>
      </c>
      <c r="X143" s="94"/>
      <c r="Y143" s="93"/>
    </row>
    <row r="144" spans="1:25" ht="25.5" customHeight="1">
      <c r="A144" s="1"/>
      <c r="B144" s="1"/>
      <c r="C144" s="14"/>
      <c r="D144" s="14"/>
      <c r="E144" s="14"/>
      <c r="F144" s="52"/>
      <c r="G144" s="75"/>
      <c r="H144" s="76"/>
      <c r="I144" s="77"/>
      <c r="J144" s="90"/>
      <c r="K144" s="89"/>
      <c r="L144" s="79"/>
      <c r="M144" s="80"/>
      <c r="N144" s="81"/>
      <c r="O144" s="82"/>
      <c r="P144" s="83">
        <f t="shared" si="15"/>
        <v>0</v>
      </c>
      <c r="Q144" s="83">
        <f t="shared" si="16"/>
        <v>0</v>
      </c>
      <c r="R144" s="83">
        <f t="shared" si="17"/>
        <v>0</v>
      </c>
      <c r="S144" s="84"/>
      <c r="T144" s="85">
        <f t="shared" si="18"/>
        <v>0</v>
      </c>
      <c r="U144" s="85">
        <f t="shared" si="19"/>
        <v>0</v>
      </c>
      <c r="V144" s="85">
        <f t="shared" si="20"/>
        <v>0</v>
      </c>
      <c r="W144" s="95">
        <f t="shared" si="14"/>
        <v>0</v>
      </c>
      <c r="X144" s="94"/>
      <c r="Y144" s="93"/>
    </row>
    <row r="145" spans="1:25" ht="44.25" customHeight="1">
      <c r="A145" s="1"/>
      <c r="B145" s="1"/>
      <c r="C145" s="14"/>
      <c r="D145" s="14"/>
      <c r="E145" s="14"/>
      <c r="F145" s="52"/>
      <c r="G145" s="75"/>
      <c r="H145" s="76"/>
      <c r="I145" s="77"/>
      <c r="J145" s="90"/>
      <c r="K145" s="78"/>
      <c r="L145" s="79"/>
      <c r="M145" s="80"/>
      <c r="N145" s="81"/>
      <c r="O145" s="82"/>
      <c r="P145" s="83">
        <f t="shared" si="15"/>
        <v>0</v>
      </c>
      <c r="Q145" s="83">
        <f t="shared" si="16"/>
        <v>0</v>
      </c>
      <c r="R145" s="83">
        <f t="shared" si="17"/>
        <v>0</v>
      </c>
      <c r="S145" s="84"/>
      <c r="T145" s="85">
        <f t="shared" si="18"/>
        <v>0</v>
      </c>
      <c r="U145" s="85">
        <f t="shared" si="19"/>
        <v>0</v>
      </c>
      <c r="V145" s="85">
        <f t="shared" si="20"/>
        <v>0</v>
      </c>
      <c r="W145" s="95">
        <f t="shared" si="14"/>
        <v>0</v>
      </c>
      <c r="X145" s="91"/>
      <c r="Y145" s="92"/>
    </row>
    <row r="146" spans="1:25" ht="25.5" customHeight="1">
      <c r="A146" s="1"/>
      <c r="B146" s="1"/>
      <c r="C146" s="14"/>
      <c r="D146" s="14"/>
      <c r="E146" s="14"/>
      <c r="F146" s="15"/>
      <c r="G146" s="69"/>
      <c r="H146" s="70"/>
      <c r="I146" s="69"/>
      <c r="J146" s="71"/>
      <c r="K146" s="72"/>
      <c r="L146" s="79"/>
      <c r="M146" s="73"/>
      <c r="N146" s="74"/>
      <c r="O146" s="65">
        <v>0</v>
      </c>
      <c r="P146" s="83">
        <f t="shared" si="15"/>
        <v>0</v>
      </c>
      <c r="Q146" s="83">
        <f t="shared" si="16"/>
        <v>0</v>
      </c>
      <c r="R146" s="83">
        <f t="shared" si="17"/>
        <v>0</v>
      </c>
      <c r="S146" s="66">
        <v>0</v>
      </c>
      <c r="T146" s="85">
        <f t="shared" si="18"/>
        <v>0</v>
      </c>
      <c r="U146" s="85">
        <f t="shared" si="19"/>
        <v>0</v>
      </c>
      <c r="V146" s="85">
        <f t="shared" si="20"/>
        <v>0</v>
      </c>
      <c r="W146" s="95">
        <f t="shared" si="14"/>
        <v>0</v>
      </c>
    </row>
    <row r="147" spans="1:25" ht="25.5" customHeight="1">
      <c r="A147" s="1"/>
      <c r="B147" s="1"/>
      <c r="C147" s="14"/>
      <c r="D147" s="14"/>
      <c r="E147" s="14"/>
      <c r="F147" s="15"/>
      <c r="G147" s="16"/>
      <c r="H147" s="48"/>
      <c r="I147" s="16"/>
      <c r="J147" s="17"/>
      <c r="K147" s="34"/>
      <c r="L147" s="79"/>
      <c r="M147" s="18"/>
      <c r="N147" s="51"/>
      <c r="O147" s="38">
        <v>0</v>
      </c>
      <c r="P147" s="83">
        <f t="shared" si="15"/>
        <v>0</v>
      </c>
      <c r="Q147" s="83">
        <f t="shared" si="16"/>
        <v>0</v>
      </c>
      <c r="R147" s="83">
        <f t="shared" si="17"/>
        <v>0</v>
      </c>
      <c r="S147" s="39">
        <v>0</v>
      </c>
      <c r="T147" s="85">
        <f t="shared" si="18"/>
        <v>0</v>
      </c>
      <c r="U147" s="85">
        <f t="shared" si="19"/>
        <v>0</v>
      </c>
      <c r="V147" s="85">
        <f t="shared" si="20"/>
        <v>0</v>
      </c>
      <c r="W147" s="95">
        <f t="shared" si="14"/>
        <v>0</v>
      </c>
    </row>
    <row r="148" spans="1:25" ht="25.5" customHeight="1">
      <c r="A148" s="1"/>
      <c r="B148" s="1"/>
      <c r="C148" s="14"/>
      <c r="D148" s="14"/>
      <c r="E148" s="14"/>
      <c r="F148" s="15"/>
      <c r="G148" s="16"/>
      <c r="H148" s="48"/>
      <c r="I148" s="16"/>
      <c r="J148" s="17"/>
      <c r="K148" s="34"/>
      <c r="L148" s="79"/>
      <c r="M148" s="18"/>
      <c r="N148" s="51"/>
      <c r="O148" s="38">
        <v>0</v>
      </c>
      <c r="P148" s="83">
        <f t="shared" si="15"/>
        <v>0</v>
      </c>
      <c r="Q148" s="83">
        <f t="shared" si="16"/>
        <v>0</v>
      </c>
      <c r="R148" s="83">
        <f t="shared" si="17"/>
        <v>0</v>
      </c>
      <c r="S148" s="39">
        <v>0</v>
      </c>
      <c r="T148" s="85">
        <f t="shared" si="18"/>
        <v>0</v>
      </c>
      <c r="U148" s="85">
        <f t="shared" si="19"/>
        <v>0</v>
      </c>
      <c r="V148" s="85">
        <f t="shared" si="20"/>
        <v>0</v>
      </c>
      <c r="W148" s="95">
        <f t="shared" si="14"/>
        <v>0</v>
      </c>
    </row>
    <row r="149" spans="1:25" ht="25.5" customHeight="1">
      <c r="A149" s="1"/>
      <c r="B149" s="1"/>
      <c r="C149" s="14"/>
      <c r="D149" s="14"/>
      <c r="E149" s="14"/>
      <c r="F149" s="15"/>
      <c r="G149" s="16"/>
      <c r="H149" s="48"/>
      <c r="I149" s="16"/>
      <c r="J149" s="17"/>
      <c r="K149" s="34"/>
      <c r="L149" s="79"/>
      <c r="M149" s="18"/>
      <c r="N149" s="51"/>
      <c r="O149" s="38">
        <v>0</v>
      </c>
      <c r="P149" s="83">
        <f t="shared" si="15"/>
        <v>0</v>
      </c>
      <c r="Q149" s="83">
        <f t="shared" si="16"/>
        <v>0</v>
      </c>
      <c r="R149" s="83">
        <f t="shared" si="17"/>
        <v>0</v>
      </c>
      <c r="S149" s="39">
        <v>0</v>
      </c>
      <c r="T149" s="85">
        <f t="shared" si="18"/>
        <v>0</v>
      </c>
      <c r="U149" s="85">
        <f t="shared" si="19"/>
        <v>0</v>
      </c>
      <c r="V149" s="85">
        <f t="shared" si="20"/>
        <v>0</v>
      </c>
      <c r="W149" s="95">
        <f t="shared" si="14"/>
        <v>0</v>
      </c>
    </row>
    <row r="150" spans="1:25" ht="25.5" customHeight="1">
      <c r="A150" s="1"/>
      <c r="B150" s="1"/>
      <c r="C150" s="14"/>
      <c r="D150" s="14"/>
      <c r="E150" s="14"/>
      <c r="F150" s="15"/>
      <c r="G150" s="16"/>
      <c r="H150" s="48"/>
      <c r="I150" s="16"/>
      <c r="J150" s="17"/>
      <c r="K150" s="34"/>
      <c r="L150" s="79"/>
      <c r="M150" s="18"/>
      <c r="N150" s="51"/>
      <c r="O150" s="38">
        <v>0</v>
      </c>
      <c r="P150" s="83">
        <f t="shared" si="15"/>
        <v>0</v>
      </c>
      <c r="Q150" s="83">
        <f t="shared" si="16"/>
        <v>0</v>
      </c>
      <c r="R150" s="83">
        <f t="shared" si="17"/>
        <v>0</v>
      </c>
      <c r="S150" s="39">
        <v>0</v>
      </c>
      <c r="T150" s="85">
        <f t="shared" si="18"/>
        <v>0</v>
      </c>
      <c r="U150" s="85">
        <f t="shared" si="19"/>
        <v>0</v>
      </c>
      <c r="V150" s="85">
        <f t="shared" si="20"/>
        <v>0</v>
      </c>
      <c r="W150" s="95">
        <f t="shared" si="14"/>
        <v>0</v>
      </c>
    </row>
    <row r="151" spans="1:25" ht="25.5" customHeight="1">
      <c r="A151" s="1"/>
      <c r="B151" s="1"/>
      <c r="C151" s="14"/>
      <c r="D151" s="14"/>
      <c r="E151" s="14"/>
      <c r="F151" s="15"/>
      <c r="G151" s="16"/>
      <c r="H151" s="48"/>
      <c r="I151" s="16"/>
      <c r="J151" s="17"/>
      <c r="K151" s="34"/>
      <c r="L151" s="79"/>
      <c r="M151" s="18"/>
      <c r="N151" s="51"/>
      <c r="O151" s="38">
        <v>0</v>
      </c>
      <c r="P151" s="83">
        <f t="shared" si="15"/>
        <v>0</v>
      </c>
      <c r="Q151" s="83">
        <f t="shared" si="16"/>
        <v>0</v>
      </c>
      <c r="R151" s="83">
        <f t="shared" si="17"/>
        <v>0</v>
      </c>
      <c r="S151" s="39">
        <v>0</v>
      </c>
      <c r="T151" s="85">
        <f t="shared" si="18"/>
        <v>0</v>
      </c>
      <c r="U151" s="85">
        <f t="shared" si="19"/>
        <v>0</v>
      </c>
      <c r="V151" s="85">
        <f t="shared" si="20"/>
        <v>0</v>
      </c>
      <c r="W151" s="95">
        <f t="shared" si="14"/>
        <v>0</v>
      </c>
    </row>
    <row r="152" spans="1:25" ht="25.5" customHeight="1">
      <c r="A152" s="1"/>
      <c r="B152" s="1"/>
      <c r="C152" s="14"/>
      <c r="D152" s="14"/>
      <c r="E152" s="14"/>
      <c r="F152" s="15"/>
      <c r="G152" s="16"/>
      <c r="H152" s="48"/>
      <c r="I152" s="16"/>
      <c r="J152" s="17"/>
      <c r="K152" s="34"/>
      <c r="L152" s="79"/>
      <c r="M152" s="18"/>
      <c r="N152" s="51"/>
      <c r="O152" s="38">
        <v>0</v>
      </c>
      <c r="P152" s="83">
        <f t="shared" si="15"/>
        <v>0</v>
      </c>
      <c r="Q152" s="83">
        <f t="shared" si="16"/>
        <v>0</v>
      </c>
      <c r="R152" s="83">
        <f t="shared" si="17"/>
        <v>0</v>
      </c>
      <c r="S152" s="39">
        <v>0</v>
      </c>
      <c r="T152" s="85">
        <f t="shared" si="18"/>
        <v>0</v>
      </c>
      <c r="U152" s="85">
        <f t="shared" si="19"/>
        <v>0</v>
      </c>
      <c r="V152" s="85">
        <f t="shared" si="20"/>
        <v>0</v>
      </c>
      <c r="W152" s="95">
        <f t="shared" si="14"/>
        <v>0</v>
      </c>
    </row>
    <row r="153" spans="1:25" ht="25.5" customHeight="1">
      <c r="A153" s="1"/>
      <c r="B153" s="1"/>
      <c r="C153" s="14"/>
      <c r="D153" s="14"/>
      <c r="E153" s="14"/>
      <c r="F153" s="15"/>
      <c r="G153" s="16"/>
      <c r="H153" s="48"/>
      <c r="I153" s="16"/>
      <c r="J153" s="17"/>
      <c r="K153" s="34"/>
      <c r="L153" s="79"/>
      <c r="M153" s="18"/>
      <c r="N153" s="51"/>
      <c r="O153" s="38">
        <v>0</v>
      </c>
      <c r="P153" s="83">
        <f t="shared" si="15"/>
        <v>0</v>
      </c>
      <c r="Q153" s="83">
        <f t="shared" si="16"/>
        <v>0</v>
      </c>
      <c r="R153" s="83">
        <f t="shared" si="17"/>
        <v>0</v>
      </c>
      <c r="S153" s="39">
        <v>0</v>
      </c>
      <c r="T153" s="85">
        <f t="shared" si="18"/>
        <v>0</v>
      </c>
      <c r="U153" s="85">
        <f t="shared" si="19"/>
        <v>0</v>
      </c>
      <c r="V153" s="85">
        <f t="shared" si="20"/>
        <v>0</v>
      </c>
      <c r="W153" s="95">
        <f t="shared" si="14"/>
        <v>0</v>
      </c>
    </row>
    <row r="154" spans="1:25" ht="25.5" customHeight="1">
      <c r="A154" s="1"/>
      <c r="B154" s="1"/>
      <c r="C154" s="14"/>
      <c r="D154" s="14"/>
      <c r="E154" s="14"/>
      <c r="F154" s="15"/>
      <c r="G154" s="16"/>
      <c r="H154" s="48"/>
      <c r="I154" s="16"/>
      <c r="J154" s="17"/>
      <c r="K154" s="34"/>
      <c r="L154" s="79"/>
      <c r="M154" s="18"/>
      <c r="N154" s="51"/>
      <c r="O154" s="38">
        <v>0</v>
      </c>
      <c r="P154" s="83">
        <f t="shared" si="15"/>
        <v>0</v>
      </c>
      <c r="Q154" s="83">
        <f t="shared" si="16"/>
        <v>0</v>
      </c>
      <c r="R154" s="83">
        <f t="shared" si="17"/>
        <v>0</v>
      </c>
      <c r="S154" s="39">
        <v>0</v>
      </c>
      <c r="T154" s="85">
        <f t="shared" si="18"/>
        <v>0</v>
      </c>
      <c r="U154" s="85">
        <f t="shared" si="19"/>
        <v>0</v>
      </c>
      <c r="V154" s="85">
        <f t="shared" si="20"/>
        <v>0</v>
      </c>
      <c r="W154" s="95">
        <f t="shared" si="14"/>
        <v>0</v>
      </c>
    </row>
    <row r="155" spans="1:25" ht="25.5" customHeight="1">
      <c r="A155" s="1"/>
      <c r="B155" s="1"/>
      <c r="C155" s="14"/>
      <c r="D155" s="14"/>
      <c r="E155" s="14"/>
      <c r="F155" s="15"/>
      <c r="G155" s="16"/>
      <c r="H155" s="48"/>
      <c r="I155" s="16"/>
      <c r="J155" s="17"/>
      <c r="K155" s="34"/>
      <c r="L155" s="79"/>
      <c r="M155" s="18"/>
      <c r="N155" s="51"/>
      <c r="O155" s="38">
        <v>0</v>
      </c>
      <c r="P155" s="83">
        <f t="shared" si="15"/>
        <v>0</v>
      </c>
      <c r="Q155" s="83">
        <f t="shared" si="16"/>
        <v>0</v>
      </c>
      <c r="R155" s="83">
        <f t="shared" si="17"/>
        <v>0</v>
      </c>
      <c r="S155" s="39">
        <v>0</v>
      </c>
      <c r="T155" s="85">
        <f t="shared" si="18"/>
        <v>0</v>
      </c>
      <c r="U155" s="85">
        <f t="shared" si="19"/>
        <v>0</v>
      </c>
      <c r="V155" s="85">
        <f t="shared" si="20"/>
        <v>0</v>
      </c>
      <c r="W155" s="95">
        <f t="shared" si="14"/>
        <v>0</v>
      </c>
    </row>
    <row r="156" spans="1:25" ht="25.5" customHeight="1">
      <c r="A156" s="1"/>
      <c r="B156" s="1"/>
      <c r="C156" s="158" t="s">
        <v>185</v>
      </c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</row>
    <row r="157" spans="1:25" ht="25.5" customHeight="1">
      <c r="A157" s="1"/>
      <c r="B157" s="1"/>
      <c r="H157"/>
    </row>
    <row r="158" spans="1:25" ht="25.5" customHeight="1">
      <c r="A158" s="1"/>
      <c r="B158" s="1"/>
      <c r="H158"/>
    </row>
    <row r="159" spans="1:25" ht="25.5" customHeight="1">
      <c r="A159" s="1"/>
      <c r="B159" s="1"/>
      <c r="H159"/>
    </row>
    <row r="160" spans="1:25" ht="25.5" customHeight="1">
      <c r="A160" s="1"/>
      <c r="B160" s="1"/>
      <c r="H160"/>
    </row>
    <row r="161" spans="1:8" ht="25.5" customHeight="1">
      <c r="A161" s="1"/>
      <c r="B161" s="1"/>
      <c r="H161"/>
    </row>
    <row r="162" spans="1:8" ht="25.5" customHeight="1">
      <c r="A162" s="1"/>
      <c r="B162" s="1"/>
      <c r="H162"/>
    </row>
    <row r="163" spans="1:8" ht="25.5" customHeight="1">
      <c r="A163" s="1"/>
      <c r="B163" s="1"/>
      <c r="H163"/>
    </row>
    <row r="164" spans="1:8" ht="25.5" customHeight="1">
      <c r="A164" s="1"/>
      <c r="B164" s="1"/>
      <c r="H164"/>
    </row>
    <row r="165" spans="1:8" ht="25.5" customHeight="1">
      <c r="A165" s="1"/>
      <c r="B165" s="1"/>
      <c r="H165"/>
    </row>
    <row r="166" spans="1:8" ht="25.5" customHeight="1">
      <c r="A166" s="1"/>
      <c r="B166" s="1"/>
      <c r="H166"/>
    </row>
    <row r="167" spans="1:8" ht="25.5" customHeight="1">
      <c r="A167" s="1"/>
      <c r="B167" s="1"/>
      <c r="H167"/>
    </row>
    <row r="168" spans="1:8" ht="25.5" customHeight="1">
      <c r="A168" s="1"/>
      <c r="B168" s="1"/>
      <c r="H168"/>
    </row>
    <row r="169" spans="1:8" ht="25.5" customHeight="1">
      <c r="A169" s="1"/>
      <c r="B169" s="1"/>
      <c r="H169"/>
    </row>
    <row r="170" spans="1:8" ht="25.5" customHeight="1">
      <c r="A170" s="1"/>
      <c r="B170" s="1"/>
      <c r="H170"/>
    </row>
    <row r="171" spans="1:8" ht="25.5" customHeight="1">
      <c r="A171" s="1"/>
      <c r="B171" s="1"/>
      <c r="H171"/>
    </row>
    <row r="172" spans="1:8" ht="25.5" customHeight="1">
      <c r="A172" s="1"/>
      <c r="B172" s="1"/>
      <c r="H172"/>
    </row>
    <row r="173" spans="1:8" ht="25.5" customHeight="1">
      <c r="A173" s="1"/>
      <c r="B173" s="1"/>
      <c r="H173"/>
    </row>
    <row r="174" spans="1:8" ht="25.5" customHeight="1">
      <c r="A174" s="1"/>
      <c r="B174" s="1"/>
      <c r="H174"/>
    </row>
    <row r="175" spans="1:8" ht="25.5" customHeight="1">
      <c r="A175" s="1"/>
      <c r="B175" s="1"/>
      <c r="H175"/>
    </row>
    <row r="176" spans="1:8" ht="25.5" customHeight="1">
      <c r="A176" s="1"/>
      <c r="B176" s="1"/>
      <c r="H176"/>
    </row>
    <row r="177" spans="1:8" ht="25.5" customHeight="1">
      <c r="A177" s="1"/>
      <c r="B177" s="1"/>
      <c r="H177"/>
    </row>
    <row r="178" spans="1:8" ht="25.5" customHeight="1">
      <c r="A178" s="1"/>
      <c r="B178" s="1"/>
      <c r="H178"/>
    </row>
    <row r="179" spans="1:8" ht="25.5" customHeight="1">
      <c r="A179" s="1"/>
      <c r="B179" s="1"/>
      <c r="H179"/>
    </row>
    <row r="180" spans="1:8" ht="25.5" customHeight="1">
      <c r="A180" s="1"/>
      <c r="B180" s="1"/>
      <c r="H180"/>
    </row>
    <row r="181" spans="1:8" ht="25.5" customHeight="1">
      <c r="A181" s="1"/>
      <c r="B181" s="1"/>
      <c r="H181"/>
    </row>
    <row r="182" spans="1:8" ht="25.5" customHeight="1">
      <c r="A182" s="1"/>
      <c r="B182" s="1"/>
      <c r="H182"/>
    </row>
    <row r="183" spans="1:8" ht="25.5" customHeight="1">
      <c r="A183" s="1"/>
      <c r="B183" s="1"/>
      <c r="H183"/>
    </row>
    <row r="184" spans="1:8" ht="25.5" customHeight="1">
      <c r="A184" s="1"/>
      <c r="B184" s="1"/>
      <c r="H184"/>
    </row>
    <row r="185" spans="1:8" ht="25.5" customHeight="1">
      <c r="A185" s="1"/>
      <c r="B185" s="1"/>
      <c r="H185"/>
    </row>
    <row r="186" spans="1:8" ht="25.5" customHeight="1">
      <c r="A186" s="1"/>
      <c r="B186" s="1"/>
      <c r="H186"/>
    </row>
    <row r="187" spans="1:8" ht="25.5" customHeight="1">
      <c r="A187" s="1"/>
      <c r="B187" s="1"/>
      <c r="H187"/>
    </row>
    <row r="188" spans="1:8" ht="25.5" customHeight="1">
      <c r="A188" s="1"/>
      <c r="B188" s="1"/>
      <c r="H188"/>
    </row>
    <row r="189" spans="1:8" ht="25.5" customHeight="1">
      <c r="A189" s="1"/>
      <c r="B189" s="1"/>
      <c r="H189"/>
    </row>
    <row r="190" spans="1:8" ht="25.5" customHeight="1">
      <c r="A190" s="1"/>
      <c r="B190" s="1"/>
      <c r="H190"/>
    </row>
    <row r="191" spans="1:8" ht="25.5" customHeight="1">
      <c r="A191" s="1"/>
      <c r="B191" s="1"/>
    </row>
    <row r="192" spans="1:8" ht="25.5" customHeight="1">
      <c r="A192" s="1"/>
      <c r="B192" s="1"/>
    </row>
    <row r="193" spans="1:2" ht="25.5" customHeight="1">
      <c r="A193" s="1"/>
      <c r="B193" s="1"/>
    </row>
    <row r="194" spans="1:2" ht="25.5" customHeight="1">
      <c r="A194" s="1"/>
      <c r="B194" s="1"/>
    </row>
    <row r="195" spans="1:2" ht="25.5" customHeight="1">
      <c r="A195" s="1"/>
      <c r="B195" s="1"/>
    </row>
    <row r="196" spans="1:2" ht="25.5" customHeight="1">
      <c r="A196" s="1"/>
      <c r="B196" s="1"/>
    </row>
    <row r="197" spans="1:2" ht="25.5" customHeight="1">
      <c r="A197" s="1"/>
      <c r="B197" s="1"/>
    </row>
    <row r="198" spans="1:2" ht="25.5" customHeight="1">
      <c r="A198" s="1"/>
      <c r="B198" s="1"/>
    </row>
    <row r="199" spans="1:2" ht="25.5" customHeight="1">
      <c r="A199" s="1"/>
      <c r="B199" s="1"/>
    </row>
    <row r="200" spans="1:2" ht="25.5" customHeight="1">
      <c r="A200" s="1"/>
      <c r="B200" s="1"/>
    </row>
    <row r="201" spans="1:2" ht="25.5" customHeight="1">
      <c r="A201" s="1"/>
      <c r="B201" s="1"/>
    </row>
    <row r="202" spans="1:2" ht="25.5" customHeight="1">
      <c r="A202" s="1"/>
      <c r="B202" s="1"/>
    </row>
    <row r="203" spans="1:2" ht="25.5" customHeight="1">
      <c r="A203" s="1"/>
      <c r="B203" s="1"/>
    </row>
    <row r="204" spans="1:2" ht="25.5" customHeight="1">
      <c r="A204" s="1"/>
      <c r="B204" s="1"/>
    </row>
    <row r="205" spans="1:2" ht="25.5" customHeight="1">
      <c r="A205" s="1"/>
      <c r="B205" s="1"/>
    </row>
    <row r="206" spans="1:2" ht="25.5" customHeight="1">
      <c r="A206" s="1"/>
      <c r="B206" s="1"/>
    </row>
    <row r="207" spans="1:2" ht="25.5" customHeight="1">
      <c r="A207" s="21"/>
      <c r="B207" s="21"/>
    </row>
    <row r="208" spans="1:2" ht="25.5" customHeight="1">
      <c r="A208" s="1"/>
      <c r="B208" s="1"/>
    </row>
    <row r="209" spans="1:2" ht="25.5" customHeight="1">
      <c r="A209" s="1"/>
      <c r="B209" s="1"/>
    </row>
    <row r="210" spans="1:2" ht="25.5" customHeight="1">
      <c r="A210" s="1"/>
      <c r="B210" s="1"/>
    </row>
    <row r="211" spans="1:2" ht="25.5" customHeight="1">
      <c r="A211" s="1"/>
      <c r="B211" s="1"/>
    </row>
    <row r="212" spans="1:2" ht="25.5" customHeight="1">
      <c r="A212" s="1"/>
      <c r="B212" s="1"/>
    </row>
    <row r="213" spans="1:2" ht="25.5" customHeight="1">
      <c r="A213" s="1"/>
      <c r="B213" s="1"/>
    </row>
    <row r="214" spans="1:2" ht="25.5" customHeight="1">
      <c r="A214" s="1"/>
      <c r="B214" s="1"/>
    </row>
    <row r="215" spans="1:2" ht="25.5" customHeight="1">
      <c r="A215" s="1"/>
      <c r="B215" s="1"/>
    </row>
    <row r="216" spans="1:2" ht="25.5" customHeight="1">
      <c r="A216" s="1"/>
      <c r="B216" s="1"/>
    </row>
    <row r="217" spans="1:2" ht="25.5" customHeight="1">
      <c r="A217" s="1"/>
      <c r="B217" s="1"/>
    </row>
    <row r="218" spans="1:2" ht="25.5" customHeight="1">
      <c r="A218" s="1"/>
      <c r="B218" s="1"/>
    </row>
    <row r="219" spans="1:2" ht="18" customHeight="1">
      <c r="A219" s="1"/>
      <c r="B219" s="1"/>
    </row>
    <row r="220" spans="1:2" ht="18" customHeight="1"/>
  </sheetData>
  <mergeCells count="86">
    <mergeCell ref="Y95:Y101"/>
    <mergeCell ref="J95:J101"/>
    <mergeCell ref="I95:I101"/>
    <mergeCell ref="H95:H101"/>
    <mergeCell ref="C17:W17"/>
    <mergeCell ref="X82:X94"/>
    <mergeCell ref="Y82:Y94"/>
    <mergeCell ref="I82:I94"/>
    <mergeCell ref="H82:H94"/>
    <mergeCell ref="F95:F101"/>
    <mergeCell ref="E95:E101"/>
    <mergeCell ref="D95:D101"/>
    <mergeCell ref="C95:C101"/>
    <mergeCell ref="X95:X101"/>
    <mergeCell ref="C156:W156"/>
    <mergeCell ref="I15:J15"/>
    <mergeCell ref="M15:N15"/>
    <mergeCell ref="R15:T15"/>
    <mergeCell ref="U15:W15"/>
    <mergeCell ref="I16:J16"/>
    <mergeCell ref="M16:N16"/>
    <mergeCell ref="R16:T16"/>
    <mergeCell ref="U16:W16"/>
    <mergeCell ref="G82:G94"/>
    <mergeCell ref="F82:F94"/>
    <mergeCell ref="E82:E94"/>
    <mergeCell ref="D82:D94"/>
    <mergeCell ref="C82:C94"/>
    <mergeCell ref="G95:G101"/>
    <mergeCell ref="J82:J94"/>
    <mergeCell ref="I13:J13"/>
    <mergeCell ref="M13:N13"/>
    <mergeCell ref="R13:T13"/>
    <mergeCell ref="U13:W13"/>
    <mergeCell ref="I14:J14"/>
    <mergeCell ref="M14:N14"/>
    <mergeCell ref="R14:T14"/>
    <mergeCell ref="U14:W14"/>
    <mergeCell ref="I11:J11"/>
    <mergeCell ref="M11:N11"/>
    <mergeCell ref="R11:T11"/>
    <mergeCell ref="U11:W11"/>
    <mergeCell ref="I12:J12"/>
    <mergeCell ref="M12:N12"/>
    <mergeCell ref="R12:T12"/>
    <mergeCell ref="U12:W12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I10:J10"/>
    <mergeCell ref="M10:N10"/>
    <mergeCell ref="C1:E4"/>
    <mergeCell ref="F1:T4"/>
    <mergeCell ref="U1:W1"/>
    <mergeCell ref="U2:V2"/>
    <mergeCell ref="U3:W4"/>
    <mergeCell ref="C5:W5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X102:X127"/>
    <mergeCell ref="Y102:Y127"/>
    <mergeCell ref="J102:J127"/>
    <mergeCell ref="I102:I127"/>
    <mergeCell ref="H102:H127"/>
    <mergeCell ref="G102:G127"/>
    <mergeCell ref="F102:F127"/>
    <mergeCell ref="E102:E127"/>
    <mergeCell ref="D102:D127"/>
    <mergeCell ref="C102:C127"/>
  </mergeCells>
  <phoneticPr fontId="22" type="noConversion"/>
  <dataValidations count="1">
    <dataValidation allowBlank="1" showInputMessage="1" showErrorMessage="1" sqref="L81:L155" xr:uid="{1B8FFE5B-8061-4BCF-9B9B-78F4F068C5A0}"/>
  </dataValidations>
  <hyperlinks>
    <hyperlink ref="Y81" r:id="rId1" xr:uid="{ECC3D740-466C-4E47-A6AD-4039567B74F0}"/>
    <hyperlink ref="Y82:Y94" r:id="rId2" display="SOPORTE" xr:uid="{6A857D98-3280-4362-A36B-A430CE87AAA8}"/>
    <hyperlink ref="Y95:Y101" r:id="rId3" display="SOPORTE" xr:uid="{FBBFFD58-7826-4058-9A8B-F58A047461D9}"/>
    <hyperlink ref="Y102:Y127" r:id="rId4" display="SOPORTE" xr:uid="{403D28C3-930D-438D-B2AA-7774025C1DCD}"/>
    <hyperlink ref="Y128" r:id="rId5" xr:uid="{FB106F17-3A47-48BC-AE78-9C1D264CA0DE}"/>
  </hyperlinks>
  <pageMargins left="0.7" right="0.7" top="0.75" bottom="0.75" header="0.3" footer="0.3"/>
  <pageSetup orientation="portrait" horizontalDpi="4294967294" verticalDpi="4294967294"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L19:L80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1"/>
  <sheetViews>
    <sheetView workbookViewId="0">
      <pane xSplit="1" ySplit="1" topLeftCell="B414" activePane="bottomRight" state="frozen"/>
      <selection pane="bottomRight" activeCell="B432" sqref="B432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2" t="s">
        <v>21</v>
      </c>
      <c r="B1" s="12" t="s">
        <v>49</v>
      </c>
      <c r="C1" s="12" t="s">
        <v>48</v>
      </c>
    </row>
    <row r="2" spans="1:3">
      <c r="A2" t="s">
        <v>62</v>
      </c>
      <c r="B2" s="35" t="s">
        <v>186</v>
      </c>
      <c r="C2" s="36" t="s">
        <v>123</v>
      </c>
    </row>
    <row r="3" spans="1:3">
      <c r="A3" t="s">
        <v>92</v>
      </c>
      <c r="B3" s="35" t="s">
        <v>65</v>
      </c>
      <c r="C3" s="36" t="s">
        <v>128</v>
      </c>
    </row>
    <row r="4" spans="1:3">
      <c r="A4" t="s">
        <v>62</v>
      </c>
      <c r="B4" s="35" t="s">
        <v>187</v>
      </c>
      <c r="C4" s="36" t="s">
        <v>128</v>
      </c>
    </row>
    <row r="5" spans="1:3">
      <c r="A5" t="s">
        <v>92</v>
      </c>
      <c r="B5" s="35" t="s">
        <v>188</v>
      </c>
      <c r="C5" s="36" t="s">
        <v>128</v>
      </c>
    </row>
    <row r="6" spans="1:3">
      <c r="A6" t="s">
        <v>92</v>
      </c>
      <c r="B6" s="35" t="s">
        <v>189</v>
      </c>
      <c r="C6" s="36" t="s">
        <v>128</v>
      </c>
    </row>
    <row r="7" spans="1:3">
      <c r="A7" t="s">
        <v>62</v>
      </c>
      <c r="B7" s="35" t="s">
        <v>190</v>
      </c>
      <c r="C7" s="36" t="s">
        <v>128</v>
      </c>
    </row>
    <row r="8" spans="1:3">
      <c r="A8" t="s">
        <v>62</v>
      </c>
      <c r="B8" s="35" t="s">
        <v>191</v>
      </c>
      <c r="C8" s="36" t="s">
        <v>128</v>
      </c>
    </row>
    <row r="9" spans="1:3">
      <c r="A9" t="s">
        <v>62</v>
      </c>
      <c r="B9" s="35" t="s">
        <v>192</v>
      </c>
      <c r="C9" s="36" t="s">
        <v>128</v>
      </c>
    </row>
    <row r="10" spans="1:3">
      <c r="A10" t="s">
        <v>62</v>
      </c>
      <c r="B10" s="35" t="s">
        <v>120</v>
      </c>
      <c r="C10" s="36" t="s">
        <v>128</v>
      </c>
    </row>
    <row r="11" spans="1:3">
      <c r="A11" t="s">
        <v>62</v>
      </c>
      <c r="B11" s="35" t="s">
        <v>193</v>
      </c>
      <c r="C11" s="36" t="s">
        <v>194</v>
      </c>
    </row>
    <row r="12" spans="1:3">
      <c r="A12" t="s">
        <v>92</v>
      </c>
      <c r="B12" s="35" t="s">
        <v>64</v>
      </c>
      <c r="C12" s="36" t="s">
        <v>194</v>
      </c>
    </row>
    <row r="13" spans="1:3">
      <c r="A13" t="s">
        <v>92</v>
      </c>
      <c r="B13" s="44" t="s">
        <v>195</v>
      </c>
      <c r="C13" s="36" t="s">
        <v>194</v>
      </c>
    </row>
    <row r="14" spans="1:3">
      <c r="A14" t="s">
        <v>92</v>
      </c>
      <c r="B14" s="35" t="s">
        <v>196</v>
      </c>
      <c r="C14" s="36" t="s">
        <v>128</v>
      </c>
    </row>
    <row r="15" spans="1:3">
      <c r="A15" t="s">
        <v>62</v>
      </c>
      <c r="B15" s="35" t="s">
        <v>197</v>
      </c>
      <c r="C15" s="36" t="s">
        <v>123</v>
      </c>
    </row>
    <row r="16" spans="1:3">
      <c r="A16" t="s">
        <v>92</v>
      </c>
      <c r="B16" s="35" t="s">
        <v>198</v>
      </c>
      <c r="C16" s="36" t="s">
        <v>128</v>
      </c>
    </row>
    <row r="17" spans="1:3">
      <c r="A17" t="s">
        <v>62</v>
      </c>
      <c r="B17" s="35" t="s">
        <v>199</v>
      </c>
      <c r="C17" s="36" t="s">
        <v>123</v>
      </c>
    </row>
    <row r="18" spans="1:3">
      <c r="A18" t="s">
        <v>62</v>
      </c>
      <c r="B18" s="35" t="s">
        <v>105</v>
      </c>
      <c r="C18" s="36" t="s">
        <v>128</v>
      </c>
    </row>
    <row r="19" spans="1:3">
      <c r="A19" t="s">
        <v>62</v>
      </c>
      <c r="B19" s="35" t="s">
        <v>200</v>
      </c>
      <c r="C19" s="36" t="s">
        <v>123</v>
      </c>
    </row>
    <row r="20" spans="1:3">
      <c r="A20" t="s">
        <v>92</v>
      </c>
      <c r="B20" s="35" t="s">
        <v>201</v>
      </c>
      <c r="C20" s="36" t="s">
        <v>128</v>
      </c>
    </row>
    <row r="21" spans="1:3">
      <c r="A21" t="s">
        <v>62</v>
      </c>
      <c r="B21" s="35" t="s">
        <v>202</v>
      </c>
      <c r="C21" s="36" t="s">
        <v>128</v>
      </c>
    </row>
    <row r="22" spans="1:3">
      <c r="A22" t="s">
        <v>62</v>
      </c>
      <c r="B22" s="35" t="s">
        <v>203</v>
      </c>
      <c r="C22" s="36" t="s">
        <v>128</v>
      </c>
    </row>
    <row r="23" spans="1:3">
      <c r="A23" t="s">
        <v>62</v>
      </c>
      <c r="B23" s="35" t="s">
        <v>204</v>
      </c>
      <c r="C23" s="36" t="s">
        <v>128</v>
      </c>
    </row>
    <row r="24" spans="1:3">
      <c r="A24" t="s">
        <v>62</v>
      </c>
      <c r="B24" s="35" t="s">
        <v>205</v>
      </c>
      <c r="C24" s="36" t="s">
        <v>128</v>
      </c>
    </row>
    <row r="25" spans="1:3">
      <c r="A25" t="s">
        <v>62</v>
      </c>
      <c r="B25" s="35" t="s">
        <v>79</v>
      </c>
      <c r="C25" s="36" t="s">
        <v>128</v>
      </c>
    </row>
    <row r="26" spans="1:3">
      <c r="A26" t="s">
        <v>92</v>
      </c>
      <c r="B26" s="35" t="s">
        <v>206</v>
      </c>
      <c r="C26" s="36" t="s">
        <v>123</v>
      </c>
    </row>
    <row r="27" spans="1:3">
      <c r="A27" t="s">
        <v>62</v>
      </c>
      <c r="B27" s="35" t="s">
        <v>207</v>
      </c>
      <c r="C27" s="36" t="s">
        <v>123</v>
      </c>
    </row>
    <row r="28" spans="1:3">
      <c r="A28" t="s">
        <v>92</v>
      </c>
      <c r="B28" s="35" t="s">
        <v>208</v>
      </c>
      <c r="C28" s="36" t="s">
        <v>123</v>
      </c>
    </row>
    <row r="29" spans="1:3">
      <c r="A29" t="s">
        <v>62</v>
      </c>
      <c r="B29" s="35" t="s">
        <v>209</v>
      </c>
      <c r="C29" s="36" t="s">
        <v>123</v>
      </c>
    </row>
    <row r="30" spans="1:3">
      <c r="A30" t="s">
        <v>62</v>
      </c>
      <c r="B30" s="35" t="s">
        <v>210</v>
      </c>
      <c r="C30" s="36" t="s">
        <v>123</v>
      </c>
    </row>
    <row r="31" spans="1:3">
      <c r="A31" t="s">
        <v>92</v>
      </c>
      <c r="B31" s="35" t="s">
        <v>211</v>
      </c>
      <c r="C31" s="36" t="s">
        <v>128</v>
      </c>
    </row>
    <row r="32" spans="1:3">
      <c r="A32" t="s">
        <v>92</v>
      </c>
      <c r="B32" s="35" t="s">
        <v>212</v>
      </c>
      <c r="C32" s="36" t="s">
        <v>128</v>
      </c>
    </row>
    <row r="33" spans="1:3">
      <c r="A33" t="s">
        <v>62</v>
      </c>
      <c r="B33" s="35" t="s">
        <v>213</v>
      </c>
      <c r="C33" s="36" t="s">
        <v>123</v>
      </c>
    </row>
    <row r="34" spans="1:3">
      <c r="A34" t="s">
        <v>62</v>
      </c>
      <c r="B34" s="35" t="s">
        <v>214</v>
      </c>
      <c r="C34" s="36" t="s">
        <v>123</v>
      </c>
    </row>
    <row r="35" spans="1:3">
      <c r="A35" t="s">
        <v>62</v>
      </c>
      <c r="B35" s="35" t="s">
        <v>215</v>
      </c>
      <c r="C35" s="36" t="s">
        <v>123</v>
      </c>
    </row>
    <row r="36" spans="1:3">
      <c r="A36" t="s">
        <v>62</v>
      </c>
      <c r="B36" s="35" t="s">
        <v>216</v>
      </c>
      <c r="C36" s="36" t="s">
        <v>128</v>
      </c>
    </row>
    <row r="37" spans="1:3">
      <c r="A37" t="s">
        <v>62</v>
      </c>
      <c r="B37" s="35" t="s">
        <v>217</v>
      </c>
      <c r="C37" s="36" t="s">
        <v>128</v>
      </c>
    </row>
    <row r="38" spans="1:3">
      <c r="A38" t="s">
        <v>92</v>
      </c>
      <c r="B38" s="35" t="s">
        <v>218</v>
      </c>
      <c r="C38" s="36" t="s">
        <v>123</v>
      </c>
    </row>
    <row r="39" spans="1:3">
      <c r="A39" t="s">
        <v>92</v>
      </c>
      <c r="B39" s="35" t="s">
        <v>219</v>
      </c>
      <c r="C39" s="36" t="s">
        <v>128</v>
      </c>
    </row>
    <row r="40" spans="1:3">
      <c r="A40" t="s">
        <v>92</v>
      </c>
      <c r="B40" s="35" t="s">
        <v>220</v>
      </c>
      <c r="C40" s="36" t="s">
        <v>123</v>
      </c>
    </row>
    <row r="41" spans="1:3">
      <c r="A41" t="s">
        <v>62</v>
      </c>
      <c r="B41" s="35" t="s">
        <v>221</v>
      </c>
      <c r="C41" s="36" t="s">
        <v>123</v>
      </c>
    </row>
    <row r="42" spans="1:3">
      <c r="A42" t="s">
        <v>62</v>
      </c>
      <c r="B42" s="35" t="s">
        <v>80</v>
      </c>
      <c r="C42" s="36" t="s">
        <v>128</v>
      </c>
    </row>
    <row r="43" spans="1:3">
      <c r="A43" t="s">
        <v>62</v>
      </c>
      <c r="B43" s="35" t="s">
        <v>222</v>
      </c>
      <c r="C43" s="36" t="s">
        <v>123</v>
      </c>
    </row>
    <row r="44" spans="1:3">
      <c r="A44" t="s">
        <v>62</v>
      </c>
      <c r="B44" s="35" t="s">
        <v>223</v>
      </c>
      <c r="C44" s="36" t="s">
        <v>123</v>
      </c>
    </row>
    <row r="45" spans="1:3">
      <c r="A45" t="s">
        <v>92</v>
      </c>
      <c r="B45" s="35" t="s">
        <v>224</v>
      </c>
      <c r="C45" s="36" t="s">
        <v>123</v>
      </c>
    </row>
    <row r="46" spans="1:3">
      <c r="A46" t="s">
        <v>92</v>
      </c>
      <c r="B46" s="35" t="s">
        <v>225</v>
      </c>
      <c r="C46" s="36" t="s">
        <v>123</v>
      </c>
    </row>
    <row r="47" spans="1:3">
      <c r="A47" t="s">
        <v>92</v>
      </c>
      <c r="B47" s="35" t="s">
        <v>226</v>
      </c>
      <c r="C47" s="36" t="s">
        <v>123</v>
      </c>
    </row>
    <row r="48" spans="1:3">
      <c r="A48" t="s">
        <v>92</v>
      </c>
      <c r="B48" s="35" t="s">
        <v>100</v>
      </c>
      <c r="C48" s="36" t="s">
        <v>123</v>
      </c>
    </row>
    <row r="49" spans="1:3">
      <c r="A49" t="s">
        <v>62</v>
      </c>
      <c r="B49" s="35" t="s">
        <v>227</v>
      </c>
      <c r="C49" s="36" t="s">
        <v>123</v>
      </c>
    </row>
    <row r="50" spans="1:3">
      <c r="A50" t="s">
        <v>62</v>
      </c>
      <c r="B50" s="35" t="s">
        <v>228</v>
      </c>
      <c r="C50" s="36" t="s">
        <v>123</v>
      </c>
    </row>
    <row r="51" spans="1:3">
      <c r="A51" t="s">
        <v>92</v>
      </c>
      <c r="B51" s="35" t="s">
        <v>229</v>
      </c>
      <c r="C51" s="36" t="s">
        <v>123</v>
      </c>
    </row>
    <row r="52" spans="1:3">
      <c r="A52" t="s">
        <v>92</v>
      </c>
      <c r="B52" s="35" t="s">
        <v>230</v>
      </c>
      <c r="C52" s="36" t="s">
        <v>123</v>
      </c>
    </row>
    <row r="53" spans="1:3">
      <c r="A53" t="s">
        <v>92</v>
      </c>
      <c r="B53" s="35" t="s">
        <v>231</v>
      </c>
      <c r="C53" s="36" t="s">
        <v>123</v>
      </c>
    </row>
    <row r="54" spans="1:3">
      <c r="A54" t="s">
        <v>62</v>
      </c>
      <c r="B54" s="35" t="s">
        <v>232</v>
      </c>
      <c r="C54" s="36" t="s">
        <v>123</v>
      </c>
    </row>
    <row r="55" spans="1:3">
      <c r="A55" t="s">
        <v>62</v>
      </c>
      <c r="B55" s="35" t="s">
        <v>103</v>
      </c>
      <c r="C55" s="36" t="s">
        <v>123</v>
      </c>
    </row>
    <row r="56" spans="1:3">
      <c r="A56" t="s">
        <v>62</v>
      </c>
      <c r="B56" s="35" t="s">
        <v>233</v>
      </c>
      <c r="C56" s="36" t="s">
        <v>123</v>
      </c>
    </row>
    <row r="57" spans="1:3">
      <c r="A57" t="s">
        <v>62</v>
      </c>
      <c r="B57" s="35" t="s">
        <v>234</v>
      </c>
      <c r="C57" s="36" t="s">
        <v>123</v>
      </c>
    </row>
    <row r="58" spans="1:3">
      <c r="A58" t="s">
        <v>62</v>
      </c>
      <c r="B58" s="35" t="s">
        <v>235</v>
      </c>
      <c r="C58" s="36" t="s">
        <v>123</v>
      </c>
    </row>
    <row r="59" spans="1:3">
      <c r="A59" t="s">
        <v>92</v>
      </c>
      <c r="B59" s="35" t="s">
        <v>236</v>
      </c>
      <c r="C59" s="36" t="s">
        <v>123</v>
      </c>
    </row>
    <row r="60" spans="1:3">
      <c r="A60" t="s">
        <v>62</v>
      </c>
      <c r="B60" s="35" t="s">
        <v>86</v>
      </c>
      <c r="C60" s="36" t="s">
        <v>123</v>
      </c>
    </row>
    <row r="61" spans="1:3">
      <c r="A61" t="s">
        <v>62</v>
      </c>
      <c r="B61" s="35" t="s">
        <v>124</v>
      </c>
      <c r="C61" s="36" t="s">
        <v>123</v>
      </c>
    </row>
    <row r="62" spans="1:3">
      <c r="A62" t="s">
        <v>62</v>
      </c>
      <c r="B62" s="35" t="s">
        <v>237</v>
      </c>
      <c r="C62" s="36" t="s">
        <v>123</v>
      </c>
    </row>
    <row r="63" spans="1:3">
      <c r="A63" t="s">
        <v>62</v>
      </c>
      <c r="B63" s="35" t="s">
        <v>85</v>
      </c>
      <c r="C63" s="36" t="s">
        <v>123</v>
      </c>
    </row>
    <row r="64" spans="1:3">
      <c r="A64" t="s">
        <v>62</v>
      </c>
      <c r="B64" s="35" t="s">
        <v>238</v>
      </c>
      <c r="C64" s="36" t="s">
        <v>123</v>
      </c>
    </row>
    <row r="65" spans="1:3">
      <c r="A65" t="s">
        <v>62</v>
      </c>
      <c r="B65" s="35" t="s">
        <v>238</v>
      </c>
      <c r="C65" s="36" t="s">
        <v>128</v>
      </c>
    </row>
    <row r="66" spans="1:3">
      <c r="A66" t="s">
        <v>62</v>
      </c>
      <c r="B66" s="35" t="s">
        <v>239</v>
      </c>
      <c r="C66" s="36" t="s">
        <v>123</v>
      </c>
    </row>
    <row r="67" spans="1:3">
      <c r="A67" t="s">
        <v>92</v>
      </c>
      <c r="B67" s="35" t="s">
        <v>240</v>
      </c>
      <c r="C67" s="36" t="s">
        <v>128</v>
      </c>
    </row>
    <row r="68" spans="1:3">
      <c r="A68" t="s">
        <v>62</v>
      </c>
      <c r="B68" s="35" t="s">
        <v>241</v>
      </c>
      <c r="C68" s="36" t="s">
        <v>123</v>
      </c>
    </row>
    <row r="69" spans="1:3">
      <c r="A69" t="s">
        <v>62</v>
      </c>
      <c r="B69" s="35" t="s">
        <v>242</v>
      </c>
      <c r="C69" s="36" t="s">
        <v>123</v>
      </c>
    </row>
    <row r="70" spans="1:3">
      <c r="A70" t="s">
        <v>62</v>
      </c>
      <c r="B70" s="35" t="s">
        <v>243</v>
      </c>
      <c r="C70" s="36" t="s">
        <v>123</v>
      </c>
    </row>
    <row r="71" spans="1:3">
      <c r="A71" t="s">
        <v>92</v>
      </c>
      <c r="B71" s="35" t="s">
        <v>244</v>
      </c>
      <c r="C71" s="36" t="s">
        <v>123</v>
      </c>
    </row>
    <row r="72" spans="1:3">
      <c r="A72" t="s">
        <v>62</v>
      </c>
      <c r="B72" s="35" t="s">
        <v>245</v>
      </c>
      <c r="C72" s="36" t="s">
        <v>123</v>
      </c>
    </row>
    <row r="73" spans="1:3">
      <c r="A73" t="s">
        <v>92</v>
      </c>
      <c r="B73" s="35" t="s">
        <v>246</v>
      </c>
      <c r="C73" s="36" t="s">
        <v>128</v>
      </c>
    </row>
    <row r="74" spans="1:3">
      <c r="A74" t="s">
        <v>92</v>
      </c>
      <c r="B74" s="35" t="s">
        <v>247</v>
      </c>
      <c r="C74" s="36" t="s">
        <v>123</v>
      </c>
    </row>
    <row r="75" spans="1:3">
      <c r="A75" t="s">
        <v>62</v>
      </c>
      <c r="B75" s="35" t="s">
        <v>248</v>
      </c>
      <c r="C75" s="36" t="s">
        <v>123</v>
      </c>
    </row>
    <row r="76" spans="1:3">
      <c r="A76" t="s">
        <v>92</v>
      </c>
      <c r="B76" s="35" t="s">
        <v>249</v>
      </c>
      <c r="C76" s="36" t="s">
        <v>123</v>
      </c>
    </row>
    <row r="77" spans="1:3">
      <c r="A77" t="s">
        <v>62</v>
      </c>
      <c r="B77" s="35" t="s">
        <v>250</v>
      </c>
      <c r="C77" s="36" t="s">
        <v>123</v>
      </c>
    </row>
    <row r="78" spans="1:3">
      <c r="A78" t="s">
        <v>92</v>
      </c>
      <c r="B78" s="35" t="s">
        <v>251</v>
      </c>
      <c r="C78" s="36" t="s">
        <v>128</v>
      </c>
    </row>
    <row r="79" spans="1:3">
      <c r="A79" t="s">
        <v>62</v>
      </c>
      <c r="B79" s="35" t="s">
        <v>252</v>
      </c>
      <c r="C79" s="36" t="s">
        <v>123</v>
      </c>
    </row>
    <row r="80" spans="1:3">
      <c r="A80" t="s">
        <v>62</v>
      </c>
      <c r="B80" s="35" t="s">
        <v>253</v>
      </c>
      <c r="C80" s="36" t="s">
        <v>123</v>
      </c>
    </row>
    <row r="81" spans="1:3">
      <c r="A81" t="s">
        <v>62</v>
      </c>
      <c r="B81" s="35" t="s">
        <v>254</v>
      </c>
      <c r="C81" s="36" t="s">
        <v>123</v>
      </c>
    </row>
    <row r="82" spans="1:3">
      <c r="A82" t="s">
        <v>62</v>
      </c>
      <c r="B82" s="35" t="s">
        <v>255</v>
      </c>
      <c r="C82" s="36" t="s">
        <v>123</v>
      </c>
    </row>
    <row r="83" spans="1:3">
      <c r="A83" t="s">
        <v>62</v>
      </c>
      <c r="B83" s="35" t="s">
        <v>256</v>
      </c>
      <c r="C83" s="36" t="s">
        <v>128</v>
      </c>
    </row>
    <row r="84" spans="1:3">
      <c r="A84" t="s">
        <v>92</v>
      </c>
      <c r="B84" s="35" t="s">
        <v>257</v>
      </c>
      <c r="C84" s="36" t="s">
        <v>123</v>
      </c>
    </row>
    <row r="85" spans="1:3">
      <c r="A85" t="s">
        <v>62</v>
      </c>
      <c r="B85" s="35" t="s">
        <v>258</v>
      </c>
      <c r="C85" s="36" t="s">
        <v>123</v>
      </c>
    </row>
    <row r="86" spans="1:3">
      <c r="A86" t="s">
        <v>62</v>
      </c>
      <c r="B86" s="35" t="s">
        <v>259</v>
      </c>
      <c r="C86" s="36" t="s">
        <v>128</v>
      </c>
    </row>
    <row r="87" spans="1:3">
      <c r="A87" t="s">
        <v>92</v>
      </c>
      <c r="B87" s="35" t="s">
        <v>260</v>
      </c>
      <c r="C87" s="36" t="s">
        <v>123</v>
      </c>
    </row>
    <row r="88" spans="1:3">
      <c r="A88" t="s">
        <v>62</v>
      </c>
      <c r="B88" s="35" t="s">
        <v>261</v>
      </c>
      <c r="C88" s="36" t="s">
        <v>128</v>
      </c>
    </row>
    <row r="89" spans="1:3">
      <c r="A89" t="s">
        <v>92</v>
      </c>
      <c r="B89" s="35" t="s">
        <v>262</v>
      </c>
      <c r="C89" s="36" t="s">
        <v>123</v>
      </c>
    </row>
    <row r="90" spans="1:3">
      <c r="A90" t="s">
        <v>92</v>
      </c>
      <c r="B90" s="35" t="s">
        <v>104</v>
      </c>
      <c r="C90" s="36" t="s">
        <v>123</v>
      </c>
    </row>
    <row r="91" spans="1:3">
      <c r="A91" t="s">
        <v>62</v>
      </c>
      <c r="B91" s="35" t="s">
        <v>263</v>
      </c>
      <c r="C91" s="36" t="s">
        <v>128</v>
      </c>
    </row>
    <row r="92" spans="1:3">
      <c r="A92" t="s">
        <v>92</v>
      </c>
      <c r="B92" s="35" t="s">
        <v>264</v>
      </c>
      <c r="C92" s="36" t="s">
        <v>128</v>
      </c>
    </row>
    <row r="93" spans="1:3" ht="26.25">
      <c r="A93" t="s">
        <v>92</v>
      </c>
      <c r="B93" s="35" t="s">
        <v>265</v>
      </c>
      <c r="C93" s="36" t="s">
        <v>128</v>
      </c>
    </row>
    <row r="94" spans="1:3">
      <c r="A94" t="s">
        <v>62</v>
      </c>
      <c r="B94" s="35" t="s">
        <v>266</v>
      </c>
      <c r="C94" s="36" t="s">
        <v>123</v>
      </c>
    </row>
    <row r="95" spans="1:3">
      <c r="A95" t="s">
        <v>92</v>
      </c>
      <c r="B95" s="35" t="s">
        <v>267</v>
      </c>
      <c r="C95" s="36" t="s">
        <v>123</v>
      </c>
    </row>
    <row r="96" spans="1:3">
      <c r="A96" t="s">
        <v>92</v>
      </c>
      <c r="B96" s="35" t="s">
        <v>268</v>
      </c>
      <c r="C96" s="36" t="s">
        <v>123</v>
      </c>
    </row>
    <row r="97" spans="1:3">
      <c r="A97" t="s">
        <v>92</v>
      </c>
      <c r="B97" s="35" t="s">
        <v>269</v>
      </c>
      <c r="C97" s="36" t="s">
        <v>123</v>
      </c>
    </row>
    <row r="98" spans="1:3">
      <c r="A98" t="s">
        <v>62</v>
      </c>
      <c r="B98" s="35" t="s">
        <v>270</v>
      </c>
      <c r="C98" s="36" t="s">
        <v>128</v>
      </c>
    </row>
    <row r="99" spans="1:3">
      <c r="A99" t="s">
        <v>92</v>
      </c>
      <c r="B99" s="35" t="s">
        <v>271</v>
      </c>
      <c r="C99" s="36" t="s">
        <v>123</v>
      </c>
    </row>
    <row r="100" spans="1:3">
      <c r="A100" t="s">
        <v>92</v>
      </c>
      <c r="B100" s="35" t="s">
        <v>272</v>
      </c>
      <c r="C100" s="36" t="s">
        <v>128</v>
      </c>
    </row>
    <row r="101" spans="1:3">
      <c r="A101" t="s">
        <v>92</v>
      </c>
      <c r="B101" s="35" t="s">
        <v>273</v>
      </c>
      <c r="C101" s="36" t="s">
        <v>123</v>
      </c>
    </row>
    <row r="102" spans="1:3">
      <c r="A102" t="s">
        <v>92</v>
      </c>
      <c r="B102" s="35" t="s">
        <v>274</v>
      </c>
      <c r="C102" s="36" t="s">
        <v>128</v>
      </c>
    </row>
    <row r="103" spans="1:3">
      <c r="A103" t="s">
        <v>62</v>
      </c>
      <c r="B103" s="35" t="s">
        <v>74</v>
      </c>
      <c r="C103" s="36" t="s">
        <v>128</v>
      </c>
    </row>
    <row r="104" spans="1:3">
      <c r="A104" t="s">
        <v>92</v>
      </c>
      <c r="B104" s="35" t="s">
        <v>275</v>
      </c>
      <c r="C104" s="36" t="s">
        <v>128</v>
      </c>
    </row>
    <row r="105" spans="1:3">
      <c r="A105" t="s">
        <v>62</v>
      </c>
      <c r="B105" s="35" t="s">
        <v>276</v>
      </c>
      <c r="C105" s="36" t="s">
        <v>123</v>
      </c>
    </row>
    <row r="106" spans="1:3">
      <c r="A106" t="s">
        <v>92</v>
      </c>
      <c r="B106" s="35" t="s">
        <v>277</v>
      </c>
      <c r="C106" s="36" t="s">
        <v>123</v>
      </c>
    </row>
    <row r="107" spans="1:3">
      <c r="A107" t="s">
        <v>62</v>
      </c>
      <c r="B107" s="35" t="s">
        <v>278</v>
      </c>
      <c r="C107" s="36" t="s">
        <v>128</v>
      </c>
    </row>
    <row r="108" spans="1:3" ht="26.25">
      <c r="A108" t="s">
        <v>62</v>
      </c>
      <c r="B108" s="35" t="s">
        <v>279</v>
      </c>
      <c r="C108" s="36" t="s">
        <v>128</v>
      </c>
    </row>
    <row r="109" spans="1:3">
      <c r="A109" t="s">
        <v>62</v>
      </c>
      <c r="B109" s="35" t="s">
        <v>280</v>
      </c>
      <c r="C109" s="36" t="s">
        <v>128</v>
      </c>
    </row>
    <row r="110" spans="1:3">
      <c r="A110" t="s">
        <v>62</v>
      </c>
      <c r="B110" s="35" t="s">
        <v>75</v>
      </c>
      <c r="C110" s="36" t="s">
        <v>128</v>
      </c>
    </row>
    <row r="111" spans="1:3">
      <c r="A111" t="s">
        <v>62</v>
      </c>
      <c r="B111" s="35" t="s">
        <v>113</v>
      </c>
      <c r="C111" s="36" t="s">
        <v>128</v>
      </c>
    </row>
    <row r="112" spans="1:3">
      <c r="A112" t="s">
        <v>92</v>
      </c>
      <c r="B112" s="35" t="s">
        <v>76</v>
      </c>
      <c r="C112" s="36" t="s">
        <v>128</v>
      </c>
    </row>
    <row r="113" spans="1:3">
      <c r="A113" t="s">
        <v>62</v>
      </c>
      <c r="B113" s="35" t="s">
        <v>281</v>
      </c>
      <c r="C113" s="36" t="s">
        <v>128</v>
      </c>
    </row>
    <row r="114" spans="1:3">
      <c r="A114" t="s">
        <v>62</v>
      </c>
      <c r="B114" s="35" t="s">
        <v>282</v>
      </c>
      <c r="C114" s="36" t="s">
        <v>128</v>
      </c>
    </row>
    <row r="115" spans="1:3">
      <c r="A115" t="s">
        <v>62</v>
      </c>
      <c r="B115" s="35" t="s">
        <v>283</v>
      </c>
      <c r="C115" s="36" t="s">
        <v>128</v>
      </c>
    </row>
    <row r="116" spans="1:3">
      <c r="A116" t="s">
        <v>92</v>
      </c>
      <c r="B116" s="35" t="s">
        <v>284</v>
      </c>
      <c r="C116" s="36" t="s">
        <v>128</v>
      </c>
    </row>
    <row r="117" spans="1:3">
      <c r="A117" t="s">
        <v>62</v>
      </c>
      <c r="B117" s="35" t="s">
        <v>285</v>
      </c>
      <c r="C117" s="36" t="s">
        <v>123</v>
      </c>
    </row>
    <row r="118" spans="1:3">
      <c r="A118" t="s">
        <v>92</v>
      </c>
      <c r="B118" s="35" t="s">
        <v>118</v>
      </c>
      <c r="C118" s="36" t="s">
        <v>123</v>
      </c>
    </row>
    <row r="119" spans="1:3">
      <c r="A119" t="s">
        <v>62</v>
      </c>
      <c r="B119" s="35" t="s">
        <v>286</v>
      </c>
      <c r="C119" s="36" t="s">
        <v>128</v>
      </c>
    </row>
    <row r="120" spans="1:3" ht="26.25">
      <c r="A120" t="s">
        <v>92</v>
      </c>
      <c r="B120" s="35" t="s">
        <v>119</v>
      </c>
      <c r="C120" s="36" t="s">
        <v>123</v>
      </c>
    </row>
    <row r="121" spans="1:3">
      <c r="A121" t="s">
        <v>62</v>
      </c>
      <c r="B121" s="35" t="s">
        <v>287</v>
      </c>
      <c r="C121" s="36" t="s">
        <v>123</v>
      </c>
    </row>
    <row r="122" spans="1:3">
      <c r="A122" t="s">
        <v>62</v>
      </c>
      <c r="B122" s="35" t="s">
        <v>288</v>
      </c>
      <c r="C122" s="36" t="s">
        <v>128</v>
      </c>
    </row>
    <row r="123" spans="1:3">
      <c r="A123" t="s">
        <v>92</v>
      </c>
      <c r="B123" s="35" t="s">
        <v>289</v>
      </c>
      <c r="C123" s="36" t="s">
        <v>123</v>
      </c>
    </row>
    <row r="124" spans="1:3">
      <c r="A124" t="s">
        <v>92</v>
      </c>
      <c r="B124" s="35" t="s">
        <v>290</v>
      </c>
      <c r="C124" s="36" t="s">
        <v>128</v>
      </c>
    </row>
    <row r="125" spans="1:3">
      <c r="A125" t="s">
        <v>62</v>
      </c>
      <c r="B125" s="35" t="s">
        <v>291</v>
      </c>
      <c r="C125" s="36" t="s">
        <v>128</v>
      </c>
    </row>
    <row r="126" spans="1:3">
      <c r="A126" t="s">
        <v>62</v>
      </c>
      <c r="B126" s="35" t="s">
        <v>292</v>
      </c>
      <c r="C126" s="36" t="s">
        <v>123</v>
      </c>
    </row>
    <row r="127" spans="1:3">
      <c r="A127" t="s">
        <v>62</v>
      </c>
      <c r="B127" s="35" t="s">
        <v>293</v>
      </c>
      <c r="C127" s="36" t="s">
        <v>128</v>
      </c>
    </row>
    <row r="128" spans="1:3">
      <c r="A128" t="s">
        <v>62</v>
      </c>
      <c r="B128" s="35" t="s">
        <v>294</v>
      </c>
      <c r="C128" s="36" t="s">
        <v>123</v>
      </c>
    </row>
    <row r="129" spans="1:3">
      <c r="A129" t="s">
        <v>92</v>
      </c>
      <c r="B129" s="35" t="s">
        <v>295</v>
      </c>
      <c r="C129" s="36" t="s">
        <v>128</v>
      </c>
    </row>
    <row r="130" spans="1:3">
      <c r="A130" t="s">
        <v>62</v>
      </c>
      <c r="B130" s="35" t="s">
        <v>116</v>
      </c>
      <c r="C130" s="36" t="s">
        <v>128</v>
      </c>
    </row>
    <row r="131" spans="1:3">
      <c r="A131" t="s">
        <v>62</v>
      </c>
      <c r="B131" s="35" t="s">
        <v>296</v>
      </c>
      <c r="C131" s="36" t="s">
        <v>123</v>
      </c>
    </row>
    <row r="132" spans="1:3">
      <c r="A132" t="s">
        <v>92</v>
      </c>
      <c r="B132" s="35" t="s">
        <v>297</v>
      </c>
      <c r="C132" s="36" t="s">
        <v>123</v>
      </c>
    </row>
    <row r="133" spans="1:3">
      <c r="A133" t="s">
        <v>92</v>
      </c>
      <c r="B133" s="35" t="s">
        <v>298</v>
      </c>
      <c r="C133" s="36" t="s">
        <v>123</v>
      </c>
    </row>
    <row r="134" spans="1:3">
      <c r="A134" t="s">
        <v>92</v>
      </c>
      <c r="B134" s="35" t="s">
        <v>299</v>
      </c>
      <c r="C134" s="36" t="s">
        <v>123</v>
      </c>
    </row>
    <row r="135" spans="1:3">
      <c r="A135" t="s">
        <v>92</v>
      </c>
      <c r="B135" s="35" t="s">
        <v>300</v>
      </c>
      <c r="C135" s="36" t="s">
        <v>123</v>
      </c>
    </row>
    <row r="136" spans="1:3">
      <c r="A136" t="s">
        <v>92</v>
      </c>
      <c r="B136" s="35" t="s">
        <v>301</v>
      </c>
      <c r="C136" s="36" t="s">
        <v>123</v>
      </c>
    </row>
    <row r="137" spans="1:3">
      <c r="A137" t="s">
        <v>92</v>
      </c>
      <c r="B137" s="35" t="s">
        <v>302</v>
      </c>
      <c r="C137" s="36" t="s">
        <v>123</v>
      </c>
    </row>
    <row r="138" spans="1:3">
      <c r="A138" t="s">
        <v>62</v>
      </c>
      <c r="B138" s="35" t="s">
        <v>303</v>
      </c>
      <c r="C138" s="36" t="s">
        <v>123</v>
      </c>
    </row>
    <row r="139" spans="1:3">
      <c r="A139" t="s">
        <v>62</v>
      </c>
      <c r="B139" s="35" t="s">
        <v>304</v>
      </c>
      <c r="C139" s="36" t="s">
        <v>128</v>
      </c>
    </row>
    <row r="140" spans="1:3">
      <c r="A140" t="s">
        <v>62</v>
      </c>
      <c r="B140" s="35" t="s">
        <v>305</v>
      </c>
      <c r="C140" s="36" t="s">
        <v>128</v>
      </c>
    </row>
    <row r="141" spans="1:3">
      <c r="A141" t="s">
        <v>62</v>
      </c>
      <c r="B141" s="35" t="s">
        <v>306</v>
      </c>
      <c r="C141" s="36" t="s">
        <v>128</v>
      </c>
    </row>
    <row r="142" spans="1:3">
      <c r="A142" t="s">
        <v>62</v>
      </c>
      <c r="B142" s="35" t="s">
        <v>307</v>
      </c>
      <c r="C142" s="36" t="s">
        <v>128</v>
      </c>
    </row>
    <row r="143" spans="1:3" ht="26.25">
      <c r="A143" t="s">
        <v>62</v>
      </c>
      <c r="B143" s="35" t="s">
        <v>308</v>
      </c>
      <c r="C143" s="36" t="s">
        <v>128</v>
      </c>
    </row>
    <row r="144" spans="1:3">
      <c r="A144" t="s">
        <v>62</v>
      </c>
      <c r="B144" s="35" t="s">
        <v>309</v>
      </c>
      <c r="C144" s="36" t="s">
        <v>123</v>
      </c>
    </row>
    <row r="145" spans="1:3">
      <c r="A145" t="s">
        <v>62</v>
      </c>
      <c r="B145" s="35" t="s">
        <v>310</v>
      </c>
      <c r="C145" s="36" t="s">
        <v>128</v>
      </c>
    </row>
    <row r="146" spans="1:3">
      <c r="A146" t="s">
        <v>62</v>
      </c>
      <c r="B146" s="35" t="s">
        <v>311</v>
      </c>
      <c r="C146" s="36" t="s">
        <v>128</v>
      </c>
    </row>
    <row r="147" spans="1:3">
      <c r="A147" t="s">
        <v>62</v>
      </c>
      <c r="B147" s="35" t="s">
        <v>312</v>
      </c>
      <c r="C147" s="36" t="s">
        <v>128</v>
      </c>
    </row>
    <row r="148" spans="1:3">
      <c r="A148" t="s">
        <v>92</v>
      </c>
      <c r="B148" s="35" t="s">
        <v>313</v>
      </c>
      <c r="C148" s="36" t="s">
        <v>123</v>
      </c>
    </row>
    <row r="149" spans="1:3">
      <c r="A149" t="s">
        <v>62</v>
      </c>
      <c r="B149" s="35" t="s">
        <v>314</v>
      </c>
      <c r="C149" s="36" t="s">
        <v>123</v>
      </c>
    </row>
    <row r="150" spans="1:3">
      <c r="A150" t="s">
        <v>62</v>
      </c>
      <c r="B150" s="35" t="s">
        <v>315</v>
      </c>
      <c r="C150" s="36" t="s">
        <v>123</v>
      </c>
    </row>
    <row r="151" spans="1:3">
      <c r="A151" t="s">
        <v>92</v>
      </c>
      <c r="B151" s="35" t="s">
        <v>316</v>
      </c>
      <c r="C151" s="36" t="s">
        <v>123</v>
      </c>
    </row>
    <row r="152" spans="1:3">
      <c r="A152" t="s">
        <v>62</v>
      </c>
      <c r="B152" s="35" t="s">
        <v>317</v>
      </c>
      <c r="C152" s="36" t="s">
        <v>123</v>
      </c>
    </row>
    <row r="153" spans="1:3">
      <c r="A153" t="s">
        <v>62</v>
      </c>
      <c r="B153" s="35" t="s">
        <v>318</v>
      </c>
      <c r="C153" s="36" t="s">
        <v>123</v>
      </c>
    </row>
    <row r="154" spans="1:3">
      <c r="A154" t="s">
        <v>62</v>
      </c>
      <c r="B154" s="35" t="s">
        <v>319</v>
      </c>
      <c r="C154" s="36" t="s">
        <v>123</v>
      </c>
    </row>
    <row r="155" spans="1:3">
      <c r="A155" t="s">
        <v>62</v>
      </c>
      <c r="B155" s="35" t="s">
        <v>320</v>
      </c>
      <c r="C155" s="36" t="s">
        <v>123</v>
      </c>
    </row>
    <row r="156" spans="1:3">
      <c r="A156" t="s">
        <v>62</v>
      </c>
      <c r="B156" s="35" t="s">
        <v>321</v>
      </c>
      <c r="C156" s="36" t="s">
        <v>123</v>
      </c>
    </row>
    <row r="157" spans="1:3">
      <c r="A157" t="s">
        <v>62</v>
      </c>
      <c r="B157" s="35" t="s">
        <v>322</v>
      </c>
      <c r="C157" s="36" t="s">
        <v>123</v>
      </c>
    </row>
    <row r="158" spans="1:3">
      <c r="A158" t="s">
        <v>92</v>
      </c>
      <c r="B158" s="35" t="s">
        <v>323</v>
      </c>
      <c r="C158" s="36" t="s">
        <v>123</v>
      </c>
    </row>
    <row r="159" spans="1:3">
      <c r="A159" t="s">
        <v>92</v>
      </c>
      <c r="B159" s="35" t="s">
        <v>324</v>
      </c>
      <c r="C159" s="36" t="s">
        <v>128</v>
      </c>
    </row>
    <row r="160" spans="1:3">
      <c r="A160" t="s">
        <v>92</v>
      </c>
      <c r="B160" s="35" t="s">
        <v>325</v>
      </c>
      <c r="C160" s="36" t="s">
        <v>123</v>
      </c>
    </row>
    <row r="161" spans="1:3">
      <c r="A161" t="s">
        <v>92</v>
      </c>
      <c r="B161" s="35" t="s">
        <v>326</v>
      </c>
      <c r="C161" s="36" t="s">
        <v>123</v>
      </c>
    </row>
    <row r="162" spans="1:3">
      <c r="A162" t="s">
        <v>92</v>
      </c>
      <c r="B162" s="35" t="s">
        <v>327</v>
      </c>
      <c r="C162" s="36" t="s">
        <v>128</v>
      </c>
    </row>
    <row r="163" spans="1:3">
      <c r="A163" t="s">
        <v>62</v>
      </c>
      <c r="B163" s="35" t="s">
        <v>328</v>
      </c>
      <c r="C163" s="36" t="s">
        <v>128</v>
      </c>
    </row>
    <row r="164" spans="1:3">
      <c r="A164" t="s">
        <v>62</v>
      </c>
      <c r="B164" s="35" t="s">
        <v>329</v>
      </c>
      <c r="C164" s="36" t="s">
        <v>128</v>
      </c>
    </row>
    <row r="165" spans="1:3">
      <c r="A165" t="s">
        <v>62</v>
      </c>
      <c r="B165" s="35" t="s">
        <v>330</v>
      </c>
      <c r="C165" s="36" t="s">
        <v>128</v>
      </c>
    </row>
    <row r="166" spans="1:3">
      <c r="A166" t="s">
        <v>92</v>
      </c>
      <c r="B166" s="35" t="s">
        <v>331</v>
      </c>
      <c r="C166" s="36" t="s">
        <v>123</v>
      </c>
    </row>
    <row r="167" spans="1:3">
      <c r="A167" t="s">
        <v>92</v>
      </c>
      <c r="B167" s="35" t="s">
        <v>332</v>
      </c>
      <c r="C167" s="36" t="s">
        <v>128</v>
      </c>
    </row>
    <row r="168" spans="1:3">
      <c r="A168" t="s">
        <v>62</v>
      </c>
      <c r="B168" s="35" t="s">
        <v>333</v>
      </c>
      <c r="C168" s="36" t="s">
        <v>123</v>
      </c>
    </row>
    <row r="169" spans="1:3">
      <c r="A169" t="s">
        <v>62</v>
      </c>
      <c r="B169" s="35" t="s">
        <v>334</v>
      </c>
      <c r="C169" s="36" t="s">
        <v>123</v>
      </c>
    </row>
    <row r="170" spans="1:3">
      <c r="A170" t="s">
        <v>62</v>
      </c>
      <c r="B170" s="35" t="s">
        <v>335</v>
      </c>
      <c r="C170" s="36" t="s">
        <v>123</v>
      </c>
    </row>
    <row r="171" spans="1:3">
      <c r="A171" t="s">
        <v>62</v>
      </c>
      <c r="B171" s="35" t="s">
        <v>336</v>
      </c>
      <c r="C171" s="36" t="s">
        <v>123</v>
      </c>
    </row>
    <row r="172" spans="1:3">
      <c r="A172" t="s">
        <v>62</v>
      </c>
      <c r="B172" s="35" t="s">
        <v>337</v>
      </c>
      <c r="C172" s="36" t="s">
        <v>123</v>
      </c>
    </row>
    <row r="173" spans="1:3">
      <c r="A173" t="s">
        <v>62</v>
      </c>
      <c r="B173" s="35" t="s">
        <v>338</v>
      </c>
      <c r="C173" s="36" t="s">
        <v>123</v>
      </c>
    </row>
    <row r="174" spans="1:3" ht="26.25">
      <c r="A174" t="s">
        <v>62</v>
      </c>
      <c r="B174" s="35" t="s">
        <v>339</v>
      </c>
      <c r="C174" s="36" t="s">
        <v>123</v>
      </c>
    </row>
    <row r="175" spans="1:3">
      <c r="A175" t="s">
        <v>62</v>
      </c>
      <c r="B175" s="35" t="s">
        <v>340</v>
      </c>
      <c r="C175" s="36" t="s">
        <v>123</v>
      </c>
    </row>
    <row r="176" spans="1:3">
      <c r="A176" t="s">
        <v>62</v>
      </c>
      <c r="B176" s="35" t="s">
        <v>341</v>
      </c>
      <c r="C176" s="36" t="s">
        <v>123</v>
      </c>
    </row>
    <row r="177" spans="1:3">
      <c r="A177" t="s">
        <v>62</v>
      </c>
      <c r="B177" s="35" t="s">
        <v>342</v>
      </c>
      <c r="C177" s="36" t="s">
        <v>123</v>
      </c>
    </row>
    <row r="178" spans="1:3" ht="26.25">
      <c r="A178" t="s">
        <v>62</v>
      </c>
      <c r="B178" s="35" t="s">
        <v>343</v>
      </c>
      <c r="C178" s="36" t="s">
        <v>123</v>
      </c>
    </row>
    <row r="179" spans="1:3">
      <c r="A179" t="s">
        <v>92</v>
      </c>
      <c r="B179" s="44" t="s">
        <v>344</v>
      </c>
      <c r="C179" s="36" t="s">
        <v>123</v>
      </c>
    </row>
    <row r="180" spans="1:3">
      <c r="A180" t="s">
        <v>62</v>
      </c>
      <c r="B180" s="35" t="s">
        <v>345</v>
      </c>
      <c r="C180" s="36" t="s">
        <v>123</v>
      </c>
    </row>
    <row r="181" spans="1:3">
      <c r="A181" t="s">
        <v>92</v>
      </c>
      <c r="B181" s="44" t="s">
        <v>346</v>
      </c>
      <c r="C181" s="36" t="s">
        <v>123</v>
      </c>
    </row>
    <row r="182" spans="1:3">
      <c r="A182" t="s">
        <v>92</v>
      </c>
      <c r="B182" s="35" t="s">
        <v>347</v>
      </c>
      <c r="C182" s="36" t="s">
        <v>123</v>
      </c>
    </row>
    <row r="183" spans="1:3">
      <c r="A183" t="s">
        <v>92</v>
      </c>
      <c r="B183" s="35" t="s">
        <v>348</v>
      </c>
      <c r="C183" s="36" t="s">
        <v>123</v>
      </c>
    </row>
    <row r="184" spans="1:3">
      <c r="A184" t="s">
        <v>62</v>
      </c>
      <c r="B184" s="35" t="s">
        <v>349</v>
      </c>
      <c r="C184" s="36" t="s">
        <v>123</v>
      </c>
    </row>
    <row r="185" spans="1:3">
      <c r="A185" t="s">
        <v>62</v>
      </c>
      <c r="B185" s="35" t="s">
        <v>350</v>
      </c>
      <c r="C185" s="36" t="s">
        <v>123</v>
      </c>
    </row>
    <row r="186" spans="1:3" ht="26.25">
      <c r="A186" t="s">
        <v>92</v>
      </c>
      <c r="B186" s="35" t="s">
        <v>351</v>
      </c>
      <c r="C186" s="36" t="s">
        <v>128</v>
      </c>
    </row>
    <row r="187" spans="1:3">
      <c r="A187" t="s">
        <v>92</v>
      </c>
      <c r="B187" s="35" t="s">
        <v>352</v>
      </c>
      <c r="C187" s="36" t="s">
        <v>123</v>
      </c>
    </row>
    <row r="188" spans="1:3">
      <c r="A188" t="s">
        <v>92</v>
      </c>
      <c r="B188" s="35" t="s">
        <v>353</v>
      </c>
      <c r="C188" s="36" t="s">
        <v>123</v>
      </c>
    </row>
    <row r="189" spans="1:3">
      <c r="A189" t="s">
        <v>92</v>
      </c>
      <c r="B189" s="35" t="s">
        <v>354</v>
      </c>
      <c r="C189" s="36" t="s">
        <v>123</v>
      </c>
    </row>
    <row r="190" spans="1:3">
      <c r="A190" t="s">
        <v>62</v>
      </c>
      <c r="B190" s="35" t="s">
        <v>98</v>
      </c>
      <c r="C190" s="36" t="s">
        <v>123</v>
      </c>
    </row>
    <row r="191" spans="1:3">
      <c r="A191" t="s">
        <v>62</v>
      </c>
      <c r="B191" s="35" t="s">
        <v>355</v>
      </c>
      <c r="C191" s="36" t="s">
        <v>123</v>
      </c>
    </row>
    <row r="192" spans="1:3">
      <c r="A192" t="s">
        <v>62</v>
      </c>
      <c r="B192" s="35" t="s">
        <v>356</v>
      </c>
      <c r="C192" s="36" t="s">
        <v>123</v>
      </c>
    </row>
    <row r="193" spans="1:3">
      <c r="A193" t="s">
        <v>92</v>
      </c>
      <c r="B193" s="35" t="s">
        <v>357</v>
      </c>
      <c r="C193" s="36" t="s">
        <v>123</v>
      </c>
    </row>
    <row r="194" spans="1:3">
      <c r="A194" t="s">
        <v>62</v>
      </c>
      <c r="B194" s="35" t="s">
        <v>358</v>
      </c>
      <c r="C194" s="36" t="s">
        <v>123</v>
      </c>
    </row>
    <row r="195" spans="1:3">
      <c r="A195" t="s">
        <v>92</v>
      </c>
      <c r="B195" s="35" t="s">
        <v>359</v>
      </c>
      <c r="C195" s="36" t="s">
        <v>123</v>
      </c>
    </row>
    <row r="196" spans="1:3">
      <c r="A196" t="s">
        <v>62</v>
      </c>
      <c r="B196" s="35" t="s">
        <v>360</v>
      </c>
      <c r="C196" s="36" t="s">
        <v>123</v>
      </c>
    </row>
    <row r="197" spans="1:3">
      <c r="A197" t="s">
        <v>92</v>
      </c>
      <c r="B197" s="35" t="s">
        <v>361</v>
      </c>
      <c r="C197" s="36" t="s">
        <v>123</v>
      </c>
    </row>
    <row r="198" spans="1:3">
      <c r="A198" t="s">
        <v>62</v>
      </c>
      <c r="B198" s="35" t="s">
        <v>362</v>
      </c>
      <c r="C198" s="36" t="s">
        <v>123</v>
      </c>
    </row>
    <row r="199" spans="1:3">
      <c r="A199" t="s">
        <v>62</v>
      </c>
      <c r="B199" s="35" t="s">
        <v>111</v>
      </c>
      <c r="C199" s="36" t="s">
        <v>128</v>
      </c>
    </row>
    <row r="200" spans="1:3">
      <c r="A200" t="s">
        <v>62</v>
      </c>
      <c r="B200" s="35" t="s">
        <v>363</v>
      </c>
      <c r="C200" s="36" t="s">
        <v>123</v>
      </c>
    </row>
    <row r="201" spans="1:3">
      <c r="A201" t="s">
        <v>92</v>
      </c>
      <c r="B201" s="35" t="s">
        <v>364</v>
      </c>
      <c r="C201" s="36" t="s">
        <v>123</v>
      </c>
    </row>
    <row r="202" spans="1:3">
      <c r="A202" t="s">
        <v>62</v>
      </c>
      <c r="B202" s="35" t="s">
        <v>365</v>
      </c>
      <c r="C202" s="36" t="s">
        <v>128</v>
      </c>
    </row>
    <row r="203" spans="1:3">
      <c r="A203" t="s">
        <v>62</v>
      </c>
      <c r="B203" s="35" t="s">
        <v>366</v>
      </c>
      <c r="C203" s="36" t="s">
        <v>123</v>
      </c>
    </row>
    <row r="204" spans="1:3">
      <c r="A204" t="s">
        <v>92</v>
      </c>
      <c r="B204" s="35" t="s">
        <v>367</v>
      </c>
      <c r="C204" s="36" t="s">
        <v>123</v>
      </c>
    </row>
    <row r="205" spans="1:3">
      <c r="A205" t="s">
        <v>62</v>
      </c>
      <c r="B205" s="35" t="s">
        <v>368</v>
      </c>
      <c r="C205" s="36" t="s">
        <v>123</v>
      </c>
    </row>
    <row r="206" spans="1:3">
      <c r="A206" t="s">
        <v>62</v>
      </c>
      <c r="B206" s="35" t="s">
        <v>369</v>
      </c>
      <c r="C206" s="36" t="s">
        <v>123</v>
      </c>
    </row>
    <row r="207" spans="1:3">
      <c r="A207" t="s">
        <v>62</v>
      </c>
      <c r="B207" s="35" t="s">
        <v>370</v>
      </c>
      <c r="C207" s="36" t="s">
        <v>128</v>
      </c>
    </row>
    <row r="208" spans="1:3">
      <c r="A208" t="s">
        <v>62</v>
      </c>
      <c r="B208" s="35" t="s">
        <v>371</v>
      </c>
      <c r="C208" s="36" t="s">
        <v>123</v>
      </c>
    </row>
    <row r="209" spans="1:3">
      <c r="A209" t="s">
        <v>62</v>
      </c>
      <c r="B209" s="35" t="s">
        <v>108</v>
      </c>
      <c r="C209" s="36" t="s">
        <v>194</v>
      </c>
    </row>
    <row r="210" spans="1:3">
      <c r="A210" t="s">
        <v>62</v>
      </c>
      <c r="B210" s="35" t="s">
        <v>66</v>
      </c>
      <c r="C210" s="36" t="s">
        <v>128</v>
      </c>
    </row>
    <row r="211" spans="1:3">
      <c r="A211" t="s">
        <v>62</v>
      </c>
      <c r="B211" s="35" t="s">
        <v>67</v>
      </c>
      <c r="C211" s="36" t="s">
        <v>128</v>
      </c>
    </row>
    <row r="212" spans="1:3">
      <c r="A212" t="s">
        <v>62</v>
      </c>
      <c r="B212" s="35" t="s">
        <v>68</v>
      </c>
      <c r="C212" s="36" t="s">
        <v>128</v>
      </c>
    </row>
    <row r="213" spans="1:3">
      <c r="A213" t="s">
        <v>62</v>
      </c>
      <c r="B213" s="35" t="s">
        <v>372</v>
      </c>
      <c r="C213" s="36" t="s">
        <v>128</v>
      </c>
    </row>
    <row r="214" spans="1:3">
      <c r="A214" t="s">
        <v>92</v>
      </c>
      <c r="B214" s="35" t="s">
        <v>373</v>
      </c>
      <c r="C214" s="36" t="s">
        <v>123</v>
      </c>
    </row>
    <row r="215" spans="1:3">
      <c r="A215" t="s">
        <v>62</v>
      </c>
      <c r="B215" s="35" t="s">
        <v>374</v>
      </c>
      <c r="C215" s="36" t="s">
        <v>128</v>
      </c>
    </row>
    <row r="216" spans="1:3">
      <c r="A216" t="s">
        <v>62</v>
      </c>
      <c r="B216" s="35" t="s">
        <v>102</v>
      </c>
      <c r="C216" s="36" t="s">
        <v>128</v>
      </c>
    </row>
    <row r="217" spans="1:3">
      <c r="A217" t="s">
        <v>92</v>
      </c>
      <c r="B217" s="35" t="s">
        <v>375</v>
      </c>
      <c r="C217" s="36" t="s">
        <v>128</v>
      </c>
    </row>
    <row r="218" spans="1:3">
      <c r="A218" t="s">
        <v>92</v>
      </c>
      <c r="B218" s="35" t="s">
        <v>376</v>
      </c>
      <c r="C218" s="36" t="s">
        <v>128</v>
      </c>
    </row>
    <row r="219" spans="1:3">
      <c r="A219" t="s">
        <v>62</v>
      </c>
      <c r="B219" s="35" t="s">
        <v>72</v>
      </c>
      <c r="C219" s="36" t="s">
        <v>123</v>
      </c>
    </row>
    <row r="220" spans="1:3">
      <c r="A220" t="s">
        <v>62</v>
      </c>
      <c r="B220" s="35" t="s">
        <v>377</v>
      </c>
      <c r="C220" s="36" t="s">
        <v>123</v>
      </c>
    </row>
    <row r="221" spans="1:3">
      <c r="A221" t="s">
        <v>92</v>
      </c>
      <c r="B221" s="35" t="s">
        <v>378</v>
      </c>
      <c r="C221" s="36" t="s">
        <v>128</v>
      </c>
    </row>
    <row r="222" spans="1:3">
      <c r="A222" t="s">
        <v>62</v>
      </c>
      <c r="B222" s="35" t="s">
        <v>379</v>
      </c>
      <c r="C222" s="36" t="s">
        <v>123</v>
      </c>
    </row>
    <row r="223" spans="1:3">
      <c r="A223" t="s">
        <v>62</v>
      </c>
      <c r="B223" s="35" t="s">
        <v>380</v>
      </c>
      <c r="C223" s="36" t="s">
        <v>123</v>
      </c>
    </row>
    <row r="224" spans="1:3" ht="15" customHeight="1">
      <c r="A224" t="s">
        <v>92</v>
      </c>
      <c r="B224" s="35" t="s">
        <v>381</v>
      </c>
      <c r="C224" s="36" t="s">
        <v>123</v>
      </c>
    </row>
    <row r="225" spans="1:3" ht="15" customHeight="1">
      <c r="A225" t="s">
        <v>92</v>
      </c>
      <c r="B225" s="35" t="s">
        <v>382</v>
      </c>
      <c r="C225" s="36" t="s">
        <v>123</v>
      </c>
    </row>
    <row r="226" spans="1:3" ht="15" customHeight="1">
      <c r="A226" t="s">
        <v>62</v>
      </c>
      <c r="B226" s="35" t="s">
        <v>383</v>
      </c>
      <c r="C226" s="36" t="s">
        <v>123</v>
      </c>
    </row>
    <row r="227" spans="1:3" ht="15" customHeight="1">
      <c r="A227" t="s">
        <v>92</v>
      </c>
      <c r="B227" s="35" t="s">
        <v>384</v>
      </c>
      <c r="C227" s="36" t="s">
        <v>123</v>
      </c>
    </row>
    <row r="228" spans="1:3" ht="15" customHeight="1">
      <c r="A228" t="s">
        <v>62</v>
      </c>
      <c r="B228" s="35" t="s">
        <v>385</v>
      </c>
      <c r="C228" s="36" t="s">
        <v>123</v>
      </c>
    </row>
    <row r="229" spans="1:3" ht="15" customHeight="1">
      <c r="A229" t="s">
        <v>62</v>
      </c>
      <c r="B229" s="35" t="s">
        <v>386</v>
      </c>
      <c r="C229" s="36" t="s">
        <v>123</v>
      </c>
    </row>
    <row r="230" spans="1:3" ht="15" customHeight="1">
      <c r="A230" t="s">
        <v>62</v>
      </c>
      <c r="B230" s="35" t="s">
        <v>387</v>
      </c>
      <c r="C230" s="36" t="s">
        <v>128</v>
      </c>
    </row>
    <row r="231" spans="1:3" ht="15" customHeight="1">
      <c r="A231" t="s">
        <v>92</v>
      </c>
      <c r="B231" s="35" t="s">
        <v>388</v>
      </c>
      <c r="C231" s="36" t="s">
        <v>123</v>
      </c>
    </row>
    <row r="232" spans="1:3" ht="15" customHeight="1">
      <c r="A232" t="s">
        <v>62</v>
      </c>
      <c r="B232" s="35" t="s">
        <v>389</v>
      </c>
      <c r="C232" s="36" t="s">
        <v>128</v>
      </c>
    </row>
    <row r="233" spans="1:3" ht="15" customHeight="1">
      <c r="A233" t="s">
        <v>92</v>
      </c>
      <c r="B233" s="35" t="s">
        <v>110</v>
      </c>
      <c r="C233" s="36" t="s">
        <v>123</v>
      </c>
    </row>
    <row r="234" spans="1:3">
      <c r="A234" t="s">
        <v>62</v>
      </c>
      <c r="B234" s="35" t="s">
        <v>390</v>
      </c>
      <c r="C234" s="36" t="s">
        <v>123</v>
      </c>
    </row>
    <row r="235" spans="1:3">
      <c r="A235" t="s">
        <v>92</v>
      </c>
      <c r="B235" s="35" t="s">
        <v>391</v>
      </c>
      <c r="C235" s="36" t="s">
        <v>123</v>
      </c>
    </row>
    <row r="236" spans="1:3">
      <c r="A236" t="s">
        <v>62</v>
      </c>
      <c r="B236" s="35" t="s">
        <v>70</v>
      </c>
      <c r="C236" s="36" t="s">
        <v>123</v>
      </c>
    </row>
    <row r="237" spans="1:3">
      <c r="A237" t="s">
        <v>62</v>
      </c>
      <c r="B237" s="35" t="s">
        <v>392</v>
      </c>
      <c r="C237" s="36" t="s">
        <v>123</v>
      </c>
    </row>
    <row r="238" spans="1:3">
      <c r="A238" t="s">
        <v>62</v>
      </c>
      <c r="B238" s="35" t="s">
        <v>393</v>
      </c>
      <c r="C238" s="36" t="s">
        <v>123</v>
      </c>
    </row>
    <row r="239" spans="1:3">
      <c r="A239" t="s">
        <v>62</v>
      </c>
      <c r="B239" s="35" t="s">
        <v>394</v>
      </c>
      <c r="C239" s="36" t="s">
        <v>123</v>
      </c>
    </row>
    <row r="240" spans="1:3">
      <c r="A240" t="s">
        <v>62</v>
      </c>
      <c r="B240" s="35" t="s">
        <v>395</v>
      </c>
      <c r="C240" s="36" t="s">
        <v>128</v>
      </c>
    </row>
    <row r="241" spans="1:3">
      <c r="A241" t="s">
        <v>62</v>
      </c>
      <c r="B241" s="35" t="s">
        <v>396</v>
      </c>
      <c r="C241" s="36" t="s">
        <v>123</v>
      </c>
    </row>
    <row r="242" spans="1:3">
      <c r="A242" t="s">
        <v>62</v>
      </c>
      <c r="B242" s="35" t="s">
        <v>397</v>
      </c>
      <c r="C242" s="36" t="s">
        <v>128</v>
      </c>
    </row>
    <row r="243" spans="1:3">
      <c r="A243" t="s">
        <v>92</v>
      </c>
      <c r="B243" s="35" t="s">
        <v>398</v>
      </c>
      <c r="C243" s="36" t="s">
        <v>128</v>
      </c>
    </row>
    <row r="244" spans="1:3">
      <c r="A244" t="s">
        <v>62</v>
      </c>
      <c r="B244" s="35" t="s">
        <v>107</v>
      </c>
      <c r="C244" s="36" t="s">
        <v>128</v>
      </c>
    </row>
    <row r="245" spans="1:3">
      <c r="A245" t="s">
        <v>62</v>
      </c>
      <c r="B245" s="35" t="s">
        <v>399</v>
      </c>
      <c r="C245" s="36" t="s">
        <v>123</v>
      </c>
    </row>
    <row r="246" spans="1:3">
      <c r="A246" t="s">
        <v>92</v>
      </c>
      <c r="B246" s="35" t="s">
        <v>400</v>
      </c>
      <c r="C246" s="36" t="s">
        <v>123</v>
      </c>
    </row>
    <row r="247" spans="1:3">
      <c r="A247" t="s">
        <v>92</v>
      </c>
      <c r="B247" s="35" t="s">
        <v>401</v>
      </c>
      <c r="C247" s="36" t="s">
        <v>123</v>
      </c>
    </row>
    <row r="248" spans="1:3" ht="26.25">
      <c r="A248" t="s">
        <v>92</v>
      </c>
      <c r="B248" s="35" t="s">
        <v>109</v>
      </c>
      <c r="C248" s="36" t="s">
        <v>123</v>
      </c>
    </row>
    <row r="249" spans="1:3">
      <c r="A249" t="s">
        <v>62</v>
      </c>
      <c r="B249" s="35" t="s">
        <v>402</v>
      </c>
      <c r="C249" s="36" t="s">
        <v>123</v>
      </c>
    </row>
    <row r="250" spans="1:3">
      <c r="A250" t="s">
        <v>62</v>
      </c>
      <c r="B250" s="35" t="s">
        <v>403</v>
      </c>
      <c r="C250" s="36" t="s">
        <v>123</v>
      </c>
    </row>
    <row r="251" spans="1:3">
      <c r="A251" t="s">
        <v>92</v>
      </c>
      <c r="B251" s="35" t="s">
        <v>101</v>
      </c>
      <c r="C251" s="36" t="s">
        <v>128</v>
      </c>
    </row>
    <row r="252" spans="1:3">
      <c r="A252" t="s">
        <v>62</v>
      </c>
      <c r="B252" s="35" t="s">
        <v>404</v>
      </c>
      <c r="C252" s="36" t="s">
        <v>123</v>
      </c>
    </row>
    <row r="253" spans="1:3">
      <c r="A253" t="s">
        <v>62</v>
      </c>
      <c r="B253" s="35" t="s">
        <v>405</v>
      </c>
      <c r="C253" s="36" t="s">
        <v>128</v>
      </c>
    </row>
    <row r="254" spans="1:3">
      <c r="A254" t="s">
        <v>62</v>
      </c>
      <c r="B254" s="35" t="s">
        <v>406</v>
      </c>
      <c r="C254" s="36" t="s">
        <v>128</v>
      </c>
    </row>
    <row r="255" spans="1:3">
      <c r="A255" t="s">
        <v>62</v>
      </c>
      <c r="B255" s="35" t="s">
        <v>407</v>
      </c>
      <c r="C255" s="36" t="s">
        <v>128</v>
      </c>
    </row>
    <row r="256" spans="1:3">
      <c r="A256" t="s">
        <v>92</v>
      </c>
      <c r="B256" s="35" t="s">
        <v>408</v>
      </c>
      <c r="C256" s="36" t="s">
        <v>123</v>
      </c>
    </row>
    <row r="257" spans="1:3">
      <c r="A257" t="s">
        <v>62</v>
      </c>
      <c r="B257" s="35" t="s">
        <v>409</v>
      </c>
      <c r="C257" s="36" t="s">
        <v>128</v>
      </c>
    </row>
    <row r="258" spans="1:3">
      <c r="A258" t="s">
        <v>62</v>
      </c>
      <c r="B258" s="35" t="s">
        <v>410</v>
      </c>
      <c r="C258" s="36" t="s">
        <v>128</v>
      </c>
    </row>
    <row r="259" spans="1:3">
      <c r="A259" t="s">
        <v>62</v>
      </c>
      <c r="B259" s="35" t="s">
        <v>411</v>
      </c>
      <c r="C259" s="36" t="s">
        <v>128</v>
      </c>
    </row>
    <row r="260" spans="1:3">
      <c r="A260" t="s">
        <v>62</v>
      </c>
      <c r="B260" s="35" t="s">
        <v>412</v>
      </c>
      <c r="C260" s="36" t="s">
        <v>128</v>
      </c>
    </row>
    <row r="261" spans="1:3">
      <c r="A261" t="s">
        <v>62</v>
      </c>
      <c r="B261" s="35" t="s">
        <v>413</v>
      </c>
      <c r="C261" s="36" t="s">
        <v>128</v>
      </c>
    </row>
    <row r="262" spans="1:3">
      <c r="A262" t="s">
        <v>92</v>
      </c>
      <c r="B262" s="35" t="s">
        <v>414</v>
      </c>
      <c r="C262" s="36" t="s">
        <v>123</v>
      </c>
    </row>
    <row r="263" spans="1:3" ht="15" customHeight="1">
      <c r="A263" t="s">
        <v>62</v>
      </c>
      <c r="B263" s="35" t="s">
        <v>415</v>
      </c>
      <c r="C263" s="36" t="s">
        <v>123</v>
      </c>
    </row>
    <row r="264" spans="1:3" ht="15" customHeight="1">
      <c r="A264" t="s">
        <v>62</v>
      </c>
      <c r="B264" s="35" t="s">
        <v>416</v>
      </c>
      <c r="C264" s="36" t="s">
        <v>128</v>
      </c>
    </row>
    <row r="265" spans="1:3" ht="15" customHeight="1">
      <c r="A265" t="s">
        <v>62</v>
      </c>
      <c r="B265" s="35" t="s">
        <v>417</v>
      </c>
      <c r="C265" s="36" t="s">
        <v>128</v>
      </c>
    </row>
    <row r="266" spans="1:3">
      <c r="A266" t="s">
        <v>62</v>
      </c>
      <c r="B266" s="35" t="s">
        <v>418</v>
      </c>
      <c r="C266" s="36" t="s">
        <v>128</v>
      </c>
    </row>
    <row r="267" spans="1:3">
      <c r="A267" t="s">
        <v>62</v>
      </c>
      <c r="B267" s="35" t="s">
        <v>419</v>
      </c>
      <c r="C267" s="36" t="s">
        <v>128</v>
      </c>
    </row>
    <row r="268" spans="1:3">
      <c r="A268" t="s">
        <v>92</v>
      </c>
      <c r="B268" s="44" t="s">
        <v>420</v>
      </c>
      <c r="C268" s="36" t="s">
        <v>123</v>
      </c>
    </row>
    <row r="269" spans="1:3">
      <c r="A269" t="s">
        <v>62</v>
      </c>
      <c r="B269" s="35" t="s">
        <v>69</v>
      </c>
      <c r="C269" s="36" t="s">
        <v>128</v>
      </c>
    </row>
    <row r="270" spans="1:3">
      <c r="A270" t="s">
        <v>62</v>
      </c>
      <c r="B270" s="35" t="s">
        <v>421</v>
      </c>
      <c r="C270" s="36" t="s">
        <v>128</v>
      </c>
    </row>
    <row r="271" spans="1:3">
      <c r="A271" t="s">
        <v>92</v>
      </c>
      <c r="B271" s="35" t="s">
        <v>422</v>
      </c>
      <c r="C271" s="36" t="s">
        <v>128</v>
      </c>
    </row>
    <row r="272" spans="1:3">
      <c r="A272" t="s">
        <v>92</v>
      </c>
      <c r="B272" s="35" t="s">
        <v>94</v>
      </c>
      <c r="C272" s="36" t="s">
        <v>128</v>
      </c>
    </row>
    <row r="273" spans="1:3">
      <c r="A273" t="s">
        <v>62</v>
      </c>
      <c r="B273" s="35" t="s">
        <v>423</v>
      </c>
      <c r="C273" s="36" t="s">
        <v>123</v>
      </c>
    </row>
    <row r="274" spans="1:3">
      <c r="A274" t="s">
        <v>92</v>
      </c>
      <c r="B274" s="35" t="s">
        <v>424</v>
      </c>
      <c r="C274" s="36" t="s">
        <v>128</v>
      </c>
    </row>
    <row r="275" spans="1:3">
      <c r="A275" t="s">
        <v>92</v>
      </c>
      <c r="B275" s="35" t="s">
        <v>425</v>
      </c>
      <c r="C275" s="36" t="s">
        <v>123</v>
      </c>
    </row>
    <row r="276" spans="1:3">
      <c r="A276" t="s">
        <v>92</v>
      </c>
      <c r="B276" s="35" t="s">
        <v>426</v>
      </c>
      <c r="C276" s="36" t="s">
        <v>123</v>
      </c>
    </row>
    <row r="277" spans="1:3">
      <c r="A277" t="s">
        <v>92</v>
      </c>
      <c r="B277" s="35" t="s">
        <v>427</v>
      </c>
      <c r="C277" s="36" t="s">
        <v>123</v>
      </c>
    </row>
    <row r="278" spans="1:3">
      <c r="A278" t="s">
        <v>92</v>
      </c>
      <c r="B278" s="35" t="s">
        <v>428</v>
      </c>
      <c r="C278" s="36" t="s">
        <v>123</v>
      </c>
    </row>
    <row r="279" spans="1:3">
      <c r="A279" t="s">
        <v>62</v>
      </c>
      <c r="B279" s="35" t="s">
        <v>429</v>
      </c>
      <c r="C279" s="36" t="s">
        <v>128</v>
      </c>
    </row>
    <row r="280" spans="1:3">
      <c r="A280" t="s">
        <v>92</v>
      </c>
      <c r="B280" s="44" t="s">
        <v>430</v>
      </c>
      <c r="C280" s="36" t="s">
        <v>128</v>
      </c>
    </row>
    <row r="281" spans="1:3">
      <c r="A281" t="s">
        <v>92</v>
      </c>
      <c r="B281" s="35" t="s">
        <v>431</v>
      </c>
      <c r="C281" s="36" t="s">
        <v>128</v>
      </c>
    </row>
    <row r="282" spans="1:3">
      <c r="A282" t="s">
        <v>92</v>
      </c>
      <c r="B282" s="44" t="s">
        <v>432</v>
      </c>
      <c r="C282" s="36" t="s">
        <v>128</v>
      </c>
    </row>
    <row r="283" spans="1:3">
      <c r="A283" t="s">
        <v>62</v>
      </c>
      <c r="B283" s="35" t="s">
        <v>433</v>
      </c>
      <c r="C283" s="36" t="s">
        <v>128</v>
      </c>
    </row>
    <row r="284" spans="1:3">
      <c r="A284" t="s">
        <v>62</v>
      </c>
      <c r="B284" s="35" t="s">
        <v>434</v>
      </c>
      <c r="C284" s="36" t="s">
        <v>128</v>
      </c>
    </row>
    <row r="285" spans="1:3">
      <c r="A285" t="s">
        <v>92</v>
      </c>
      <c r="B285" s="35" t="s">
        <v>435</v>
      </c>
      <c r="C285" s="36" t="s">
        <v>123</v>
      </c>
    </row>
    <row r="286" spans="1:3">
      <c r="A286" t="s">
        <v>62</v>
      </c>
      <c r="B286" s="35" t="s">
        <v>436</v>
      </c>
      <c r="C286" s="36" t="s">
        <v>123</v>
      </c>
    </row>
    <row r="287" spans="1:3">
      <c r="A287" t="s">
        <v>62</v>
      </c>
      <c r="B287" s="35" t="s">
        <v>437</v>
      </c>
      <c r="C287" s="36" t="s">
        <v>123</v>
      </c>
    </row>
    <row r="288" spans="1:3">
      <c r="A288" t="s">
        <v>92</v>
      </c>
      <c r="B288" s="35" t="s">
        <v>95</v>
      </c>
      <c r="C288" s="36" t="s">
        <v>128</v>
      </c>
    </row>
    <row r="289" spans="1:3">
      <c r="A289" t="s">
        <v>92</v>
      </c>
      <c r="B289" s="35" t="s">
        <v>438</v>
      </c>
      <c r="C289" s="36" t="s">
        <v>123</v>
      </c>
    </row>
    <row r="290" spans="1:3">
      <c r="A290" t="s">
        <v>92</v>
      </c>
      <c r="B290" s="35" t="s">
        <v>439</v>
      </c>
      <c r="C290" s="36" t="s">
        <v>128</v>
      </c>
    </row>
    <row r="291" spans="1:3">
      <c r="A291" t="s">
        <v>92</v>
      </c>
      <c r="B291" s="35" t="s">
        <v>440</v>
      </c>
      <c r="C291" s="36" t="s">
        <v>128</v>
      </c>
    </row>
    <row r="292" spans="1:3">
      <c r="A292" t="s">
        <v>62</v>
      </c>
      <c r="B292" s="35" t="s">
        <v>441</v>
      </c>
      <c r="C292" s="36" t="s">
        <v>128</v>
      </c>
    </row>
    <row r="293" spans="1:3">
      <c r="A293" t="s">
        <v>62</v>
      </c>
      <c r="B293" s="35" t="s">
        <v>442</v>
      </c>
      <c r="C293" s="36" t="s">
        <v>123</v>
      </c>
    </row>
    <row r="294" spans="1:3">
      <c r="A294" t="s">
        <v>62</v>
      </c>
      <c r="B294" s="35" t="s">
        <v>443</v>
      </c>
      <c r="C294" s="36" t="s">
        <v>123</v>
      </c>
    </row>
    <row r="295" spans="1:3">
      <c r="A295" t="s">
        <v>62</v>
      </c>
      <c r="B295" s="35" t="s">
        <v>444</v>
      </c>
      <c r="C295" s="36" t="s">
        <v>128</v>
      </c>
    </row>
    <row r="296" spans="1:3">
      <c r="A296" t="s">
        <v>62</v>
      </c>
      <c r="B296" s="35" t="s">
        <v>445</v>
      </c>
      <c r="C296" s="36" t="s">
        <v>123</v>
      </c>
    </row>
    <row r="297" spans="1:3">
      <c r="A297" t="s">
        <v>62</v>
      </c>
      <c r="B297" s="35" t="s">
        <v>446</v>
      </c>
      <c r="C297" s="36" t="s">
        <v>123</v>
      </c>
    </row>
    <row r="298" spans="1:3">
      <c r="A298" t="s">
        <v>92</v>
      </c>
      <c r="B298" s="35" t="s">
        <v>447</v>
      </c>
      <c r="C298" s="36" t="s">
        <v>123</v>
      </c>
    </row>
    <row r="299" spans="1:3">
      <c r="A299" t="s">
        <v>92</v>
      </c>
      <c r="B299" s="35" t="s">
        <v>448</v>
      </c>
      <c r="C299" s="36" t="s">
        <v>128</v>
      </c>
    </row>
    <row r="300" spans="1:3" ht="15" customHeight="1">
      <c r="A300" t="s">
        <v>92</v>
      </c>
      <c r="B300" s="35" t="s">
        <v>449</v>
      </c>
      <c r="C300" s="36" t="s">
        <v>128</v>
      </c>
    </row>
    <row r="301" spans="1:3" ht="15" customHeight="1">
      <c r="A301" t="s">
        <v>92</v>
      </c>
      <c r="B301" s="35" t="s">
        <v>450</v>
      </c>
      <c r="C301" s="36" t="s">
        <v>123</v>
      </c>
    </row>
    <row r="302" spans="1:3">
      <c r="A302" t="s">
        <v>92</v>
      </c>
      <c r="B302" s="35" t="s">
        <v>451</v>
      </c>
      <c r="C302" s="36" t="s">
        <v>452</v>
      </c>
    </row>
    <row r="303" spans="1:3">
      <c r="A303" t="s">
        <v>62</v>
      </c>
      <c r="B303" s="35" t="s">
        <v>453</v>
      </c>
      <c r="C303" s="36" t="s">
        <v>123</v>
      </c>
    </row>
    <row r="304" spans="1:3">
      <c r="A304" t="s">
        <v>92</v>
      </c>
      <c r="B304" s="35" t="s">
        <v>454</v>
      </c>
      <c r="C304" s="36" t="s">
        <v>123</v>
      </c>
    </row>
    <row r="305" spans="1:3">
      <c r="A305" t="s">
        <v>62</v>
      </c>
      <c r="B305" s="35" t="s">
        <v>455</v>
      </c>
      <c r="C305" s="36" t="s">
        <v>123</v>
      </c>
    </row>
    <row r="306" spans="1:3">
      <c r="A306" t="s">
        <v>92</v>
      </c>
      <c r="B306" s="35" t="s">
        <v>456</v>
      </c>
      <c r="C306" s="36" t="s">
        <v>128</v>
      </c>
    </row>
    <row r="307" spans="1:3">
      <c r="A307" t="s">
        <v>62</v>
      </c>
      <c r="B307" s="35" t="s">
        <v>457</v>
      </c>
      <c r="C307" s="36" t="s">
        <v>128</v>
      </c>
    </row>
    <row r="308" spans="1:3">
      <c r="A308" t="s">
        <v>62</v>
      </c>
      <c r="B308" s="35" t="s">
        <v>458</v>
      </c>
      <c r="C308" s="36" t="s">
        <v>128</v>
      </c>
    </row>
    <row r="309" spans="1:3">
      <c r="A309" t="s">
        <v>62</v>
      </c>
      <c r="B309" s="35" t="s">
        <v>459</v>
      </c>
      <c r="C309" s="36" t="s">
        <v>128</v>
      </c>
    </row>
    <row r="310" spans="1:3">
      <c r="A310" t="s">
        <v>62</v>
      </c>
      <c r="B310" s="35" t="s">
        <v>460</v>
      </c>
      <c r="C310" s="36" t="s">
        <v>128</v>
      </c>
    </row>
    <row r="311" spans="1:3">
      <c r="A311" t="s">
        <v>92</v>
      </c>
      <c r="B311" s="35" t="s">
        <v>461</v>
      </c>
      <c r="C311" s="36" t="s">
        <v>123</v>
      </c>
    </row>
    <row r="312" spans="1:3">
      <c r="A312" t="s">
        <v>62</v>
      </c>
      <c r="B312" s="35" t="s">
        <v>462</v>
      </c>
      <c r="C312" s="36" t="s">
        <v>123</v>
      </c>
    </row>
    <row r="313" spans="1:3">
      <c r="A313" t="s">
        <v>62</v>
      </c>
      <c r="B313" s="35" t="s">
        <v>463</v>
      </c>
      <c r="C313" s="36" t="s">
        <v>123</v>
      </c>
    </row>
    <row r="314" spans="1:3">
      <c r="A314" t="s">
        <v>92</v>
      </c>
      <c r="B314" s="35" t="s">
        <v>464</v>
      </c>
      <c r="C314" s="36" t="s">
        <v>123</v>
      </c>
    </row>
    <row r="315" spans="1:3">
      <c r="A315" t="s">
        <v>92</v>
      </c>
      <c r="B315" s="35" t="s">
        <v>465</v>
      </c>
      <c r="C315" s="36" t="s">
        <v>123</v>
      </c>
    </row>
    <row r="316" spans="1:3">
      <c r="A316" t="s">
        <v>62</v>
      </c>
      <c r="B316" s="35" t="s">
        <v>466</v>
      </c>
      <c r="C316" s="36" t="s">
        <v>123</v>
      </c>
    </row>
    <row r="317" spans="1:3">
      <c r="A317" t="s">
        <v>92</v>
      </c>
      <c r="B317" s="35" t="s">
        <v>467</v>
      </c>
      <c r="C317" s="36" t="s">
        <v>123</v>
      </c>
    </row>
    <row r="318" spans="1:3" ht="15" customHeight="1">
      <c r="A318" t="s">
        <v>62</v>
      </c>
      <c r="B318" s="35" t="s">
        <v>468</v>
      </c>
      <c r="C318" s="36" t="s">
        <v>123</v>
      </c>
    </row>
    <row r="319" spans="1:3" ht="15" customHeight="1">
      <c r="A319" t="s">
        <v>92</v>
      </c>
      <c r="B319" s="35" t="s">
        <v>469</v>
      </c>
      <c r="C319" s="36" t="s">
        <v>128</v>
      </c>
    </row>
    <row r="320" spans="1:3" ht="15" customHeight="1">
      <c r="A320" t="s">
        <v>92</v>
      </c>
      <c r="B320" s="35" t="s">
        <v>115</v>
      </c>
      <c r="C320" s="36" t="s">
        <v>128</v>
      </c>
    </row>
    <row r="321" spans="1:3" ht="15" customHeight="1">
      <c r="A321" t="s">
        <v>92</v>
      </c>
      <c r="B321" s="35" t="s">
        <v>470</v>
      </c>
      <c r="C321" s="36" t="s">
        <v>123</v>
      </c>
    </row>
    <row r="322" spans="1:3" ht="15" customHeight="1">
      <c r="A322" t="s">
        <v>62</v>
      </c>
      <c r="B322" s="35" t="s">
        <v>471</v>
      </c>
      <c r="C322" s="36" t="s">
        <v>123</v>
      </c>
    </row>
    <row r="323" spans="1:3" ht="15" customHeight="1">
      <c r="A323" t="s">
        <v>62</v>
      </c>
      <c r="B323" s="35" t="s">
        <v>472</v>
      </c>
      <c r="C323" s="36" t="s">
        <v>123</v>
      </c>
    </row>
    <row r="324" spans="1:3" ht="15" customHeight="1">
      <c r="A324" t="s">
        <v>62</v>
      </c>
      <c r="B324" s="35" t="s">
        <v>473</v>
      </c>
      <c r="C324" s="36" t="s">
        <v>123</v>
      </c>
    </row>
    <row r="325" spans="1:3" ht="15" customHeight="1">
      <c r="A325" t="s">
        <v>62</v>
      </c>
      <c r="B325" s="35" t="s">
        <v>474</v>
      </c>
      <c r="C325" s="36" t="s">
        <v>123</v>
      </c>
    </row>
    <row r="326" spans="1:3" ht="15" customHeight="1">
      <c r="A326" t="s">
        <v>62</v>
      </c>
      <c r="B326" s="35" t="s">
        <v>475</v>
      </c>
      <c r="C326" s="36" t="s">
        <v>123</v>
      </c>
    </row>
    <row r="327" spans="1:3">
      <c r="A327" t="s">
        <v>62</v>
      </c>
      <c r="B327" s="35" t="s">
        <v>476</v>
      </c>
      <c r="C327" s="36" t="s">
        <v>123</v>
      </c>
    </row>
    <row r="328" spans="1:3">
      <c r="A328" t="s">
        <v>62</v>
      </c>
      <c r="B328" s="35" t="s">
        <v>477</v>
      </c>
      <c r="C328" s="36" t="s">
        <v>123</v>
      </c>
    </row>
    <row r="329" spans="1:3" ht="26.25">
      <c r="A329" t="s">
        <v>62</v>
      </c>
      <c r="B329" s="35" t="s">
        <v>478</v>
      </c>
      <c r="C329" s="36" t="s">
        <v>128</v>
      </c>
    </row>
    <row r="330" spans="1:3">
      <c r="A330" t="s">
        <v>92</v>
      </c>
      <c r="B330" s="35" t="s">
        <v>479</v>
      </c>
      <c r="C330" s="36" t="s">
        <v>123</v>
      </c>
    </row>
    <row r="331" spans="1:3">
      <c r="A331" t="s">
        <v>92</v>
      </c>
      <c r="B331" s="35" t="s">
        <v>480</v>
      </c>
      <c r="C331" s="36" t="s">
        <v>123</v>
      </c>
    </row>
    <row r="332" spans="1:3">
      <c r="A332" t="s">
        <v>62</v>
      </c>
      <c r="B332" s="35" t="s">
        <v>481</v>
      </c>
      <c r="C332" s="36" t="s">
        <v>128</v>
      </c>
    </row>
    <row r="333" spans="1:3">
      <c r="A333" t="s">
        <v>62</v>
      </c>
      <c r="B333" s="35" t="s">
        <v>482</v>
      </c>
      <c r="C333" s="36" t="s">
        <v>123</v>
      </c>
    </row>
    <row r="334" spans="1:3" ht="26.25">
      <c r="A334" t="s">
        <v>92</v>
      </c>
      <c r="B334" s="35" t="s">
        <v>483</v>
      </c>
      <c r="C334" s="36" t="s">
        <v>123</v>
      </c>
    </row>
    <row r="335" spans="1:3" ht="26.25">
      <c r="A335" t="s">
        <v>92</v>
      </c>
      <c r="B335" s="35" t="s">
        <v>484</v>
      </c>
      <c r="C335" s="36" t="s">
        <v>123</v>
      </c>
    </row>
    <row r="336" spans="1:3">
      <c r="A336" t="s">
        <v>62</v>
      </c>
      <c r="B336" s="35" t="s">
        <v>485</v>
      </c>
      <c r="C336" s="36" t="s">
        <v>123</v>
      </c>
    </row>
    <row r="337" spans="1:3">
      <c r="A337" t="s">
        <v>62</v>
      </c>
      <c r="B337" s="35" t="s">
        <v>486</v>
      </c>
      <c r="C337" s="36" t="s">
        <v>123</v>
      </c>
    </row>
    <row r="338" spans="1:3">
      <c r="A338" t="s">
        <v>62</v>
      </c>
      <c r="B338" s="35" t="s">
        <v>487</v>
      </c>
      <c r="C338" s="36" t="s">
        <v>123</v>
      </c>
    </row>
    <row r="339" spans="1:3">
      <c r="A339" t="s">
        <v>92</v>
      </c>
      <c r="B339" s="35" t="s">
        <v>488</v>
      </c>
      <c r="C339" s="36" t="s">
        <v>128</v>
      </c>
    </row>
    <row r="340" spans="1:3">
      <c r="A340" t="s">
        <v>62</v>
      </c>
      <c r="B340" s="35" t="s">
        <v>489</v>
      </c>
      <c r="C340" s="36" t="s">
        <v>123</v>
      </c>
    </row>
    <row r="341" spans="1:3">
      <c r="A341" t="s">
        <v>62</v>
      </c>
      <c r="B341" s="35" t="s">
        <v>490</v>
      </c>
      <c r="C341" s="36" t="s">
        <v>123</v>
      </c>
    </row>
    <row r="342" spans="1:3">
      <c r="A342" t="s">
        <v>62</v>
      </c>
      <c r="B342" s="35" t="s">
        <v>491</v>
      </c>
      <c r="C342" s="36" t="s">
        <v>123</v>
      </c>
    </row>
    <row r="343" spans="1:3">
      <c r="A343" t="s">
        <v>92</v>
      </c>
      <c r="B343" s="35" t="s">
        <v>492</v>
      </c>
      <c r="C343" s="36" t="s">
        <v>123</v>
      </c>
    </row>
    <row r="344" spans="1:3">
      <c r="A344" t="s">
        <v>62</v>
      </c>
      <c r="B344" s="35" t="s">
        <v>493</v>
      </c>
      <c r="C344" s="36" t="s">
        <v>123</v>
      </c>
    </row>
    <row r="345" spans="1:3">
      <c r="A345" t="s">
        <v>92</v>
      </c>
      <c r="B345" s="35" t="s">
        <v>494</v>
      </c>
      <c r="C345" s="36" t="s">
        <v>123</v>
      </c>
    </row>
    <row r="346" spans="1:3">
      <c r="A346" t="s">
        <v>62</v>
      </c>
      <c r="B346" s="35" t="s">
        <v>495</v>
      </c>
      <c r="C346" s="36" t="s">
        <v>128</v>
      </c>
    </row>
    <row r="347" spans="1:3" ht="15" customHeight="1">
      <c r="A347" t="s">
        <v>62</v>
      </c>
      <c r="B347" s="35" t="s">
        <v>125</v>
      </c>
      <c r="C347" s="36" t="s">
        <v>128</v>
      </c>
    </row>
    <row r="348" spans="1:3">
      <c r="A348" t="s">
        <v>62</v>
      </c>
      <c r="B348" s="35" t="s">
        <v>496</v>
      </c>
      <c r="C348" s="36" t="s">
        <v>123</v>
      </c>
    </row>
    <row r="349" spans="1:3">
      <c r="A349" t="s">
        <v>62</v>
      </c>
      <c r="B349" s="35" t="s">
        <v>497</v>
      </c>
      <c r="C349" s="36" t="s">
        <v>128</v>
      </c>
    </row>
    <row r="350" spans="1:3">
      <c r="A350" t="s">
        <v>92</v>
      </c>
      <c r="B350" s="35" t="s">
        <v>498</v>
      </c>
      <c r="C350" s="36" t="s">
        <v>128</v>
      </c>
    </row>
    <row r="351" spans="1:3">
      <c r="A351" t="s">
        <v>62</v>
      </c>
      <c r="B351" s="35" t="s">
        <v>499</v>
      </c>
      <c r="C351" s="36" t="s">
        <v>128</v>
      </c>
    </row>
    <row r="352" spans="1:3">
      <c r="A352" t="s">
        <v>62</v>
      </c>
      <c r="B352" s="35" t="s">
        <v>89</v>
      </c>
      <c r="C352" s="36" t="s">
        <v>128</v>
      </c>
    </row>
    <row r="353" spans="1:3">
      <c r="A353" t="s">
        <v>62</v>
      </c>
      <c r="B353" s="35" t="s">
        <v>91</v>
      </c>
      <c r="C353" s="36" t="s">
        <v>128</v>
      </c>
    </row>
    <row r="354" spans="1:3" ht="26.25">
      <c r="A354" t="s">
        <v>62</v>
      </c>
      <c r="B354" s="35" t="s">
        <v>500</v>
      </c>
      <c r="C354" s="36" t="s">
        <v>128</v>
      </c>
    </row>
    <row r="355" spans="1:3">
      <c r="A355" t="s">
        <v>62</v>
      </c>
      <c r="B355" s="46" t="s">
        <v>501</v>
      </c>
      <c r="C355" s="36" t="s">
        <v>128</v>
      </c>
    </row>
    <row r="356" spans="1:3">
      <c r="A356" t="s">
        <v>62</v>
      </c>
      <c r="B356" s="35" t="s">
        <v>502</v>
      </c>
      <c r="C356" s="36" t="s">
        <v>128</v>
      </c>
    </row>
    <row r="357" spans="1:3">
      <c r="A357" t="s">
        <v>92</v>
      </c>
      <c r="B357" s="35" t="s">
        <v>503</v>
      </c>
      <c r="C357" s="36" t="s">
        <v>128</v>
      </c>
    </row>
    <row r="358" spans="1:3">
      <c r="A358" t="s">
        <v>62</v>
      </c>
      <c r="B358" s="35" t="s">
        <v>504</v>
      </c>
      <c r="C358" s="36" t="s">
        <v>128</v>
      </c>
    </row>
    <row r="359" spans="1:3" ht="26.25">
      <c r="A359" t="s">
        <v>62</v>
      </c>
      <c r="B359" s="35" t="s">
        <v>505</v>
      </c>
      <c r="C359" s="36" t="s">
        <v>128</v>
      </c>
    </row>
    <row r="360" spans="1:3" ht="26.25">
      <c r="A360" t="s">
        <v>62</v>
      </c>
      <c r="B360" s="35" t="s">
        <v>114</v>
      </c>
      <c r="C360" s="36" t="s">
        <v>128</v>
      </c>
    </row>
    <row r="361" spans="1:3" ht="26.25">
      <c r="A361" t="s">
        <v>92</v>
      </c>
      <c r="B361" s="35" t="s">
        <v>506</v>
      </c>
      <c r="C361" s="36" t="s">
        <v>123</v>
      </c>
    </row>
    <row r="362" spans="1:3">
      <c r="A362" t="s">
        <v>62</v>
      </c>
      <c r="B362" s="35" t="s">
        <v>507</v>
      </c>
      <c r="C362" s="36" t="s">
        <v>128</v>
      </c>
    </row>
    <row r="363" spans="1:3" ht="25.5">
      <c r="A363" t="s">
        <v>92</v>
      </c>
      <c r="B363" s="44" t="s">
        <v>508</v>
      </c>
      <c r="C363" s="36" t="s">
        <v>128</v>
      </c>
    </row>
    <row r="364" spans="1:3">
      <c r="A364" t="s">
        <v>62</v>
      </c>
      <c r="B364" s="35" t="s">
        <v>509</v>
      </c>
      <c r="C364" s="36" t="s">
        <v>123</v>
      </c>
    </row>
    <row r="365" spans="1:3">
      <c r="A365" t="s">
        <v>62</v>
      </c>
      <c r="B365" s="35" t="s">
        <v>510</v>
      </c>
      <c r="C365" s="36" t="s">
        <v>123</v>
      </c>
    </row>
    <row r="366" spans="1:3">
      <c r="A366" t="s">
        <v>92</v>
      </c>
      <c r="B366" s="35" t="s">
        <v>511</v>
      </c>
      <c r="C366" s="36" t="s">
        <v>123</v>
      </c>
    </row>
    <row r="367" spans="1:3">
      <c r="A367" t="s">
        <v>92</v>
      </c>
      <c r="B367" s="35" t="s">
        <v>512</v>
      </c>
      <c r="C367" s="36" t="s">
        <v>123</v>
      </c>
    </row>
    <row r="368" spans="1:3">
      <c r="A368" t="s">
        <v>92</v>
      </c>
      <c r="B368" s="35" t="s">
        <v>513</v>
      </c>
      <c r="C368" s="36" t="s">
        <v>123</v>
      </c>
    </row>
    <row r="369" spans="1:3">
      <c r="A369" t="s">
        <v>92</v>
      </c>
      <c r="B369" s="35" t="s">
        <v>514</v>
      </c>
      <c r="C369" s="36" t="s">
        <v>123</v>
      </c>
    </row>
    <row r="370" spans="1:3">
      <c r="A370" t="s">
        <v>62</v>
      </c>
      <c r="B370" s="35" t="s">
        <v>515</v>
      </c>
      <c r="C370" s="36" t="s">
        <v>123</v>
      </c>
    </row>
    <row r="371" spans="1:3">
      <c r="A371" t="s">
        <v>92</v>
      </c>
      <c r="B371" s="35" t="s">
        <v>516</v>
      </c>
      <c r="C371" s="36" t="s">
        <v>123</v>
      </c>
    </row>
    <row r="372" spans="1:3">
      <c r="A372" t="s">
        <v>62</v>
      </c>
      <c r="B372" s="35" t="s">
        <v>517</v>
      </c>
      <c r="C372" s="36" t="s">
        <v>123</v>
      </c>
    </row>
    <row r="373" spans="1:3">
      <c r="A373" t="s">
        <v>62</v>
      </c>
      <c r="B373" s="35" t="s">
        <v>518</v>
      </c>
      <c r="C373" s="36" t="s">
        <v>123</v>
      </c>
    </row>
    <row r="374" spans="1:3">
      <c r="A374" t="s">
        <v>92</v>
      </c>
      <c r="B374" s="35" t="s">
        <v>519</v>
      </c>
      <c r="C374" s="36" t="s">
        <v>123</v>
      </c>
    </row>
    <row r="375" spans="1:3">
      <c r="A375" t="s">
        <v>62</v>
      </c>
      <c r="B375" s="35" t="s">
        <v>520</v>
      </c>
      <c r="C375" s="36" t="s">
        <v>123</v>
      </c>
    </row>
    <row r="376" spans="1:3">
      <c r="A376" t="s">
        <v>62</v>
      </c>
      <c r="B376" s="35" t="s">
        <v>521</v>
      </c>
      <c r="C376" s="36" t="s">
        <v>123</v>
      </c>
    </row>
    <row r="377" spans="1:3">
      <c r="A377" t="s">
        <v>62</v>
      </c>
      <c r="B377" s="35" t="s">
        <v>522</v>
      </c>
      <c r="C377" s="36" t="s">
        <v>123</v>
      </c>
    </row>
    <row r="378" spans="1:3">
      <c r="A378" t="s">
        <v>92</v>
      </c>
      <c r="B378" s="35" t="s">
        <v>523</v>
      </c>
      <c r="C378" s="36" t="s">
        <v>128</v>
      </c>
    </row>
    <row r="379" spans="1:3">
      <c r="A379" t="s">
        <v>92</v>
      </c>
      <c r="B379" s="35" t="s">
        <v>524</v>
      </c>
      <c r="C379" s="36" t="s">
        <v>128</v>
      </c>
    </row>
    <row r="380" spans="1:3">
      <c r="A380" t="s">
        <v>92</v>
      </c>
      <c r="B380" s="35" t="s">
        <v>525</v>
      </c>
      <c r="C380" s="36" t="s">
        <v>123</v>
      </c>
    </row>
    <row r="381" spans="1:3">
      <c r="A381" t="s">
        <v>92</v>
      </c>
      <c r="B381" s="35" t="s">
        <v>526</v>
      </c>
      <c r="C381" s="36" t="s">
        <v>123</v>
      </c>
    </row>
    <row r="382" spans="1:3">
      <c r="A382" t="s">
        <v>92</v>
      </c>
      <c r="B382" s="35" t="s">
        <v>527</v>
      </c>
      <c r="C382" s="36" t="s">
        <v>123</v>
      </c>
    </row>
    <row r="383" spans="1:3">
      <c r="A383" t="s">
        <v>92</v>
      </c>
      <c r="B383" s="35" t="s">
        <v>528</v>
      </c>
      <c r="C383" s="36" t="s">
        <v>123</v>
      </c>
    </row>
    <row r="384" spans="1:3">
      <c r="A384" t="s">
        <v>62</v>
      </c>
      <c r="B384" s="35" t="s">
        <v>529</v>
      </c>
      <c r="C384" s="36" t="s">
        <v>128</v>
      </c>
    </row>
    <row r="385" spans="1:3">
      <c r="A385" t="s">
        <v>62</v>
      </c>
      <c r="B385" s="35" t="s">
        <v>82</v>
      </c>
      <c r="C385" s="36" t="s">
        <v>128</v>
      </c>
    </row>
    <row r="386" spans="1:3">
      <c r="A386" t="s">
        <v>92</v>
      </c>
      <c r="B386" s="35" t="s">
        <v>530</v>
      </c>
      <c r="C386" s="36" t="s">
        <v>128</v>
      </c>
    </row>
    <row r="387" spans="1:3">
      <c r="A387" t="s">
        <v>92</v>
      </c>
      <c r="B387" s="35" t="s">
        <v>531</v>
      </c>
      <c r="C387" s="36" t="s">
        <v>128</v>
      </c>
    </row>
    <row r="388" spans="1:3">
      <c r="A388" t="s">
        <v>92</v>
      </c>
      <c r="B388" s="35" t="s">
        <v>532</v>
      </c>
      <c r="C388" s="36" t="s">
        <v>128</v>
      </c>
    </row>
    <row r="389" spans="1:3">
      <c r="A389" t="s">
        <v>62</v>
      </c>
      <c r="B389" s="35" t="s">
        <v>533</v>
      </c>
      <c r="C389" s="36" t="s">
        <v>123</v>
      </c>
    </row>
    <row r="390" spans="1:3">
      <c r="A390" t="s">
        <v>62</v>
      </c>
      <c r="B390" s="35" t="s">
        <v>534</v>
      </c>
      <c r="C390" s="36" t="s">
        <v>123</v>
      </c>
    </row>
    <row r="391" spans="1:3">
      <c r="A391" t="s">
        <v>92</v>
      </c>
      <c r="B391" s="35" t="s">
        <v>535</v>
      </c>
      <c r="C391" s="36" t="s">
        <v>128</v>
      </c>
    </row>
    <row r="392" spans="1:3">
      <c r="A392" t="s">
        <v>62</v>
      </c>
      <c r="B392" s="35" t="s">
        <v>536</v>
      </c>
      <c r="C392" s="36" t="s">
        <v>123</v>
      </c>
    </row>
    <row r="393" spans="1:3">
      <c r="A393" t="s">
        <v>62</v>
      </c>
      <c r="B393" s="35" t="s">
        <v>537</v>
      </c>
      <c r="C393" s="36" t="s">
        <v>123</v>
      </c>
    </row>
    <row r="394" spans="1:3">
      <c r="A394" t="s">
        <v>92</v>
      </c>
      <c r="B394" s="35" t="s">
        <v>538</v>
      </c>
      <c r="C394" s="36" t="s">
        <v>123</v>
      </c>
    </row>
    <row r="395" spans="1:3">
      <c r="A395" t="s">
        <v>62</v>
      </c>
      <c r="B395" s="35" t="s">
        <v>539</v>
      </c>
      <c r="C395" s="36" t="s">
        <v>123</v>
      </c>
    </row>
    <row r="396" spans="1:3">
      <c r="A396" t="s">
        <v>62</v>
      </c>
      <c r="B396" s="35" t="s">
        <v>540</v>
      </c>
      <c r="C396" s="36" t="s">
        <v>123</v>
      </c>
    </row>
    <row r="397" spans="1:3">
      <c r="A397" t="s">
        <v>92</v>
      </c>
      <c r="B397" s="35" t="s">
        <v>541</v>
      </c>
      <c r="C397" s="36" t="s">
        <v>123</v>
      </c>
    </row>
    <row r="398" spans="1:3">
      <c r="A398" t="s">
        <v>62</v>
      </c>
      <c r="B398" s="35" t="s">
        <v>542</v>
      </c>
      <c r="C398" s="36" t="s">
        <v>128</v>
      </c>
    </row>
    <row r="399" spans="1:3">
      <c r="A399" t="s">
        <v>62</v>
      </c>
      <c r="B399" s="35" t="s">
        <v>543</v>
      </c>
      <c r="C399" s="36" t="s">
        <v>123</v>
      </c>
    </row>
    <row r="400" spans="1:3">
      <c r="A400" t="s">
        <v>62</v>
      </c>
      <c r="B400" s="35" t="s">
        <v>544</v>
      </c>
      <c r="C400" s="36" t="s">
        <v>123</v>
      </c>
    </row>
    <row r="401" spans="1:3">
      <c r="A401" t="s">
        <v>62</v>
      </c>
      <c r="B401" s="35" t="s">
        <v>545</v>
      </c>
      <c r="C401" s="36" t="s">
        <v>123</v>
      </c>
    </row>
    <row r="402" spans="1:3">
      <c r="A402" t="s">
        <v>62</v>
      </c>
      <c r="B402" s="35" t="s">
        <v>546</v>
      </c>
      <c r="C402" s="36" t="s">
        <v>123</v>
      </c>
    </row>
    <row r="403" spans="1:3">
      <c r="A403" t="s">
        <v>92</v>
      </c>
      <c r="B403" s="35" t="s">
        <v>547</v>
      </c>
      <c r="C403" s="36" t="s">
        <v>123</v>
      </c>
    </row>
    <row r="404" spans="1:3">
      <c r="A404" t="s">
        <v>62</v>
      </c>
      <c r="B404" s="35" t="s">
        <v>548</v>
      </c>
      <c r="C404" s="36" t="s">
        <v>123</v>
      </c>
    </row>
    <row r="405" spans="1:3">
      <c r="A405" t="s">
        <v>62</v>
      </c>
      <c r="B405" s="35" t="s">
        <v>549</v>
      </c>
      <c r="C405" s="36" t="s">
        <v>123</v>
      </c>
    </row>
    <row r="406" spans="1:3">
      <c r="A406" t="s">
        <v>92</v>
      </c>
      <c r="B406" s="35" t="s">
        <v>550</v>
      </c>
      <c r="C406" s="36" t="s">
        <v>128</v>
      </c>
    </row>
    <row r="407" spans="1:3">
      <c r="A407" t="s">
        <v>92</v>
      </c>
      <c r="B407" s="35" t="s">
        <v>551</v>
      </c>
      <c r="C407" s="36" t="s">
        <v>123</v>
      </c>
    </row>
    <row r="408" spans="1:3">
      <c r="A408" t="s">
        <v>92</v>
      </c>
      <c r="B408" s="35" t="s">
        <v>552</v>
      </c>
      <c r="C408" s="36" t="s">
        <v>123</v>
      </c>
    </row>
    <row r="409" spans="1:3">
      <c r="A409" t="s">
        <v>92</v>
      </c>
      <c r="B409" s="35" t="s">
        <v>553</v>
      </c>
      <c r="C409" s="36" t="s">
        <v>123</v>
      </c>
    </row>
    <row r="410" spans="1:3">
      <c r="A410" t="s">
        <v>62</v>
      </c>
      <c r="B410" s="35" t="s">
        <v>554</v>
      </c>
      <c r="C410" s="36" t="s">
        <v>123</v>
      </c>
    </row>
    <row r="411" spans="1:3">
      <c r="A411" t="s">
        <v>62</v>
      </c>
      <c r="B411" s="35" t="s">
        <v>555</v>
      </c>
      <c r="C411" s="36" t="s">
        <v>123</v>
      </c>
    </row>
    <row r="412" spans="1:3">
      <c r="A412" t="s">
        <v>62</v>
      </c>
      <c r="B412" s="35" t="s">
        <v>556</v>
      </c>
      <c r="C412" s="36" t="s">
        <v>123</v>
      </c>
    </row>
    <row r="413" spans="1:3">
      <c r="A413" t="s">
        <v>62</v>
      </c>
      <c r="B413" s="35" t="s">
        <v>557</v>
      </c>
      <c r="C413" s="36" t="s">
        <v>123</v>
      </c>
    </row>
    <row r="414" spans="1:3">
      <c r="A414" t="s">
        <v>62</v>
      </c>
      <c r="B414" s="35" t="s">
        <v>558</v>
      </c>
      <c r="C414" s="36" t="s">
        <v>123</v>
      </c>
    </row>
    <row r="415" spans="1:3">
      <c r="A415" t="s">
        <v>92</v>
      </c>
      <c r="B415" s="35" t="s">
        <v>559</v>
      </c>
      <c r="C415" s="36" t="s">
        <v>123</v>
      </c>
    </row>
    <row r="416" spans="1:3">
      <c r="A416" t="s">
        <v>62</v>
      </c>
      <c r="B416" s="35" t="s">
        <v>560</v>
      </c>
      <c r="C416" s="36" t="s">
        <v>123</v>
      </c>
    </row>
    <row r="417" spans="1:3">
      <c r="A417" t="s">
        <v>62</v>
      </c>
      <c r="B417" s="35" t="s">
        <v>561</v>
      </c>
      <c r="C417" s="36" t="s">
        <v>123</v>
      </c>
    </row>
    <row r="418" spans="1:3">
      <c r="A418" t="s">
        <v>62</v>
      </c>
      <c r="B418" s="35" t="s">
        <v>562</v>
      </c>
      <c r="C418" s="36" t="s">
        <v>123</v>
      </c>
    </row>
    <row r="419" spans="1:3">
      <c r="A419" t="s">
        <v>62</v>
      </c>
      <c r="B419" s="35" t="s">
        <v>563</v>
      </c>
      <c r="C419" s="36" t="s">
        <v>123</v>
      </c>
    </row>
    <row r="420" spans="1:3">
      <c r="A420" t="s">
        <v>62</v>
      </c>
      <c r="B420" s="35" t="s">
        <v>564</v>
      </c>
      <c r="C420" s="36" t="s">
        <v>123</v>
      </c>
    </row>
    <row r="421" spans="1:3">
      <c r="A421" t="s">
        <v>92</v>
      </c>
      <c r="B421" s="35" t="s">
        <v>565</v>
      </c>
      <c r="C421" s="36" t="s">
        <v>123</v>
      </c>
    </row>
    <row r="422" spans="1:3">
      <c r="A422" t="s">
        <v>62</v>
      </c>
      <c r="B422" s="35" t="s">
        <v>566</v>
      </c>
      <c r="C422" s="36" t="s">
        <v>123</v>
      </c>
    </row>
    <row r="423" spans="1:3">
      <c r="A423" t="s">
        <v>62</v>
      </c>
      <c r="B423" s="35" t="s">
        <v>567</v>
      </c>
      <c r="C423" s="36" t="s">
        <v>123</v>
      </c>
    </row>
    <row r="424" spans="1:3">
      <c r="A424" t="s">
        <v>62</v>
      </c>
      <c r="B424" s="35" t="s">
        <v>568</v>
      </c>
      <c r="C424" s="36" t="s">
        <v>123</v>
      </c>
    </row>
    <row r="425" spans="1:3">
      <c r="A425" t="s">
        <v>62</v>
      </c>
      <c r="B425" s="35" t="s">
        <v>121</v>
      </c>
      <c r="C425" s="36" t="s">
        <v>123</v>
      </c>
    </row>
    <row r="426" spans="1:3">
      <c r="A426" t="s">
        <v>92</v>
      </c>
      <c r="B426" s="35" t="s">
        <v>569</v>
      </c>
      <c r="C426" s="36" t="s">
        <v>123</v>
      </c>
    </row>
    <row r="427" spans="1:3">
      <c r="A427" t="s">
        <v>62</v>
      </c>
      <c r="B427" s="35" t="s">
        <v>164</v>
      </c>
      <c r="C427" s="36" t="s">
        <v>128</v>
      </c>
    </row>
    <row r="428" spans="1:3">
      <c r="A428" t="s">
        <v>92</v>
      </c>
      <c r="B428" s="35" t="s">
        <v>570</v>
      </c>
      <c r="C428" s="36" t="s">
        <v>123</v>
      </c>
    </row>
    <row r="429" spans="1:3">
      <c r="A429" t="s">
        <v>92</v>
      </c>
      <c r="B429" s="35" t="s">
        <v>571</v>
      </c>
      <c r="C429" s="36" t="s">
        <v>123</v>
      </c>
    </row>
    <row r="430" spans="1:3">
      <c r="A430" t="s">
        <v>62</v>
      </c>
      <c r="B430" s="35" t="s">
        <v>112</v>
      </c>
      <c r="C430" s="36" t="s">
        <v>123</v>
      </c>
    </row>
    <row r="431" spans="1:3">
      <c r="A431" t="s">
        <v>62</v>
      </c>
      <c r="B431" s="35" t="s">
        <v>117</v>
      </c>
      <c r="C431" s="36" t="s">
        <v>123</v>
      </c>
    </row>
  </sheetData>
  <sortState xmlns:xlrd2="http://schemas.microsoft.com/office/spreadsheetml/2017/richdata2" ref="A2:C161">
    <sortCondition ref="B2:B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2024-09-12T17:39:55Z</dcterms:modified>
  <cp:category/>
  <cp:contentStatus/>
</cp:coreProperties>
</file>