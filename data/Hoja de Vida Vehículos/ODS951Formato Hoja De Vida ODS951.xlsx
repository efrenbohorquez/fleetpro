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1091" documentId="11_1D6D6AF77B27717248CE2408E8C52006F4505169" xr6:coauthVersionLast="47" xr6:coauthVersionMax="47" xr10:uidLastSave="{BDBC0DDD-8A7F-40D1-A91F-433D617546E2}"/>
  <bookViews>
    <workbookView xWindow="0" yWindow="0" windowWidth="20490" windowHeight="6930" xr2:uid="{00000000-000D-0000-FFFF-FFFF00000000}"/>
  </bookViews>
  <sheets>
    <sheet name="ODS951" sheetId="2" r:id="rId1"/>
    <sheet name="Hoja1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9" i="2" l="1"/>
  <c r="U19" i="2"/>
  <c r="V19" i="2"/>
  <c r="W19" i="2"/>
  <c r="X19" i="2" s="1"/>
  <c r="T51" i="2"/>
  <c r="P51" i="2"/>
  <c r="T50" i="2"/>
  <c r="P50" i="2"/>
  <c r="T49" i="2"/>
  <c r="P49" i="2"/>
  <c r="T48" i="2"/>
  <c r="P48" i="2"/>
  <c r="T47" i="2"/>
  <c r="P47" i="2"/>
  <c r="T46" i="2"/>
  <c r="P46" i="2"/>
  <c r="T45" i="2"/>
  <c r="P45" i="2"/>
  <c r="T44" i="2"/>
  <c r="P44" i="2"/>
  <c r="T43" i="2"/>
  <c r="P43" i="2"/>
  <c r="T42" i="2"/>
  <c r="P42" i="2"/>
  <c r="T41" i="2"/>
  <c r="P41" i="2"/>
  <c r="T40" i="2"/>
  <c r="P40" i="2"/>
  <c r="T39" i="2"/>
  <c r="P39" i="2"/>
  <c r="T38" i="2"/>
  <c r="P38" i="2"/>
  <c r="T37" i="2"/>
  <c r="P37" i="2"/>
  <c r="T36" i="2"/>
  <c r="P36" i="2"/>
  <c r="Q36" i="2" s="1"/>
  <c r="T35" i="2"/>
  <c r="P35" i="2"/>
  <c r="Q35" i="2" s="1"/>
  <c r="T34" i="2"/>
  <c r="P34" i="2"/>
  <c r="T33" i="2"/>
  <c r="P33" i="2"/>
  <c r="T32" i="2"/>
  <c r="P32" i="2"/>
  <c r="T31" i="2"/>
  <c r="P31" i="2"/>
  <c r="T30" i="2"/>
  <c r="P30" i="2"/>
  <c r="T29" i="2"/>
  <c r="P29" i="2"/>
  <c r="R29" i="2" s="1"/>
  <c r="T28" i="2"/>
  <c r="P28" i="2"/>
  <c r="R28" i="2" s="1"/>
  <c r="T27" i="2"/>
  <c r="P27" i="2"/>
  <c r="T26" i="2"/>
  <c r="P26" i="2"/>
  <c r="T25" i="2"/>
  <c r="P25" i="2"/>
  <c r="T24" i="2"/>
  <c r="P24" i="2"/>
  <c r="T23" i="2"/>
  <c r="P23" i="2"/>
  <c r="T22" i="2"/>
  <c r="P22" i="2"/>
  <c r="T21" i="2"/>
  <c r="P21" i="2"/>
  <c r="T20" i="2"/>
  <c r="P20" i="2"/>
  <c r="Q27" i="2" l="1"/>
  <c r="R27" i="2"/>
  <c r="Q20" i="2"/>
  <c r="R20" i="2" s="1"/>
  <c r="U20" i="2"/>
  <c r="V20" i="2" s="1"/>
  <c r="Q21" i="2"/>
  <c r="R21" i="2" s="1"/>
  <c r="U21" i="2"/>
  <c r="V21" i="2" s="1"/>
  <c r="Q22" i="2"/>
  <c r="R22" i="2" s="1"/>
  <c r="U22" i="2"/>
  <c r="V22" i="2" s="1"/>
  <c r="Q23" i="2"/>
  <c r="R23" i="2" s="1"/>
  <c r="U23" i="2"/>
  <c r="V23" i="2" s="1"/>
  <c r="Q24" i="2"/>
  <c r="R24" i="2" s="1"/>
  <c r="U24" i="2"/>
  <c r="V24" i="2" s="1"/>
  <c r="Q25" i="2"/>
  <c r="R25" i="2" s="1"/>
  <c r="U25" i="2"/>
  <c r="V25" i="2" s="1"/>
  <c r="Q26" i="2"/>
  <c r="R26" i="2" s="1"/>
  <c r="U26" i="2"/>
  <c r="V26" i="2" s="1"/>
  <c r="U27" i="2"/>
  <c r="V27" i="2" s="1"/>
  <c r="U28" i="2"/>
  <c r="V28" i="2" s="1"/>
  <c r="W28" i="2" s="1"/>
  <c r="U29" i="2"/>
  <c r="V29" i="2" s="1"/>
  <c r="W29" i="2" s="1"/>
  <c r="Q30" i="2"/>
  <c r="R30" i="2" s="1"/>
  <c r="U30" i="2"/>
  <c r="V30" i="2" s="1"/>
  <c r="Q31" i="2"/>
  <c r="R31" i="2" s="1"/>
  <c r="U31" i="2"/>
  <c r="V31" i="2" s="1"/>
  <c r="Q32" i="2"/>
  <c r="R32" i="2" s="1"/>
  <c r="U32" i="2"/>
  <c r="V32" i="2" s="1"/>
  <c r="Q33" i="2"/>
  <c r="R33" i="2" s="1"/>
  <c r="U33" i="2"/>
  <c r="V33" i="2" s="1"/>
  <c r="Q34" i="2"/>
  <c r="R34" i="2" s="1"/>
  <c r="U34" i="2"/>
  <c r="V34" i="2" s="1"/>
  <c r="U35" i="2"/>
  <c r="V35" i="2" s="1"/>
  <c r="W35" i="2" s="1"/>
  <c r="U36" i="2"/>
  <c r="V36" i="2" s="1"/>
  <c r="W36" i="2" s="1"/>
  <c r="Q37" i="2"/>
  <c r="R37" i="2" s="1"/>
  <c r="U37" i="2"/>
  <c r="V37" i="2" s="1"/>
  <c r="Q38" i="2"/>
  <c r="R38" i="2" s="1"/>
  <c r="U38" i="2"/>
  <c r="V38" i="2" s="1"/>
  <c r="Q39" i="2"/>
  <c r="R39" i="2" s="1"/>
  <c r="U39" i="2"/>
  <c r="V39" i="2" s="1"/>
  <c r="Q40" i="2"/>
  <c r="R40" i="2" s="1"/>
  <c r="U40" i="2"/>
  <c r="V40" i="2" s="1"/>
  <c r="Q41" i="2"/>
  <c r="R41" i="2" s="1"/>
  <c r="U41" i="2"/>
  <c r="V41" i="2" s="1"/>
  <c r="Q42" i="2"/>
  <c r="R42" i="2" s="1"/>
  <c r="U42" i="2"/>
  <c r="V42" i="2" s="1"/>
  <c r="Q43" i="2"/>
  <c r="R43" i="2" s="1"/>
  <c r="U43" i="2"/>
  <c r="V43" i="2" s="1"/>
  <c r="Q44" i="2"/>
  <c r="R44" i="2" s="1"/>
  <c r="U44" i="2"/>
  <c r="V44" i="2" s="1"/>
  <c r="Q45" i="2"/>
  <c r="R45" i="2" s="1"/>
  <c r="U45" i="2"/>
  <c r="V45" i="2" s="1"/>
  <c r="Q46" i="2"/>
  <c r="R46" i="2" s="1"/>
  <c r="U46" i="2"/>
  <c r="V46" i="2" s="1"/>
  <c r="Q47" i="2"/>
  <c r="R47" i="2" s="1"/>
  <c r="U47" i="2"/>
  <c r="V47" i="2" s="1"/>
  <c r="Q48" i="2"/>
  <c r="R48" i="2" s="1"/>
  <c r="U48" i="2"/>
  <c r="V48" i="2" s="1"/>
  <c r="Q49" i="2"/>
  <c r="R49" i="2" s="1"/>
  <c r="U49" i="2"/>
  <c r="V49" i="2" s="1"/>
  <c r="Q50" i="2"/>
  <c r="R50" i="2" s="1"/>
  <c r="U50" i="2"/>
  <c r="V50" i="2" s="1"/>
  <c r="Q51" i="2"/>
  <c r="R51" i="2" s="1"/>
  <c r="U51" i="2"/>
  <c r="V51" i="2" s="1"/>
  <c r="W38" i="2" l="1"/>
  <c r="W37" i="2"/>
  <c r="W34" i="2"/>
  <c r="W33" i="2"/>
  <c r="W32" i="2"/>
  <c r="W31" i="2"/>
  <c r="W30" i="2"/>
  <c r="W26" i="2"/>
  <c r="W25" i="2"/>
  <c r="W24" i="2"/>
  <c r="W23" i="2"/>
  <c r="W22" i="2"/>
  <c r="W21" i="2"/>
  <c r="W20" i="2"/>
  <c r="W27" i="2"/>
  <c r="W51" i="2"/>
  <c r="W50" i="2"/>
  <c r="X50" i="2" s="1"/>
  <c r="W49" i="2"/>
  <c r="X49" i="2" s="1"/>
  <c r="W48" i="2"/>
  <c r="X48" i="2" s="1"/>
  <c r="W47" i="2"/>
  <c r="X47" i="2" s="1"/>
  <c r="W46" i="2"/>
  <c r="X46" i="2" s="1"/>
  <c r="W45" i="2"/>
  <c r="X45" i="2" s="1"/>
  <c r="W44" i="2"/>
  <c r="X44" i="2" s="1"/>
  <c r="W43" i="2"/>
  <c r="W42" i="2"/>
  <c r="W41" i="2"/>
  <c r="W40" i="2"/>
  <c r="W39" i="2"/>
  <c r="X20" i="2" l="1"/>
</calcChain>
</file>

<file path=xl/sharedStrings.xml><?xml version="1.0" encoding="utf-8"?>
<sst xmlns="http://schemas.openxmlformats.org/spreadsheetml/2006/main" count="1458" uniqueCount="541">
  <si>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</si>
  <si>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</si>
  <si>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</si>
  <si>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</si>
  <si>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</si>
  <si>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</si>
  <si>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</si>
  <si>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</si>
  <si>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</si>
  <si>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</si>
  <si>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</si>
  <si>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</si>
  <si>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</si>
  <si>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</si>
  <si>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</si>
  <si>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</si>
  <si>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</si>
  <si>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</si>
  <si>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</si>
  <si>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</si>
  <si>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</si>
  <si>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ODS951</t>
  </si>
  <si>
    <t>JIMNY</t>
  </si>
  <si>
    <t>CAMPERO</t>
  </si>
  <si>
    <t>SUSUKI</t>
  </si>
  <si>
    <t>NEGRO</t>
  </si>
  <si>
    <t>CABINADO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</si>
  <si>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</si>
  <si>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</si>
  <si>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</si>
  <si>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</si>
  <si>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</si>
  <si>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</si>
  <si>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</si>
  <si>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</si>
  <si>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</si>
  <si>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</si>
  <si>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 xml:space="preserve"> 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</si>
  <si>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</si>
  <si>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</si>
  <si>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</si>
  <si>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</si>
  <si>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</si>
  <si>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</si>
  <si>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</si>
  <si>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</si>
  <si>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</si>
  <si>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</si>
  <si>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</si>
  <si>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</si>
  <si>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</si>
  <si>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</si>
  <si>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</si>
  <si>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</si>
  <si>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</si>
  <si>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</si>
  <si>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</si>
  <si>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</si>
  <si>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</si>
  <si>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</si>
  <si>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</si>
  <si>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AUTOCARS INGENIERIA SAS</t>
  </si>
  <si>
    <t>14/002/2024</t>
  </si>
  <si>
    <t>AIS 9171</t>
  </si>
  <si>
    <t>PREVENTIVO</t>
  </si>
  <si>
    <t>PRESILENCIADOR EXOSTO</t>
  </si>
  <si>
    <t>SOPORTE</t>
  </si>
  <si>
    <t>CAMBIO DE ACEITE Y FILTROS (ACEITE Y AIRE),CAMBIO FILTRO AIRE ACONDICIONADO, REVISIÓN MANDO AIRE ACONDICINADO, REVISIÓN FRENOS, CAMBIO TAPICERIA Y ESPUMAS SILLA PILOTO</t>
  </si>
  <si>
    <t>AIS 9445</t>
  </si>
  <si>
    <t>FILTRO DE ACEITE R</t>
  </si>
  <si>
    <t>FILTRO DE AIRE R</t>
  </si>
  <si>
    <t>FILTRO DE AIRE ACONDICIONADO R</t>
  </si>
  <si>
    <t>CORRECTIVO</t>
  </si>
  <si>
    <t>AMORTIGUADOR DELANTERO R</t>
  </si>
  <si>
    <t>AMORTIGUADOR TRASERO R</t>
  </si>
  <si>
    <t>AJUSTADOR BANDAS DE FRENO - R</t>
  </si>
  <si>
    <t>BANDAS FRENOS - R</t>
  </si>
  <si>
    <t>TRINQUETE FRENO DE MANO-R</t>
  </si>
  <si>
    <t>VALVULINA TRANSMISIÓN X 1 CUARTO R</t>
  </si>
  <si>
    <t>ACEITE MOTOR X1 CUARTO R</t>
  </si>
  <si>
    <t>ACEITE MOTOR X1 CUARTO S</t>
  </si>
  <si>
    <t>AMORTIGUADOR DELANTERO S</t>
  </si>
  <si>
    <t>AMORTIGUADOR TRASERO S</t>
  </si>
  <si>
    <t>REVISIÓN FUGAS Y CAMBIO DE VALVULINADIFERENNCIAL DELANTERA S</t>
  </si>
  <si>
    <t>POLARIZADO CONVENCIONAL AL 35% S</t>
  </si>
  <si>
    <t>TAPICERIA Y ABOYONADO DE LA SILLA CONDUCTOR S</t>
  </si>
  <si>
    <t>REVISIÓN GENERAL DE FRENOS S</t>
  </si>
  <si>
    <t>AJUSTE DE SUSPENCIÓN TRASERA Y DELANTERA S</t>
  </si>
  <si>
    <t xml:space="preserve">MANTENIMIENTO PASADORES MORDAZA C/U, INCLUYE ENGRASE -S </t>
  </si>
  <si>
    <t>AIS 9644</t>
  </si>
  <si>
    <t>AJUSTE GUSANILLO A/A</t>
  </si>
  <si>
    <t>MANTENIMIENTOY CARGA A/A</t>
  </si>
  <si>
    <t>REPARACION COMPRESOR A/A</t>
  </si>
  <si>
    <t>ALINEACION DE LLANTAS</t>
  </si>
  <si>
    <t>SERVICIOS</t>
  </si>
  <si>
    <t>ALLINEACION LUCES</t>
  </si>
  <si>
    <t>Nota: Si este documento se encuentra impreso se considera Copia no Controlada. La versión vigente está publicada en la intranet de la Personería de Bogotá, D. C.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</si>
  <si>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</si>
  <si>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</si>
  <si>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</si>
  <si>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</si>
  <si>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</si>
  <si>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</si>
  <si>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</si>
  <si>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</si>
  <si>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</si>
  <si>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</si>
  <si>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</si>
  <si>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</si>
  <si>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</si>
  <si>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</si>
  <si>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</si>
  <si>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</si>
  <si>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</si>
  <si>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</si>
  <si>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</si>
  <si>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</si>
  <si>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</si>
  <si>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</si>
  <si>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</si>
  <si>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</si>
  <si>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</si>
  <si>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</si>
  <si>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</si>
  <si>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</si>
  <si>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</si>
  <si>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</si>
  <si>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</si>
  <si>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</si>
  <si>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</si>
  <si>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</si>
  <si>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</si>
  <si>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</si>
  <si>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</si>
  <si>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</si>
  <si>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</si>
  <si>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MOTOVENTILADOR</t>
  </si>
  <si>
    <t>ARREGLO TAPIZADO GENERAL</t>
  </si>
  <si>
    <t>ARREGLO Y MANTENIMIENTO ESCAPE</t>
  </si>
  <si>
    <t>AUTOMATICO ARRANQUE</t>
  </si>
  <si>
    <t>BAJAR Y MONTAR RADIADOR MOTOR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</si>
  <si>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</si>
  <si>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</si>
  <si>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</si>
  <si>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</si>
  <si>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</si>
  <si>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</si>
  <si>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</si>
  <si>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</si>
  <si>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</si>
  <si>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</si>
  <si>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</si>
  <si>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</si>
  <si>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</si>
  <si>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</si>
  <si>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</si>
  <si>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</si>
  <si>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</si>
  <si>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</si>
  <si>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</si>
  <si>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</si>
  <si>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</si>
  <si>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</si>
  <si>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</si>
  <si>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</si>
  <si>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</si>
  <si>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</si>
  <si>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</si>
  <si>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BRAZO PALANCA CONTROL CAMBIOS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</si>
  <si>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</si>
  <si>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</si>
  <si>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</si>
  <si>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</si>
  <si>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</si>
  <si>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</si>
  <si>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</si>
  <si>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</si>
  <si>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</si>
  <si>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</si>
  <si>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</si>
  <si>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</si>
  <si>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</si>
  <si>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</si>
  <si>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</si>
  <si>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</si>
  <si>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</si>
  <si>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</si>
  <si>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</si>
  <si>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</si>
  <si>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</si>
  <si>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</si>
  <si>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</si>
  <si>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</si>
  <si>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</si>
  <si>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</si>
  <si>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BUJES TIJERA INFERIOR Y SUPERIOR</t>
  </si>
  <si>
    <t>CAMBIO CERRADURA</t>
  </si>
  <si>
    <t>CAMBIO CILINDRO DE FRENO</t>
  </si>
  <si>
    <t>CAMBIO CORREAS</t>
  </si>
  <si>
    <t>CAMBIO CREMALLERA</t>
  </si>
  <si>
    <t>CAMBIO DE ACEITE</t>
  </si>
  <si>
    <t>CAMBIO DE ACEITE MOTOR, ENTRE OTROS</t>
  </si>
  <si>
    <t>CAMBIO DE FILTROS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</si>
  <si>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</si>
  <si>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</si>
  <si>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</si>
  <si>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</si>
  <si>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</si>
  <si>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</si>
  <si>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</si>
  <si>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</si>
  <si>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 TRAMPA DE AGUA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</si>
  <si>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</si>
  <si>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</si>
  <si>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</si>
  <si>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</si>
  <si>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</si>
  <si>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</si>
  <si>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</si>
  <si>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</si>
  <si>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</si>
  <si>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</si>
  <si>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</si>
  <si>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</si>
  <si>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</si>
  <si>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</si>
  <si>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</si>
  <si>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</si>
  <si>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</si>
  <si>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</si>
  <si>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</si>
  <si>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PORTAMANGUETA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</si>
  <si>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</si>
  <si>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</si>
  <si>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</si>
  <si>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</si>
  <si>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</si>
  <si>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</si>
  <si>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</si>
  <si>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</si>
  <si>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</si>
  <si>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</si>
  <si>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</si>
  <si>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</si>
  <si>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</si>
  <si>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</si>
  <si>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</si>
  <si>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</si>
  <si>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</si>
  <si>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</si>
  <si>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</si>
  <si>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</si>
  <si>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</si>
  <si>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</si>
  <si>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</si>
  <si>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</si>
  <si>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</si>
  <si>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</si>
  <si>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</si>
  <si>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</si>
  <si>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</si>
  <si>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</si>
  <si>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</si>
  <si>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</si>
  <si>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</si>
  <si>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CREMALLERA PUERTA IZQ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</si>
  <si>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</si>
  <si>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</si>
  <si>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</si>
  <si>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</si>
  <si>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</si>
  <si>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</si>
  <si>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</si>
  <si>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</si>
  <si>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CUERPO DE ACELERACION PARA REVISION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</si>
  <si>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</si>
  <si>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</si>
  <si>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</si>
  <si>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</si>
  <si>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</si>
  <si>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</si>
  <si>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</si>
  <si>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</si>
  <si>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</si>
  <si>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>DESENGRASANTE</t>
  </si>
  <si>
    <t xml:space="preserve">DESMANCHADO EXTERIOR </t>
  </si>
  <si>
    <t>DESMONTE RADIADOR ARREGLO FUGAS Y SONDEO</t>
  </si>
  <si>
    <t>DESMONTE TANQUE COMBUSTIBLE</t>
  </si>
  <si>
    <t>DESMONTE TIJERA INFERIOR</t>
  </si>
  <si>
    <t>DESMONTE TIJERA INFERIOR Y SUPERIOR</t>
  </si>
  <si>
    <t>DIRECCIONAL ESPEJO</t>
  </si>
  <si>
    <t>DUCTO ENTRADA AIRE</t>
  </si>
  <si>
    <t>DUCTO SALIDA FILTRO AIRE</t>
  </si>
  <si>
    <t>EMBUJAR MORDAZAS</t>
  </si>
  <si>
    <t>EMPAQUE</t>
  </si>
  <si>
    <t>EMPAQUE BOMBA COMBUSTIBLE</t>
  </si>
  <si>
    <t>EMPAQUE PUERTA DELANTERA</t>
  </si>
  <si>
    <t xml:space="preserve">EMPAQUE PUERTA DELATERA </t>
  </si>
  <si>
    <t>EMPAQUE RADIADOR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</si>
  <si>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</si>
  <si>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</si>
  <si>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</si>
  <si>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</si>
  <si>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</si>
  <si>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</si>
  <si>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</si>
  <si>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</si>
  <si>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</si>
  <si>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</si>
  <si>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</si>
  <si>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</si>
  <si>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</si>
  <si>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</si>
  <si>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</si>
  <si>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</si>
  <si>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</si>
  <si>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</si>
  <si>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</si>
  <si>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</si>
  <si>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</si>
  <si>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</si>
  <si>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</si>
  <si>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</si>
  <si>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</si>
  <si>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</si>
  <si>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</si>
  <si>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EMBRAGUE</t>
  </si>
  <si>
    <t>GUAYA IZQUIERDA FRENO DE MANO</t>
  </si>
  <si>
    <t>GUAYA VELOCIMETRO</t>
  </si>
  <si>
    <t>GUIA CARROCERIA DEL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</si>
  <si>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</si>
  <si>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</si>
  <si>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</si>
  <si>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</si>
  <si>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</si>
  <si>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</si>
  <si>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</si>
  <si>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</si>
  <si>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</si>
  <si>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</si>
  <si>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</si>
  <si>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</si>
  <si>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</si>
  <si>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</si>
  <si>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</si>
  <si>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</si>
  <si>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</si>
  <si>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</si>
  <si>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</si>
  <si>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</si>
  <si>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JUEGO TAPONES EJE DE LEVAS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</si>
  <si>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</si>
  <si>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</si>
  <si>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</si>
  <si>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</si>
  <si>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</si>
  <si>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</si>
  <si>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</si>
  <si>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</si>
  <si>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</si>
  <si>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</si>
  <si>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</si>
  <si>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</si>
  <si>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</si>
  <si>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</si>
  <si>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 Y SINCRONIZADO INYECTORES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</si>
  <si>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</si>
  <si>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</si>
  <si>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</si>
  <si>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</si>
  <si>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</si>
  <si>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</si>
  <si>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</si>
  <si>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AFLOJATODO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</si>
  <si>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</si>
  <si>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</si>
  <si>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</si>
  <si>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</si>
  <si>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</si>
  <si>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</si>
  <si>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</si>
  <si>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</si>
  <si>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</si>
  <si>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</si>
  <si>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</si>
  <si>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</si>
  <si>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</si>
  <si>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</si>
  <si>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</si>
  <si>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</si>
  <si>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MODULO TANQUE MEDIDOR COMBUSTIBLE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</si>
  <si>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</si>
  <si>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</si>
  <si>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</si>
  <si>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</si>
  <si>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</si>
  <si>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</si>
  <si>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</si>
  <si>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</si>
  <si>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PALANCA CONTROL CAMBIOS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</si>
  <si>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</si>
  <si>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</si>
  <si>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</si>
  <si>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</si>
  <si>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</si>
  <si>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</si>
  <si>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</si>
  <si>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PERITAJE Y/O EVALUACION VEHICULOS BAJA</t>
  </si>
  <si>
    <t>BAJA</t>
  </si>
  <si>
    <t>PERNO RUEDA</t>
  </si>
  <si>
    <t>PILAS CR 2016 CONTROL</t>
  </si>
  <si>
    <t>PINES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</si>
  <si>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</si>
  <si>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</si>
  <si>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</si>
  <si>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</si>
  <si>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</si>
  <si>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</si>
  <si>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</si>
  <si>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</si>
  <si>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</si>
  <si>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</si>
  <si>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PORTAMANGUETA IZQ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</si>
  <si>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</si>
  <si>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</si>
  <si>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</si>
  <si>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</si>
  <si>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</si>
  <si>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</si>
  <si>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RECARGA AIRE ACONDICIONADO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</si>
  <si>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</si>
  <si>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</si>
  <si>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</si>
  <si>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</si>
  <si>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</si>
  <si>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</si>
  <si>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</si>
  <si>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</si>
  <si>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</si>
  <si>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</si>
  <si>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</si>
  <si>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</si>
  <si>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</si>
  <si>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</si>
  <si>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REPARAR CAJA VELOCIDADES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</si>
  <si>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</si>
  <si>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</si>
  <si>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</si>
  <si>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</si>
  <si>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</si>
  <si>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</si>
  <si>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</si>
  <si>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</si>
  <si>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</si>
  <si>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</si>
  <si>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</si>
  <si>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</si>
  <si>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</si>
  <si>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</si>
  <si>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</si>
  <si>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</si>
  <si>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</si>
  <si>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</si>
  <si>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</si>
  <si>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</si>
  <si>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</si>
  <si>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</si>
  <si>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 Y RUTEO CABLEADO ELECTRICO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</si>
  <si>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</si>
  <si>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</si>
  <si>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</si>
  <si>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</si>
  <si>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</si>
  <si>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</si>
  <si>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</si>
  <si>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</si>
  <si>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</si>
  <si>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</si>
  <si>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</si>
  <si>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</si>
  <si>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</si>
  <si>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</si>
  <si>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</si>
  <si>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</si>
  <si>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</si>
  <si>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</si>
  <si>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</si>
  <si>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</si>
  <si>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</si>
  <si>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</si>
  <si>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</si>
  <si>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</si>
  <si>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</si>
  <si>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</si>
  <si>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</si>
  <si>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</si>
  <si>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</si>
  <si>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</si>
  <si>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</si>
  <si>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</si>
  <si>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</si>
  <si>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</si>
  <si>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CAJA IZQ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</si>
  <si>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</si>
  <si>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</si>
  <si>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</si>
  <si>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</si>
  <si>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</si>
  <si>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</si>
  <si>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</t>
  </si>
  <si>
    <t>SWITCH CONTROL LUCES</t>
  </si>
  <si>
    <t>SWITCH PILOTO 1 GOLPE</t>
  </si>
  <si>
    <t>TANQUE RADIADOR</t>
  </si>
  <si>
    <t>TAPA CORREA REPARTICION</t>
  </si>
  <si>
    <t>TAPA RADIADOR</t>
  </si>
  <si>
    <t>TAPETES UNIVERSAL</t>
  </si>
  <si>
    <t>TAPIZADO SILLA CONDUCTOR</t>
  </si>
  <si>
    <t>TAPON CULATA EJE DE LEVAS TRASERO</t>
  </si>
  <si>
    <t>TEMPLETE SUPERIOR CARROCERIA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</si>
  <si>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</si>
  <si>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</si>
  <si>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</si>
  <si>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</si>
  <si>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</si>
  <si>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</si>
  <si>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</si>
  <si>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</si>
  <si>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</si>
  <si>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</si>
  <si>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</si>
  <si>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</si>
  <si>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</si>
  <si>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</si>
  <si>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</si>
  <si>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</si>
  <si>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VALVULINA</t>
  </si>
  <si>
    <t>VARILLA ACEITE</t>
  </si>
  <si>
    <t>VARSOL</t>
  </si>
  <si>
    <t>VENTILADOR</t>
  </si>
  <si>
    <t>VULCANIZAR LLANTA</t>
  </si>
  <si>
    <t>REVISAR SISTEMA ALIMENTACION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</si>
</sst>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[$$-240A]\ #,##0"/>
    <numFmt numFmtId="166" formatCode="[$$-240A]\ #,##0.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Bahnschrift"/>
      <family val="2"/>
    </font>
    <font>
      <sz val="11"/>
      <color theme="1"/>
      <name val="Bahnschrift"/>
      <family val="2"/>
    </font>
    <font>
      <b/>
      <sz val="10"/>
      <color theme="1"/>
      <name val="Arial"/>
      <family val="2"/>
    </font>
    <font>
      <sz val="9"/>
      <color theme="1"/>
      <name val="Arial"/>
    </font>
    <font>
      <sz val="9"/>
      <color theme="1"/>
      <name val="Calibri"/>
      <scheme val="minor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54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/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1" fontId="15" fillId="0" borderId="1" xfId="0" applyNumberFormat="1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 applyProtection="1">
      <alignment horizontal="center" vertical="center"/>
      <protection locked="0"/>
    </xf>
    <xf numFmtId="0" fontId="19" fillId="5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9" fillId="5" borderId="1" xfId="0" applyFont="1" applyFill="1" applyBorder="1" applyAlignment="1">
      <alignment vertical="top" wrapText="1"/>
    </xf>
    <xf numFmtId="0" fontId="19" fillId="5" borderId="4" xfId="0" applyFont="1" applyFill="1" applyBorder="1" applyAlignment="1">
      <alignment horizontal="left" wrapText="1"/>
    </xf>
    <xf numFmtId="14" fontId="10" fillId="0" borderId="1" xfId="0" applyNumberFormat="1" applyFont="1" applyBorder="1" applyAlignment="1">
      <alignment horizontal="center" vertical="center"/>
    </xf>
    <xf numFmtId="0" fontId="20" fillId="0" borderId="0" xfId="0" applyFont="1"/>
    <xf numFmtId="14" fontId="9" fillId="0" borderId="1" xfId="0" applyNumberFormat="1" applyFont="1" applyBorder="1" applyAlignment="1">
      <alignment horizontal="center" vertical="center"/>
    </xf>
    <xf numFmtId="0" fontId="5" fillId="6" borderId="0" xfId="0" applyFont="1" applyFill="1"/>
    <xf numFmtId="0" fontId="0" fillId="6" borderId="0" xfId="0" applyFill="1"/>
    <xf numFmtId="0" fontId="0" fillId="7" borderId="0" xfId="0" applyFill="1"/>
    <xf numFmtId="164" fontId="0" fillId="0" borderId="0" xfId="1" applyFont="1"/>
    <xf numFmtId="164" fontId="0" fillId="6" borderId="0" xfId="1" applyFont="1" applyFill="1"/>
    <xf numFmtId="0" fontId="23" fillId="2" borderId="7" xfId="0" applyFont="1" applyFill="1" applyBorder="1" applyAlignment="1">
      <alignment horizontal="center" vertical="center" wrapText="1"/>
    </xf>
    <xf numFmtId="164" fontId="23" fillId="2" borderId="6" xfId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14" fontId="11" fillId="3" borderId="8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9" fillId="0" borderId="5" xfId="1" applyFont="1" applyFill="1" applyBorder="1" applyAlignment="1">
      <alignment vertical="center"/>
    </xf>
    <xf numFmtId="164" fontId="10" fillId="0" borderId="5" xfId="1" applyFont="1" applyFill="1" applyBorder="1" applyAlignment="1">
      <alignment vertical="center"/>
    </xf>
    <xf numFmtId="164" fontId="9" fillId="0" borderId="5" xfId="1" applyFont="1" applyFill="1" applyBorder="1" applyAlignment="1">
      <alignment horizontal="center" vertical="center"/>
    </xf>
    <xf numFmtId="164" fontId="10" fillId="0" borderId="5" xfId="1" applyFont="1" applyBorder="1" applyAlignment="1">
      <alignment vertical="center"/>
    </xf>
    <xf numFmtId="3" fontId="9" fillId="0" borderId="0" xfId="0" applyNumberFormat="1" applyFont="1" applyAlignment="1">
      <alignment horizontal="center" vertical="center"/>
    </xf>
    <xf numFmtId="0" fontId="14" fillId="0" borderId="2" xfId="0" applyFont="1" applyBorder="1" applyAlignment="1">
      <alignment horizontal="center"/>
    </xf>
    <xf numFmtId="164" fontId="9" fillId="0" borderId="10" xfId="1" applyFont="1" applyFill="1" applyBorder="1" applyAlignment="1">
      <alignment vertical="center"/>
    </xf>
    <xf numFmtId="164" fontId="10" fillId="0" borderId="10" xfId="1" applyFont="1" applyFill="1" applyBorder="1" applyAlignment="1">
      <alignment vertical="center"/>
    </xf>
    <xf numFmtId="164" fontId="9" fillId="0" borderId="10" xfId="1" applyFont="1" applyFill="1" applyBorder="1" applyAlignment="1">
      <alignment horizontal="center" vertical="center"/>
    </xf>
    <xf numFmtId="164" fontId="10" fillId="0" borderId="10" xfId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14" fontId="26" fillId="0" borderId="5" xfId="0" applyNumberFormat="1" applyFont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6" fillId="0" borderId="5" xfId="0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0" fontId="24" fillId="0" borderId="5" xfId="2" applyFont="1" applyBorder="1" applyAlignment="1">
      <alignment vertical="center"/>
    </xf>
    <xf numFmtId="0" fontId="26" fillId="0" borderId="5" xfId="0" applyFont="1" applyBorder="1" applyAlignment="1">
      <alignment horizontal="center" vertical="center"/>
    </xf>
    <xf numFmtId="164" fontId="10" fillId="0" borderId="5" xfId="1" applyFont="1" applyFill="1" applyBorder="1" applyAlignment="1">
      <alignment horizontal="center" vertical="center"/>
    </xf>
    <xf numFmtId="0" fontId="26" fillId="0" borderId="10" xfId="0" applyFont="1" applyBorder="1" applyAlignment="1">
      <alignment vertical="center"/>
    </xf>
    <xf numFmtId="0" fontId="27" fillId="0" borderId="10" xfId="0" applyFont="1" applyBorder="1" applyAlignment="1">
      <alignment horizontal="center" vertical="center"/>
    </xf>
    <xf numFmtId="14" fontId="26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0" borderId="15" xfId="0" applyFont="1" applyBorder="1" applyAlignment="1">
      <alignment vertical="center"/>
    </xf>
    <xf numFmtId="0" fontId="5" fillId="0" borderId="10" xfId="0" applyFont="1" applyBorder="1"/>
    <xf numFmtId="0" fontId="14" fillId="0" borderId="11" xfId="0" applyFont="1" applyBorder="1" applyAlignment="1">
      <alignment horizontal="center"/>
    </xf>
    <xf numFmtId="0" fontId="27" fillId="0" borderId="14" xfId="0" applyFont="1" applyBorder="1" applyAlignment="1">
      <alignment vertical="center"/>
    </xf>
    <xf numFmtId="14" fontId="26" fillId="0" borderId="14" xfId="0" applyNumberFormat="1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16" xfId="0" applyFont="1" applyBorder="1" applyAlignment="1">
      <alignment vertical="center"/>
    </xf>
    <xf numFmtId="164" fontId="9" fillId="0" borderId="14" xfId="1" applyFont="1" applyFill="1" applyBorder="1" applyAlignment="1">
      <alignment vertical="center"/>
    </xf>
    <xf numFmtId="164" fontId="10" fillId="0" borderId="14" xfId="1" applyFont="1" applyFill="1" applyBorder="1" applyAlignment="1">
      <alignment vertical="center"/>
    </xf>
    <xf numFmtId="164" fontId="9" fillId="0" borderId="14" xfId="1" applyFont="1" applyFill="1" applyBorder="1" applyAlignment="1">
      <alignment horizontal="center" vertical="center"/>
    </xf>
    <xf numFmtId="164" fontId="10" fillId="0" borderId="14" xfId="1" applyFont="1" applyBorder="1" applyAlignment="1">
      <alignment vertical="center"/>
    </xf>
    <xf numFmtId="164" fontId="10" fillId="0" borderId="14" xfId="0" applyNumberFormat="1" applyFont="1" applyBorder="1" applyAlignment="1">
      <alignment vertical="center"/>
    </xf>
    <xf numFmtId="0" fontId="0" fillId="6" borderId="5" xfId="0" applyFill="1" applyBorder="1"/>
    <xf numFmtId="0" fontId="30" fillId="6" borderId="5" xfId="0" applyFont="1" applyFill="1" applyBorder="1" applyAlignment="1">
      <alignment horizontal="center" vertical="center" wrapText="1"/>
    </xf>
    <xf numFmtId="166" fontId="29" fillId="0" borderId="14" xfId="1" applyNumberFormat="1" applyFont="1" applyBorder="1" applyAlignment="1">
      <alignment vertical="center"/>
    </xf>
    <xf numFmtId="166" fontId="29" fillId="6" borderId="5" xfId="0" applyNumberFormat="1" applyFont="1" applyFill="1" applyBorder="1" applyAlignment="1">
      <alignment horizontal="center" vertical="center"/>
    </xf>
    <xf numFmtId="166" fontId="29" fillId="0" borderId="17" xfId="0" applyNumberFormat="1" applyFont="1" applyBorder="1" applyAlignment="1">
      <alignment vertical="center"/>
    </xf>
    <xf numFmtId="0" fontId="20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164" fontId="31" fillId="0" borderId="5" xfId="1" applyFont="1" applyBorder="1" applyAlignment="1">
      <alignment horizontal="center" vertical="center"/>
    </xf>
    <xf numFmtId="164" fontId="29" fillId="0" borderId="5" xfId="1" applyFont="1" applyBorder="1" applyAlignment="1">
      <alignment vertical="center"/>
    </xf>
    <xf numFmtId="0" fontId="0" fillId="6" borderId="18" xfId="0" applyFill="1" applyBorder="1"/>
    <xf numFmtId="0" fontId="20" fillId="6" borderId="15" xfId="0" applyFont="1" applyFill="1" applyBorder="1" applyAlignment="1">
      <alignment horizontal="center" vertical="center"/>
    </xf>
    <xf numFmtId="0" fontId="22" fillId="0" borderId="5" xfId="2" applyBorder="1" applyAlignment="1">
      <alignment horizontal="center" vertical="center"/>
    </xf>
    <xf numFmtId="166" fontId="20" fillId="6" borderId="18" xfId="0" applyNumberFormat="1" applyFont="1" applyFill="1" applyBorder="1" applyAlignment="1">
      <alignment horizontal="center" vertical="center"/>
    </xf>
    <xf numFmtId="164" fontId="10" fillId="0" borderId="18" xfId="0" applyNumberFormat="1" applyFont="1" applyBorder="1" applyAlignment="1">
      <alignment vertical="center"/>
    </xf>
    <xf numFmtId="0" fontId="26" fillId="0" borderId="15" xfId="0" applyFont="1" applyBorder="1" applyAlignment="1">
      <alignment horizontal="center" vertical="center"/>
    </xf>
    <xf numFmtId="0" fontId="22" fillId="0" borderId="13" xfId="2" applyBorder="1" applyAlignment="1">
      <alignment horizontal="center" vertical="center"/>
    </xf>
    <xf numFmtId="0" fontId="22" fillId="0" borderId="14" xfId="2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14" fontId="26" fillId="0" borderId="14" xfId="0" applyNumberFormat="1" applyFont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14" fontId="26" fillId="0" borderId="19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9" fillId="0" borderId="1" xfId="0" applyFont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25" fillId="0" borderId="14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/>
    </xf>
    <xf numFmtId="14" fontId="26" fillId="0" borderId="20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personal/sgdrecfisicos_personeriabogota_gov_co/_layouts/15/onedrive.aspx?FolderCTID=0x01200040402B972D62A8499E80921ABDB3074C&amp;id=%2Fpersonal%2Fsgdrecfisicos%5Fpersoneriabogota%5Fgov%5Fco%2FDocuments%2F09%20Gesti%C3%B3n%20Administrativa%2F2024%2F2024%2F3%2E%20PARQUE%20AUTOMOTOR%202024%2FVEHICULOS%202024%2FHoja%20de%20Vida%20Veh%C3%ADculos%2FSOPORTES%20UNIFICADOS%2FJIMNY%2FAUT%5FODS951%5F210427%5FFACT%5FAIS%209644%2Epdf&amp;parent=%2Fpersonal%2Fsgdrecfisicos%5Fpersoneriabogota%5Fgov%5Fco%2FDocuments%2F09%20Gesti%C3%B3n%20Administrativa%2F2024%2F2024%2F3%2E%20PARQUE%20AUTOMOTOR%202024%2FVEHICULOS%202024%2FHoja%20de%20Vida%20Veh%C3%ADculos%2FSOPORTES%20UNIFICADOS%2FJIMNY" TargetMode="External"/><Relationship Id="rId2" Type="http://schemas.openxmlformats.org/officeDocument/2006/relationships/hyperlink" Target="https://personeriabogota-my.sharepoint.com/personal/sgdrecfisicos_personeriabogota_gov_co/_layouts/15/onedrive.aspx?FolderCTID=0x01200040402B972D62A8499E80921ABDB3074C&amp;id=%2Fpersonal%2Fsgdrecfisicos%5Fpersoneriabogota%5Fgov%5Fco%2FDocuments%2F09%20Gesti%C3%B3n%20Administrativa%2F2024%2F2024%2F3%2E%20PARQUE%20AUTOMOTOR%202024%2FVEHICULOS%202024%2FHoja%20de%20Vida%20Veh%C3%ADculos%2FSOPORTES%20UNIFICADOS%2FJIMNY%2FAUT%5FODS951%5F202603%5FFACT%5FAIS%209171%2Epdf&amp;parent=%2Fpersonal%2Fsgdrecfisicos%5Fpersoneriabogota%5Fgov%5Fco%2FDocuments%2F09%20Gesti%C3%B3n%20Administrativa%2F2024%2F2024%2F3%2E%20PARQUE%20AUTOMOTOR%202024%2FVEHICULOS%202024%2FHoja%20de%20Vida%20Veh%C3%ADculos%2FSOPORTES%20UNIFICADOS%2FJIMNY" TargetMode="External"/><Relationship Id="rId1" Type="http://schemas.openxmlformats.org/officeDocument/2006/relationships/hyperlink" Target="https://personeriabogota-my.sharepoint.com/:b:/g/personal/sgdrecfisicos_personeriabogota_gov_co/EXHRRd5srlhMjKVwFzBSGlIBGLFPRcz9681rZz46f8HDrw?e=m1XEdq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C285"/>
  <sheetViews>
    <sheetView showGridLines="0" tabSelected="1" topLeftCell="H22" zoomScale="80" zoomScaleNormal="80" workbookViewId="0">
      <selection activeCell="L33" sqref="L33"/>
    </sheetView>
  </sheetViews>
  <sheetFormatPr defaultColWidth="0" defaultRowHeight="15"/>
  <cols>
    <col min="1" max="2" width="1.85546875" customWidth="1"/>
    <col min="3" max="3" width="21.5703125" customWidth="1"/>
    <col min="4" max="4" width="14" customWidth="1"/>
    <col min="5" max="5" width="14.28515625" customWidth="1"/>
    <col min="6" max="6" width="17.85546875" customWidth="1"/>
    <col min="7" max="7" width="14.85546875" customWidth="1"/>
    <col min="8" max="8" width="13.7109375" style="30" customWidth="1"/>
    <col min="9" max="9" width="16.7109375" style="30" customWidth="1"/>
    <col min="10" max="10" width="12.85546875" style="30" bestFit="1" customWidth="1"/>
    <col min="11" max="11" width="13.140625" customWidth="1"/>
    <col min="12" max="12" width="23" style="30" customWidth="1"/>
    <col min="13" max="13" width="8.140625" hidden="1" customWidth="1"/>
    <col min="14" max="14" width="12" bestFit="1" customWidth="1"/>
    <col min="15" max="15" width="13.85546875" bestFit="1" customWidth="1"/>
    <col min="16" max="16" width="13.85546875" customWidth="1"/>
    <col min="17" max="17" width="13" customWidth="1"/>
    <col min="18" max="18" width="14.28515625" customWidth="1"/>
    <col min="19" max="19" width="14.140625" customWidth="1"/>
    <col min="20" max="21" width="13.42578125" customWidth="1"/>
    <col min="22" max="22" width="15.7109375" customWidth="1"/>
    <col min="23" max="23" width="14.140625" customWidth="1"/>
    <col min="24" max="24" width="14.42578125" customWidth="1"/>
    <col min="25" max="25" width="15.5703125" style="35" bestFit="1" customWidth="1"/>
    <col min="26" max="26" width="11.42578125" customWidth="1"/>
    <col min="249" max="249" width="1.85546875" hidden="1"/>
    <col min="250" max="250" width="8" hidden="1"/>
    <col min="251" max="251" width="9.5703125" hidden="1"/>
    <col min="252" max="253" width="8" hidden="1"/>
    <col min="254" max="256" width="1.85546875" hidden="1"/>
    <col min="257" max="257" width="13.42578125" hidden="1"/>
    <col min="258" max="258" width="16.85546875" hidden="1"/>
    <col min="259" max="259" width="9.7109375" hidden="1"/>
    <col min="260" max="260" width="9.85546875" hidden="1"/>
    <col min="261" max="261" width="7.7109375" hidden="1"/>
    <col min="262" max="262" width="12.85546875" hidden="1"/>
    <col min="263" max="263" width="13.85546875" hidden="1"/>
    <col min="264" max="264" width="9.85546875" hidden="1"/>
    <col min="265" max="265" width="14.7109375" hidden="1"/>
    <col min="266" max="266" width="16.42578125" hidden="1"/>
    <col min="267" max="269" width="13.85546875" hidden="1"/>
    <col min="270" max="270" width="12.85546875" hidden="1"/>
    <col min="271" max="271" width="14.140625" hidden="1"/>
    <col min="272" max="272" width="12.28515625" hidden="1"/>
    <col min="273" max="274" width="14.42578125" hidden="1"/>
    <col min="275" max="275" width="12.85546875" hidden="1"/>
    <col min="276" max="276" width="12.28515625" hidden="1"/>
    <col min="277" max="277" width="16.7109375" hidden="1"/>
    <col min="505" max="505" width="1.85546875" hidden="1"/>
    <col min="506" max="506" width="8" hidden="1"/>
    <col min="507" max="507" width="9.5703125" hidden="1"/>
    <col min="508" max="509" width="8" hidden="1"/>
    <col min="510" max="512" width="1.85546875" hidden="1"/>
    <col min="513" max="513" width="13.42578125" hidden="1"/>
    <col min="514" max="514" width="16.85546875" hidden="1"/>
    <col min="515" max="515" width="9.7109375" hidden="1"/>
    <col min="516" max="516" width="9.85546875" hidden="1"/>
    <col min="517" max="517" width="7.7109375" hidden="1"/>
    <col min="518" max="518" width="12.85546875" hidden="1"/>
    <col min="519" max="519" width="13.85546875" hidden="1"/>
    <col min="520" max="520" width="9.85546875" hidden="1"/>
    <col min="521" max="521" width="14.7109375" hidden="1"/>
    <col min="522" max="522" width="16.42578125" hidden="1"/>
    <col min="523" max="525" width="13.85546875" hidden="1"/>
    <col min="526" max="526" width="12.85546875" hidden="1"/>
    <col min="527" max="527" width="14.140625" hidden="1"/>
    <col min="528" max="528" width="12.28515625" hidden="1"/>
    <col min="529" max="530" width="14.42578125" hidden="1"/>
    <col min="531" max="531" width="12.85546875" hidden="1"/>
    <col min="532" max="532" width="12.28515625" hidden="1"/>
    <col min="533" max="533" width="16.7109375" hidden="1"/>
    <col min="761" max="761" width="1.85546875" hidden="1"/>
    <col min="762" max="762" width="8" hidden="1"/>
    <col min="763" max="763" width="9.5703125" hidden="1"/>
    <col min="764" max="765" width="8" hidden="1"/>
    <col min="766" max="768" width="1.85546875" hidden="1"/>
    <col min="769" max="769" width="13.42578125" hidden="1"/>
    <col min="770" max="770" width="16.85546875" hidden="1"/>
    <col min="771" max="771" width="9.7109375" hidden="1"/>
    <col min="772" max="772" width="9.85546875" hidden="1"/>
    <col min="773" max="773" width="7.7109375" hidden="1"/>
    <col min="774" max="774" width="12.85546875" hidden="1"/>
    <col min="775" max="775" width="13.85546875" hidden="1"/>
    <col min="776" max="776" width="9.85546875" hidden="1"/>
    <col min="777" max="777" width="14.7109375" hidden="1"/>
    <col min="778" max="778" width="16.42578125" hidden="1"/>
    <col min="779" max="781" width="13.85546875" hidden="1"/>
    <col min="782" max="782" width="12.85546875" hidden="1"/>
    <col min="783" max="783" width="14.140625" hidden="1"/>
    <col min="784" max="784" width="12.28515625" hidden="1"/>
    <col min="785" max="786" width="14.42578125" hidden="1"/>
    <col min="787" max="787" width="12.85546875" hidden="1"/>
    <col min="788" max="788" width="12.28515625" hidden="1"/>
    <col min="789" max="789" width="16.7109375" hidden="1"/>
    <col min="1017" max="1017" width="1.85546875" hidden="1"/>
    <col min="1018" max="1018" width="8" hidden="1"/>
    <col min="1019" max="1019" width="9.5703125" hidden="1"/>
    <col min="1020" max="1021" width="8" hidden="1"/>
    <col min="1022" max="1024" width="1.85546875" hidden="1"/>
    <col min="1025" max="1025" width="13.42578125" hidden="1"/>
    <col min="1026" max="1026" width="16.85546875" hidden="1"/>
    <col min="1027" max="1027" width="9.7109375" hidden="1"/>
    <col min="1028" max="1028" width="9.85546875" hidden="1"/>
    <col min="1029" max="1029" width="7.7109375" hidden="1"/>
    <col min="1030" max="1030" width="12.85546875" hidden="1"/>
    <col min="1031" max="1031" width="13.85546875" hidden="1"/>
    <col min="1032" max="1032" width="9.85546875" hidden="1"/>
    <col min="1033" max="1033" width="14.7109375" hidden="1"/>
    <col min="1034" max="1034" width="16.42578125" hidden="1"/>
    <col min="1035" max="1037" width="13.85546875" hidden="1"/>
    <col min="1038" max="1038" width="12.85546875" hidden="1"/>
    <col min="1039" max="1039" width="14.140625" hidden="1"/>
    <col min="1040" max="1040" width="12.28515625" hidden="1"/>
    <col min="1041" max="1042" width="14.42578125" hidden="1"/>
    <col min="1043" max="1043" width="12.85546875" hidden="1"/>
    <col min="1044" max="1044" width="12.28515625" hidden="1"/>
    <col min="1045" max="1045" width="16.7109375" hidden="1"/>
    <col min="1273" max="1273" width="1.85546875" hidden="1"/>
    <col min="1274" max="1274" width="8" hidden="1"/>
    <col min="1275" max="1275" width="9.5703125" hidden="1"/>
    <col min="1276" max="1277" width="8" hidden="1"/>
    <col min="1278" max="1280" width="1.85546875" hidden="1"/>
    <col min="1281" max="1281" width="13.42578125" hidden="1"/>
    <col min="1282" max="1282" width="16.85546875" hidden="1"/>
    <col min="1283" max="1283" width="9.7109375" hidden="1"/>
    <col min="1284" max="1284" width="9.85546875" hidden="1"/>
    <col min="1285" max="1285" width="7.7109375" hidden="1"/>
    <col min="1286" max="1286" width="12.85546875" hidden="1"/>
    <col min="1287" max="1287" width="13.85546875" hidden="1"/>
    <col min="1288" max="1288" width="9.85546875" hidden="1"/>
    <col min="1289" max="1289" width="14.7109375" hidden="1"/>
    <col min="1290" max="1290" width="16.42578125" hidden="1"/>
    <col min="1291" max="1293" width="13.85546875" hidden="1"/>
    <col min="1294" max="1294" width="12.85546875" hidden="1"/>
    <col min="1295" max="1295" width="14.140625" hidden="1"/>
    <col min="1296" max="1296" width="12.28515625" hidden="1"/>
    <col min="1297" max="1298" width="14.42578125" hidden="1"/>
    <col min="1299" max="1299" width="12.85546875" hidden="1"/>
    <col min="1300" max="1300" width="12.28515625" hidden="1"/>
    <col min="1301" max="1301" width="16.7109375" hidden="1"/>
    <col min="1529" max="1529" width="1.85546875" hidden="1"/>
    <col min="1530" max="1530" width="8" hidden="1"/>
    <col min="1531" max="1531" width="9.5703125" hidden="1"/>
    <col min="1532" max="1533" width="8" hidden="1"/>
    <col min="1534" max="1536" width="1.85546875" hidden="1"/>
    <col min="1537" max="1537" width="13.42578125" hidden="1"/>
    <col min="1538" max="1538" width="16.85546875" hidden="1"/>
    <col min="1539" max="1539" width="9.7109375" hidden="1"/>
    <col min="1540" max="1540" width="9.85546875" hidden="1"/>
    <col min="1541" max="1541" width="7.7109375" hidden="1"/>
    <col min="1542" max="1542" width="12.85546875" hidden="1"/>
    <col min="1543" max="1543" width="13.85546875" hidden="1"/>
    <col min="1544" max="1544" width="9.85546875" hidden="1"/>
    <col min="1545" max="1545" width="14.7109375" hidden="1"/>
    <col min="1546" max="1546" width="16.42578125" hidden="1"/>
    <col min="1547" max="1549" width="13.85546875" hidden="1"/>
    <col min="1550" max="1550" width="12.85546875" hidden="1"/>
    <col min="1551" max="1551" width="14.140625" hidden="1"/>
    <col min="1552" max="1552" width="12.28515625" hidden="1"/>
    <col min="1553" max="1554" width="14.42578125" hidden="1"/>
    <col min="1555" max="1555" width="12.85546875" hidden="1"/>
    <col min="1556" max="1556" width="12.28515625" hidden="1"/>
    <col min="1557" max="1557" width="16.7109375" hidden="1"/>
    <col min="1785" max="1785" width="1.85546875" hidden="1"/>
    <col min="1786" max="1786" width="8" hidden="1"/>
    <col min="1787" max="1787" width="9.5703125" hidden="1"/>
    <col min="1788" max="1789" width="8" hidden="1"/>
    <col min="1790" max="1792" width="1.85546875" hidden="1"/>
    <col min="1793" max="1793" width="13.42578125" hidden="1"/>
    <col min="1794" max="1794" width="16.85546875" hidden="1"/>
    <col min="1795" max="1795" width="9.7109375" hidden="1"/>
    <col min="1796" max="1796" width="9.85546875" hidden="1"/>
    <col min="1797" max="1797" width="7.7109375" hidden="1"/>
    <col min="1798" max="1798" width="12.85546875" hidden="1"/>
    <col min="1799" max="1799" width="13.85546875" hidden="1"/>
    <col min="1800" max="1800" width="9.85546875" hidden="1"/>
    <col min="1801" max="1801" width="14.7109375" hidden="1"/>
    <col min="1802" max="1802" width="16.42578125" hidden="1"/>
    <col min="1803" max="1805" width="13.85546875" hidden="1"/>
    <col min="1806" max="1806" width="12.85546875" hidden="1"/>
    <col min="1807" max="1807" width="14.140625" hidden="1"/>
    <col min="1808" max="1808" width="12.28515625" hidden="1"/>
    <col min="1809" max="1810" width="14.42578125" hidden="1"/>
    <col min="1811" max="1811" width="12.85546875" hidden="1"/>
    <col min="1812" max="1812" width="12.28515625" hidden="1"/>
    <col min="1813" max="1813" width="16.7109375" hidden="1"/>
    <col min="2041" max="2041" width="1.85546875" hidden="1"/>
    <col min="2042" max="2042" width="8" hidden="1"/>
    <col min="2043" max="2043" width="9.5703125" hidden="1"/>
    <col min="2044" max="2045" width="8" hidden="1"/>
    <col min="2046" max="2048" width="1.85546875" hidden="1"/>
    <col min="2049" max="2049" width="13.42578125" hidden="1"/>
    <col min="2050" max="2050" width="16.85546875" hidden="1"/>
    <col min="2051" max="2051" width="9.7109375" hidden="1"/>
    <col min="2052" max="2052" width="9.85546875" hidden="1"/>
    <col min="2053" max="2053" width="7.7109375" hidden="1"/>
    <col min="2054" max="2054" width="12.85546875" hidden="1"/>
    <col min="2055" max="2055" width="13.85546875" hidden="1"/>
    <col min="2056" max="2056" width="9.85546875" hidden="1"/>
    <col min="2057" max="2057" width="14.7109375" hidden="1"/>
    <col min="2058" max="2058" width="16.42578125" hidden="1"/>
    <col min="2059" max="2061" width="13.85546875" hidden="1"/>
    <col min="2062" max="2062" width="12.85546875" hidden="1"/>
    <col min="2063" max="2063" width="14.140625" hidden="1"/>
    <col min="2064" max="2064" width="12.28515625" hidden="1"/>
    <col min="2065" max="2066" width="14.42578125" hidden="1"/>
    <col min="2067" max="2067" width="12.85546875" hidden="1"/>
    <col min="2068" max="2068" width="12.28515625" hidden="1"/>
    <col min="2069" max="2069" width="16.7109375" hidden="1"/>
    <col min="2297" max="2297" width="1.85546875" hidden="1"/>
    <col min="2298" max="2298" width="8" hidden="1"/>
    <col min="2299" max="2299" width="9.5703125" hidden="1"/>
    <col min="2300" max="2301" width="8" hidden="1"/>
    <col min="2302" max="2304" width="1.85546875" hidden="1"/>
    <col min="2305" max="2305" width="13.42578125" hidden="1"/>
    <col min="2306" max="2306" width="16.85546875" hidden="1"/>
    <col min="2307" max="2307" width="9.7109375" hidden="1"/>
    <col min="2308" max="2308" width="9.85546875" hidden="1"/>
    <col min="2309" max="2309" width="7.7109375" hidden="1"/>
    <col min="2310" max="2310" width="12.85546875" hidden="1"/>
    <col min="2311" max="2311" width="13.85546875" hidden="1"/>
    <col min="2312" max="2312" width="9.85546875" hidden="1"/>
    <col min="2313" max="2313" width="14.7109375" hidden="1"/>
    <col min="2314" max="2314" width="16.42578125" hidden="1"/>
    <col min="2315" max="2317" width="13.85546875" hidden="1"/>
    <col min="2318" max="2318" width="12.85546875" hidden="1"/>
    <col min="2319" max="2319" width="14.140625" hidden="1"/>
    <col min="2320" max="2320" width="12.28515625" hidden="1"/>
    <col min="2321" max="2322" width="14.42578125" hidden="1"/>
    <col min="2323" max="2323" width="12.85546875" hidden="1"/>
    <col min="2324" max="2324" width="12.28515625" hidden="1"/>
    <col min="2325" max="2325" width="16.7109375" hidden="1"/>
    <col min="2553" max="2553" width="1.85546875" hidden="1"/>
    <col min="2554" max="2554" width="8" hidden="1"/>
    <col min="2555" max="2555" width="9.5703125" hidden="1"/>
    <col min="2556" max="2557" width="8" hidden="1"/>
    <col min="2558" max="2560" width="1.85546875" hidden="1"/>
    <col min="2561" max="2561" width="13.42578125" hidden="1"/>
    <col min="2562" max="2562" width="16.85546875" hidden="1"/>
    <col min="2563" max="2563" width="9.7109375" hidden="1"/>
    <col min="2564" max="2564" width="9.85546875" hidden="1"/>
    <col min="2565" max="2565" width="7.7109375" hidden="1"/>
    <col min="2566" max="2566" width="12.85546875" hidden="1"/>
    <col min="2567" max="2567" width="13.85546875" hidden="1"/>
    <col min="2568" max="2568" width="9.85546875" hidden="1"/>
    <col min="2569" max="2569" width="14.7109375" hidden="1"/>
    <col min="2570" max="2570" width="16.42578125" hidden="1"/>
    <col min="2571" max="2573" width="13.85546875" hidden="1"/>
    <col min="2574" max="2574" width="12.85546875" hidden="1"/>
    <col min="2575" max="2575" width="14.140625" hidden="1"/>
    <col min="2576" max="2576" width="12.28515625" hidden="1"/>
    <col min="2577" max="2578" width="14.42578125" hidden="1"/>
    <col min="2579" max="2579" width="12.85546875" hidden="1"/>
    <col min="2580" max="2580" width="12.28515625" hidden="1"/>
    <col min="2581" max="2581" width="16.7109375" hidden="1"/>
    <col min="2809" max="2809" width="1.85546875" hidden="1"/>
    <col min="2810" max="2810" width="8" hidden="1"/>
    <col min="2811" max="2811" width="9.5703125" hidden="1"/>
    <col min="2812" max="2813" width="8" hidden="1"/>
    <col min="2814" max="2816" width="1.85546875" hidden="1"/>
    <col min="2817" max="2817" width="13.42578125" hidden="1"/>
    <col min="2818" max="2818" width="16.85546875" hidden="1"/>
    <col min="2819" max="2819" width="9.7109375" hidden="1"/>
    <col min="2820" max="2820" width="9.85546875" hidden="1"/>
    <col min="2821" max="2821" width="7.7109375" hidden="1"/>
    <col min="2822" max="2822" width="12.85546875" hidden="1"/>
    <col min="2823" max="2823" width="13.85546875" hidden="1"/>
    <col min="2824" max="2824" width="9.85546875" hidden="1"/>
    <col min="2825" max="2825" width="14.7109375" hidden="1"/>
    <col min="2826" max="2826" width="16.42578125" hidden="1"/>
    <col min="2827" max="2829" width="13.85546875" hidden="1"/>
    <col min="2830" max="2830" width="12.85546875" hidden="1"/>
    <col min="2831" max="2831" width="14.140625" hidden="1"/>
    <col min="2832" max="2832" width="12.28515625" hidden="1"/>
    <col min="2833" max="2834" width="14.42578125" hidden="1"/>
    <col min="2835" max="2835" width="12.85546875" hidden="1"/>
    <col min="2836" max="2836" width="12.28515625" hidden="1"/>
    <col min="2837" max="2837" width="16.7109375" hidden="1"/>
    <col min="3065" max="3065" width="1.85546875" hidden="1"/>
    <col min="3066" max="3066" width="8" hidden="1"/>
    <col min="3067" max="3067" width="9.5703125" hidden="1"/>
    <col min="3068" max="3069" width="8" hidden="1"/>
    <col min="3070" max="3072" width="1.85546875" hidden="1"/>
    <col min="3073" max="3073" width="13.42578125" hidden="1"/>
    <col min="3074" max="3074" width="16.85546875" hidden="1"/>
    <col min="3075" max="3075" width="9.7109375" hidden="1"/>
    <col min="3076" max="3076" width="9.85546875" hidden="1"/>
    <col min="3077" max="3077" width="7.7109375" hidden="1"/>
    <col min="3078" max="3078" width="12.85546875" hidden="1"/>
    <col min="3079" max="3079" width="13.85546875" hidden="1"/>
    <col min="3080" max="3080" width="9.85546875" hidden="1"/>
    <col min="3081" max="3081" width="14.7109375" hidden="1"/>
    <col min="3082" max="3082" width="16.42578125" hidden="1"/>
    <col min="3083" max="3085" width="13.85546875" hidden="1"/>
    <col min="3086" max="3086" width="12.85546875" hidden="1"/>
    <col min="3087" max="3087" width="14.140625" hidden="1"/>
    <col min="3088" max="3088" width="12.28515625" hidden="1"/>
    <col min="3089" max="3090" width="14.42578125" hidden="1"/>
    <col min="3091" max="3091" width="12.85546875" hidden="1"/>
    <col min="3092" max="3092" width="12.28515625" hidden="1"/>
    <col min="3093" max="3093" width="16.7109375" hidden="1"/>
    <col min="3321" max="3321" width="1.85546875" hidden="1"/>
    <col min="3322" max="3322" width="8" hidden="1"/>
    <col min="3323" max="3323" width="9.5703125" hidden="1"/>
    <col min="3324" max="3325" width="8" hidden="1"/>
    <col min="3326" max="3328" width="1.85546875" hidden="1"/>
    <col min="3329" max="3329" width="13.42578125" hidden="1"/>
    <col min="3330" max="3330" width="16.85546875" hidden="1"/>
    <col min="3331" max="3331" width="9.7109375" hidden="1"/>
    <col min="3332" max="3332" width="9.85546875" hidden="1"/>
    <col min="3333" max="3333" width="7.7109375" hidden="1"/>
    <col min="3334" max="3334" width="12.85546875" hidden="1"/>
    <col min="3335" max="3335" width="13.85546875" hidden="1"/>
    <col min="3336" max="3336" width="9.85546875" hidden="1"/>
    <col min="3337" max="3337" width="14.7109375" hidden="1"/>
    <col min="3338" max="3338" width="16.42578125" hidden="1"/>
    <col min="3339" max="3341" width="13.85546875" hidden="1"/>
    <col min="3342" max="3342" width="12.85546875" hidden="1"/>
    <col min="3343" max="3343" width="14.140625" hidden="1"/>
    <col min="3344" max="3344" width="12.28515625" hidden="1"/>
    <col min="3345" max="3346" width="14.42578125" hidden="1"/>
    <col min="3347" max="3347" width="12.85546875" hidden="1"/>
    <col min="3348" max="3348" width="12.28515625" hidden="1"/>
    <col min="3349" max="3349" width="16.7109375" hidden="1"/>
    <col min="3577" max="3577" width="1.85546875" hidden="1"/>
    <col min="3578" max="3578" width="8" hidden="1"/>
    <col min="3579" max="3579" width="9.5703125" hidden="1"/>
    <col min="3580" max="3581" width="8" hidden="1"/>
    <col min="3582" max="3584" width="1.85546875" hidden="1"/>
    <col min="3585" max="3585" width="13.42578125" hidden="1"/>
    <col min="3586" max="3586" width="16.85546875" hidden="1"/>
    <col min="3587" max="3587" width="9.7109375" hidden="1"/>
    <col min="3588" max="3588" width="9.85546875" hidden="1"/>
    <col min="3589" max="3589" width="7.7109375" hidden="1"/>
    <col min="3590" max="3590" width="12.85546875" hidden="1"/>
    <col min="3591" max="3591" width="13.85546875" hidden="1"/>
    <col min="3592" max="3592" width="9.85546875" hidden="1"/>
    <col min="3593" max="3593" width="14.7109375" hidden="1"/>
    <col min="3594" max="3594" width="16.42578125" hidden="1"/>
    <col min="3595" max="3597" width="13.85546875" hidden="1"/>
    <col min="3598" max="3598" width="12.85546875" hidden="1"/>
    <col min="3599" max="3599" width="14.140625" hidden="1"/>
    <col min="3600" max="3600" width="12.28515625" hidden="1"/>
    <col min="3601" max="3602" width="14.42578125" hidden="1"/>
    <col min="3603" max="3603" width="12.85546875" hidden="1"/>
    <col min="3604" max="3604" width="12.28515625" hidden="1"/>
    <col min="3605" max="3605" width="16.7109375" hidden="1"/>
    <col min="3833" max="3833" width="1.85546875" hidden="1"/>
    <col min="3834" max="3834" width="8" hidden="1"/>
    <col min="3835" max="3835" width="9.5703125" hidden="1"/>
    <col min="3836" max="3837" width="8" hidden="1"/>
    <col min="3838" max="3840" width="1.85546875" hidden="1"/>
    <col min="3841" max="3841" width="13.42578125" hidden="1"/>
    <col min="3842" max="3842" width="16.85546875" hidden="1"/>
    <col min="3843" max="3843" width="9.7109375" hidden="1"/>
    <col min="3844" max="3844" width="9.85546875" hidden="1"/>
    <col min="3845" max="3845" width="7.7109375" hidden="1"/>
    <col min="3846" max="3846" width="12.85546875" hidden="1"/>
    <col min="3847" max="3847" width="13.85546875" hidden="1"/>
    <col min="3848" max="3848" width="9.85546875" hidden="1"/>
    <col min="3849" max="3849" width="14.7109375" hidden="1"/>
    <col min="3850" max="3850" width="16.42578125" hidden="1"/>
    <col min="3851" max="3853" width="13.85546875" hidden="1"/>
    <col min="3854" max="3854" width="12.85546875" hidden="1"/>
    <col min="3855" max="3855" width="14.140625" hidden="1"/>
    <col min="3856" max="3856" width="12.28515625" hidden="1"/>
    <col min="3857" max="3858" width="14.42578125" hidden="1"/>
    <col min="3859" max="3859" width="12.85546875" hidden="1"/>
    <col min="3860" max="3860" width="12.28515625" hidden="1"/>
    <col min="3861" max="3861" width="16.7109375" hidden="1"/>
    <col min="4089" max="4089" width="1.85546875" hidden="1"/>
    <col min="4090" max="4090" width="8" hidden="1"/>
    <col min="4091" max="4091" width="9.5703125" hidden="1"/>
    <col min="4092" max="4093" width="8" hidden="1"/>
    <col min="4094" max="4096" width="1.85546875" hidden="1"/>
    <col min="4097" max="4097" width="13.42578125" hidden="1"/>
    <col min="4098" max="4098" width="16.85546875" hidden="1"/>
    <col min="4099" max="4099" width="9.7109375" hidden="1"/>
    <col min="4100" max="4100" width="9.85546875" hidden="1"/>
    <col min="4101" max="4101" width="7.7109375" hidden="1"/>
    <col min="4102" max="4102" width="12.85546875" hidden="1"/>
    <col min="4103" max="4103" width="13.85546875" hidden="1"/>
    <col min="4104" max="4104" width="9.85546875" hidden="1"/>
    <col min="4105" max="4105" width="14.7109375" hidden="1"/>
    <col min="4106" max="4106" width="16.42578125" hidden="1"/>
    <col min="4107" max="4109" width="13.85546875" hidden="1"/>
    <col min="4110" max="4110" width="12.85546875" hidden="1"/>
    <col min="4111" max="4111" width="14.140625" hidden="1"/>
    <col min="4112" max="4112" width="12.28515625" hidden="1"/>
    <col min="4113" max="4114" width="14.42578125" hidden="1"/>
    <col min="4115" max="4115" width="12.85546875" hidden="1"/>
    <col min="4116" max="4116" width="12.28515625" hidden="1"/>
    <col min="4117" max="4117" width="16.7109375" hidden="1"/>
    <col min="4345" max="4345" width="1.85546875" hidden="1"/>
    <col min="4346" max="4346" width="8" hidden="1"/>
    <col min="4347" max="4347" width="9.5703125" hidden="1"/>
    <col min="4348" max="4349" width="8" hidden="1"/>
    <col min="4350" max="4352" width="1.85546875" hidden="1"/>
    <col min="4353" max="4353" width="13.42578125" hidden="1"/>
    <col min="4354" max="4354" width="16.85546875" hidden="1"/>
    <col min="4355" max="4355" width="9.7109375" hidden="1"/>
    <col min="4356" max="4356" width="9.85546875" hidden="1"/>
    <col min="4357" max="4357" width="7.7109375" hidden="1"/>
    <col min="4358" max="4358" width="12.85546875" hidden="1"/>
    <col min="4359" max="4359" width="13.85546875" hidden="1"/>
    <col min="4360" max="4360" width="9.85546875" hidden="1"/>
    <col min="4361" max="4361" width="14.7109375" hidden="1"/>
    <col min="4362" max="4362" width="16.42578125" hidden="1"/>
    <col min="4363" max="4365" width="13.85546875" hidden="1"/>
    <col min="4366" max="4366" width="12.85546875" hidden="1"/>
    <col min="4367" max="4367" width="14.140625" hidden="1"/>
    <col min="4368" max="4368" width="12.28515625" hidden="1"/>
    <col min="4369" max="4370" width="14.42578125" hidden="1"/>
    <col min="4371" max="4371" width="12.85546875" hidden="1"/>
    <col min="4372" max="4372" width="12.28515625" hidden="1"/>
    <col min="4373" max="4373" width="16.7109375" hidden="1"/>
    <col min="4601" max="4601" width="1.85546875" hidden="1"/>
    <col min="4602" max="4602" width="8" hidden="1"/>
    <col min="4603" max="4603" width="9.5703125" hidden="1"/>
    <col min="4604" max="4605" width="8" hidden="1"/>
    <col min="4606" max="4608" width="1.85546875" hidden="1"/>
    <col min="4609" max="4609" width="13.42578125" hidden="1"/>
    <col min="4610" max="4610" width="16.85546875" hidden="1"/>
    <col min="4611" max="4611" width="9.7109375" hidden="1"/>
    <col min="4612" max="4612" width="9.85546875" hidden="1"/>
    <col min="4613" max="4613" width="7.7109375" hidden="1"/>
    <col min="4614" max="4614" width="12.85546875" hidden="1"/>
    <col min="4615" max="4615" width="13.85546875" hidden="1"/>
    <col min="4616" max="4616" width="9.85546875" hidden="1"/>
    <col min="4617" max="4617" width="14.7109375" hidden="1"/>
    <col min="4618" max="4618" width="16.42578125" hidden="1"/>
    <col min="4619" max="4621" width="13.85546875" hidden="1"/>
    <col min="4622" max="4622" width="12.85546875" hidden="1"/>
    <col min="4623" max="4623" width="14.140625" hidden="1"/>
    <col min="4624" max="4624" width="12.28515625" hidden="1"/>
    <col min="4625" max="4626" width="14.42578125" hidden="1"/>
    <col min="4627" max="4627" width="12.85546875" hidden="1"/>
    <col min="4628" max="4628" width="12.28515625" hidden="1"/>
    <col min="4629" max="4629" width="16.7109375" hidden="1"/>
    <col min="4857" max="4857" width="1.85546875" hidden="1"/>
    <col min="4858" max="4858" width="8" hidden="1"/>
    <col min="4859" max="4859" width="9.5703125" hidden="1"/>
    <col min="4860" max="4861" width="8" hidden="1"/>
    <col min="4862" max="4864" width="1.85546875" hidden="1"/>
    <col min="4865" max="4865" width="13.42578125" hidden="1"/>
    <col min="4866" max="4866" width="16.85546875" hidden="1"/>
    <col min="4867" max="4867" width="9.7109375" hidden="1"/>
    <col min="4868" max="4868" width="9.85546875" hidden="1"/>
    <col min="4869" max="4869" width="7.7109375" hidden="1"/>
    <col min="4870" max="4870" width="12.85546875" hidden="1"/>
    <col min="4871" max="4871" width="13.85546875" hidden="1"/>
    <col min="4872" max="4872" width="9.85546875" hidden="1"/>
    <col min="4873" max="4873" width="14.7109375" hidden="1"/>
    <col min="4874" max="4874" width="16.42578125" hidden="1"/>
    <col min="4875" max="4877" width="13.85546875" hidden="1"/>
    <col min="4878" max="4878" width="12.85546875" hidden="1"/>
    <col min="4879" max="4879" width="14.140625" hidden="1"/>
    <col min="4880" max="4880" width="12.28515625" hidden="1"/>
    <col min="4881" max="4882" width="14.42578125" hidden="1"/>
    <col min="4883" max="4883" width="12.85546875" hidden="1"/>
    <col min="4884" max="4884" width="12.28515625" hidden="1"/>
    <col min="4885" max="4885" width="16.7109375" hidden="1"/>
    <col min="5113" max="5113" width="1.85546875" hidden="1"/>
    <col min="5114" max="5114" width="8" hidden="1"/>
    <col min="5115" max="5115" width="9.5703125" hidden="1"/>
    <col min="5116" max="5117" width="8" hidden="1"/>
    <col min="5118" max="5120" width="1.85546875" hidden="1"/>
    <col min="5121" max="5121" width="13.42578125" hidden="1"/>
    <col min="5122" max="5122" width="16.85546875" hidden="1"/>
    <col min="5123" max="5123" width="9.7109375" hidden="1"/>
    <col min="5124" max="5124" width="9.85546875" hidden="1"/>
    <col min="5125" max="5125" width="7.7109375" hidden="1"/>
    <col min="5126" max="5126" width="12.85546875" hidden="1"/>
    <col min="5127" max="5127" width="13.85546875" hidden="1"/>
    <col min="5128" max="5128" width="9.85546875" hidden="1"/>
    <col min="5129" max="5129" width="14.7109375" hidden="1"/>
    <col min="5130" max="5130" width="16.42578125" hidden="1"/>
    <col min="5131" max="5133" width="13.85546875" hidden="1"/>
    <col min="5134" max="5134" width="12.85546875" hidden="1"/>
    <col min="5135" max="5135" width="14.140625" hidden="1"/>
    <col min="5136" max="5136" width="12.28515625" hidden="1"/>
    <col min="5137" max="5138" width="14.42578125" hidden="1"/>
    <col min="5139" max="5139" width="12.85546875" hidden="1"/>
    <col min="5140" max="5140" width="12.28515625" hidden="1"/>
    <col min="5141" max="5141" width="16.7109375" hidden="1"/>
    <col min="5369" max="5369" width="1.85546875" hidden="1"/>
    <col min="5370" max="5370" width="8" hidden="1"/>
    <col min="5371" max="5371" width="9.5703125" hidden="1"/>
    <col min="5372" max="5373" width="8" hidden="1"/>
    <col min="5374" max="5376" width="1.85546875" hidden="1"/>
    <col min="5377" max="5377" width="13.42578125" hidden="1"/>
    <col min="5378" max="5378" width="16.85546875" hidden="1"/>
    <col min="5379" max="5379" width="9.7109375" hidden="1"/>
    <col min="5380" max="5380" width="9.85546875" hidden="1"/>
    <col min="5381" max="5381" width="7.7109375" hidden="1"/>
    <col min="5382" max="5382" width="12.85546875" hidden="1"/>
    <col min="5383" max="5383" width="13.85546875" hidden="1"/>
    <col min="5384" max="5384" width="9.85546875" hidden="1"/>
    <col min="5385" max="5385" width="14.7109375" hidden="1"/>
    <col min="5386" max="5386" width="16.42578125" hidden="1"/>
    <col min="5387" max="5389" width="13.85546875" hidden="1"/>
    <col min="5390" max="5390" width="12.85546875" hidden="1"/>
    <col min="5391" max="5391" width="14.140625" hidden="1"/>
    <col min="5392" max="5392" width="12.28515625" hidden="1"/>
    <col min="5393" max="5394" width="14.42578125" hidden="1"/>
    <col min="5395" max="5395" width="12.85546875" hidden="1"/>
    <col min="5396" max="5396" width="12.28515625" hidden="1"/>
    <col min="5397" max="5397" width="16.7109375" hidden="1"/>
    <col min="5625" max="5625" width="1.85546875" hidden="1"/>
    <col min="5626" max="5626" width="8" hidden="1"/>
    <col min="5627" max="5627" width="9.5703125" hidden="1"/>
    <col min="5628" max="5629" width="8" hidden="1"/>
    <col min="5630" max="5632" width="1.85546875" hidden="1"/>
    <col min="5633" max="5633" width="13.42578125" hidden="1"/>
    <col min="5634" max="5634" width="16.85546875" hidden="1"/>
    <col min="5635" max="5635" width="9.7109375" hidden="1"/>
    <col min="5636" max="5636" width="9.85546875" hidden="1"/>
    <col min="5637" max="5637" width="7.7109375" hidden="1"/>
    <col min="5638" max="5638" width="12.85546875" hidden="1"/>
    <col min="5639" max="5639" width="13.85546875" hidden="1"/>
    <col min="5640" max="5640" width="9.85546875" hidden="1"/>
    <col min="5641" max="5641" width="14.7109375" hidden="1"/>
    <col min="5642" max="5642" width="16.42578125" hidden="1"/>
    <col min="5643" max="5645" width="13.85546875" hidden="1"/>
    <col min="5646" max="5646" width="12.85546875" hidden="1"/>
    <col min="5647" max="5647" width="14.140625" hidden="1"/>
    <col min="5648" max="5648" width="12.28515625" hidden="1"/>
    <col min="5649" max="5650" width="14.42578125" hidden="1"/>
    <col min="5651" max="5651" width="12.85546875" hidden="1"/>
    <col min="5652" max="5652" width="12.28515625" hidden="1"/>
    <col min="5653" max="5653" width="16.7109375" hidden="1"/>
    <col min="5881" max="5881" width="1.85546875" hidden="1"/>
    <col min="5882" max="5882" width="8" hidden="1"/>
    <col min="5883" max="5883" width="9.5703125" hidden="1"/>
    <col min="5884" max="5885" width="8" hidden="1"/>
    <col min="5886" max="5888" width="1.85546875" hidden="1"/>
    <col min="5889" max="5889" width="13.42578125" hidden="1"/>
    <col min="5890" max="5890" width="16.85546875" hidden="1"/>
    <col min="5891" max="5891" width="9.7109375" hidden="1"/>
    <col min="5892" max="5892" width="9.85546875" hidden="1"/>
    <col min="5893" max="5893" width="7.7109375" hidden="1"/>
    <col min="5894" max="5894" width="12.85546875" hidden="1"/>
    <col min="5895" max="5895" width="13.85546875" hidden="1"/>
    <col min="5896" max="5896" width="9.85546875" hidden="1"/>
    <col min="5897" max="5897" width="14.7109375" hidden="1"/>
    <col min="5898" max="5898" width="16.42578125" hidden="1"/>
    <col min="5899" max="5901" width="13.85546875" hidden="1"/>
    <col min="5902" max="5902" width="12.85546875" hidden="1"/>
    <col min="5903" max="5903" width="14.140625" hidden="1"/>
    <col min="5904" max="5904" width="12.28515625" hidden="1"/>
    <col min="5905" max="5906" width="14.42578125" hidden="1"/>
    <col min="5907" max="5907" width="12.85546875" hidden="1"/>
    <col min="5908" max="5908" width="12.28515625" hidden="1"/>
    <col min="5909" max="5909" width="16.7109375" hidden="1"/>
    <col min="6137" max="6137" width="1.85546875" hidden="1"/>
    <col min="6138" max="6138" width="8" hidden="1"/>
    <col min="6139" max="6139" width="9.5703125" hidden="1"/>
    <col min="6140" max="6141" width="8" hidden="1"/>
    <col min="6142" max="6144" width="1.85546875" hidden="1"/>
    <col min="6145" max="6145" width="13.42578125" hidden="1"/>
    <col min="6146" max="6146" width="16.85546875" hidden="1"/>
    <col min="6147" max="6147" width="9.7109375" hidden="1"/>
    <col min="6148" max="6148" width="9.85546875" hidden="1"/>
    <col min="6149" max="6149" width="7.7109375" hidden="1"/>
    <col min="6150" max="6150" width="12.85546875" hidden="1"/>
    <col min="6151" max="6151" width="13.85546875" hidden="1"/>
    <col min="6152" max="6152" width="9.85546875" hidden="1"/>
    <col min="6153" max="6153" width="14.7109375" hidden="1"/>
    <col min="6154" max="6154" width="16.42578125" hidden="1"/>
    <col min="6155" max="6157" width="13.85546875" hidden="1"/>
    <col min="6158" max="6158" width="12.85546875" hidden="1"/>
    <col min="6159" max="6159" width="14.140625" hidden="1"/>
    <col min="6160" max="6160" width="12.28515625" hidden="1"/>
    <col min="6161" max="6162" width="14.42578125" hidden="1"/>
    <col min="6163" max="6163" width="12.85546875" hidden="1"/>
    <col min="6164" max="6164" width="12.28515625" hidden="1"/>
    <col min="6165" max="6165" width="16.7109375" hidden="1"/>
    <col min="6393" max="6393" width="1.85546875" hidden="1"/>
    <col min="6394" max="6394" width="8" hidden="1"/>
    <col min="6395" max="6395" width="9.5703125" hidden="1"/>
    <col min="6396" max="6397" width="8" hidden="1"/>
    <col min="6398" max="6400" width="1.85546875" hidden="1"/>
    <col min="6401" max="6401" width="13.42578125" hidden="1"/>
    <col min="6402" max="6402" width="16.85546875" hidden="1"/>
    <col min="6403" max="6403" width="9.7109375" hidden="1"/>
    <col min="6404" max="6404" width="9.85546875" hidden="1"/>
    <col min="6405" max="6405" width="7.7109375" hidden="1"/>
    <col min="6406" max="6406" width="12.85546875" hidden="1"/>
    <col min="6407" max="6407" width="13.85546875" hidden="1"/>
    <col min="6408" max="6408" width="9.85546875" hidden="1"/>
    <col min="6409" max="6409" width="14.7109375" hidden="1"/>
    <col min="6410" max="6410" width="16.42578125" hidden="1"/>
    <col min="6411" max="6413" width="13.85546875" hidden="1"/>
    <col min="6414" max="6414" width="12.85546875" hidden="1"/>
    <col min="6415" max="6415" width="14.140625" hidden="1"/>
    <col min="6416" max="6416" width="12.28515625" hidden="1"/>
    <col min="6417" max="6418" width="14.42578125" hidden="1"/>
    <col min="6419" max="6419" width="12.85546875" hidden="1"/>
    <col min="6420" max="6420" width="12.28515625" hidden="1"/>
    <col min="6421" max="6421" width="16.7109375" hidden="1"/>
    <col min="6649" max="6649" width="1.85546875" hidden="1"/>
    <col min="6650" max="6650" width="8" hidden="1"/>
    <col min="6651" max="6651" width="9.5703125" hidden="1"/>
    <col min="6652" max="6653" width="8" hidden="1"/>
    <col min="6654" max="6656" width="1.85546875" hidden="1"/>
    <col min="6657" max="6657" width="13.42578125" hidden="1"/>
    <col min="6658" max="6658" width="16.85546875" hidden="1"/>
    <col min="6659" max="6659" width="9.7109375" hidden="1"/>
    <col min="6660" max="6660" width="9.85546875" hidden="1"/>
    <col min="6661" max="6661" width="7.7109375" hidden="1"/>
    <col min="6662" max="6662" width="12.85546875" hidden="1"/>
    <col min="6663" max="6663" width="13.85546875" hidden="1"/>
    <col min="6664" max="6664" width="9.85546875" hidden="1"/>
    <col min="6665" max="6665" width="14.7109375" hidden="1"/>
    <col min="6666" max="6666" width="16.42578125" hidden="1"/>
    <col min="6667" max="6669" width="13.85546875" hidden="1"/>
    <col min="6670" max="6670" width="12.85546875" hidden="1"/>
    <col min="6671" max="6671" width="14.140625" hidden="1"/>
    <col min="6672" max="6672" width="12.28515625" hidden="1"/>
    <col min="6673" max="6674" width="14.42578125" hidden="1"/>
    <col min="6675" max="6675" width="12.85546875" hidden="1"/>
    <col min="6676" max="6676" width="12.28515625" hidden="1"/>
    <col min="6677" max="6677" width="16.7109375" hidden="1"/>
    <col min="6905" max="6905" width="1.85546875" hidden="1"/>
    <col min="6906" max="6906" width="8" hidden="1"/>
    <col min="6907" max="6907" width="9.5703125" hidden="1"/>
    <col min="6908" max="6909" width="8" hidden="1"/>
    <col min="6910" max="6912" width="1.85546875" hidden="1"/>
    <col min="6913" max="6913" width="13.42578125" hidden="1"/>
    <col min="6914" max="6914" width="16.85546875" hidden="1"/>
    <col min="6915" max="6915" width="9.7109375" hidden="1"/>
    <col min="6916" max="6916" width="9.85546875" hidden="1"/>
    <col min="6917" max="6917" width="7.7109375" hidden="1"/>
    <col min="6918" max="6918" width="12.85546875" hidden="1"/>
    <col min="6919" max="6919" width="13.85546875" hidden="1"/>
    <col min="6920" max="6920" width="9.85546875" hidden="1"/>
    <col min="6921" max="6921" width="14.7109375" hidden="1"/>
    <col min="6922" max="6922" width="16.42578125" hidden="1"/>
    <col min="6923" max="6925" width="13.85546875" hidden="1"/>
    <col min="6926" max="6926" width="12.85546875" hidden="1"/>
    <col min="6927" max="6927" width="14.140625" hidden="1"/>
    <col min="6928" max="6928" width="12.28515625" hidden="1"/>
    <col min="6929" max="6930" width="14.42578125" hidden="1"/>
    <col min="6931" max="6931" width="12.85546875" hidden="1"/>
    <col min="6932" max="6932" width="12.28515625" hidden="1"/>
    <col min="6933" max="6933" width="16.7109375" hidden="1"/>
    <col min="7161" max="7161" width="1.85546875" hidden="1"/>
    <col min="7162" max="7162" width="8" hidden="1"/>
    <col min="7163" max="7163" width="9.5703125" hidden="1"/>
    <col min="7164" max="7165" width="8" hidden="1"/>
    <col min="7166" max="7168" width="1.85546875" hidden="1"/>
    <col min="7169" max="7169" width="13.42578125" hidden="1"/>
    <col min="7170" max="7170" width="16.85546875" hidden="1"/>
    <col min="7171" max="7171" width="9.7109375" hidden="1"/>
    <col min="7172" max="7172" width="9.85546875" hidden="1"/>
    <col min="7173" max="7173" width="7.7109375" hidden="1"/>
    <col min="7174" max="7174" width="12.85546875" hidden="1"/>
    <col min="7175" max="7175" width="13.85546875" hidden="1"/>
    <col min="7176" max="7176" width="9.85546875" hidden="1"/>
    <col min="7177" max="7177" width="14.7109375" hidden="1"/>
    <col min="7178" max="7178" width="16.42578125" hidden="1"/>
    <col min="7179" max="7181" width="13.85546875" hidden="1"/>
    <col min="7182" max="7182" width="12.85546875" hidden="1"/>
    <col min="7183" max="7183" width="14.140625" hidden="1"/>
    <col min="7184" max="7184" width="12.28515625" hidden="1"/>
    <col min="7185" max="7186" width="14.42578125" hidden="1"/>
    <col min="7187" max="7187" width="12.85546875" hidden="1"/>
    <col min="7188" max="7188" width="12.28515625" hidden="1"/>
    <col min="7189" max="7189" width="16.7109375" hidden="1"/>
    <col min="7417" max="7417" width="1.85546875" hidden="1"/>
    <col min="7418" max="7418" width="8" hidden="1"/>
    <col min="7419" max="7419" width="9.5703125" hidden="1"/>
    <col min="7420" max="7421" width="8" hidden="1"/>
    <col min="7422" max="7424" width="1.85546875" hidden="1"/>
    <col min="7425" max="7425" width="13.42578125" hidden="1"/>
    <col min="7426" max="7426" width="16.85546875" hidden="1"/>
    <col min="7427" max="7427" width="9.7109375" hidden="1"/>
    <col min="7428" max="7428" width="9.85546875" hidden="1"/>
    <col min="7429" max="7429" width="7.7109375" hidden="1"/>
    <col min="7430" max="7430" width="12.85546875" hidden="1"/>
    <col min="7431" max="7431" width="13.85546875" hidden="1"/>
    <col min="7432" max="7432" width="9.85546875" hidden="1"/>
    <col min="7433" max="7433" width="14.7109375" hidden="1"/>
    <col min="7434" max="7434" width="16.42578125" hidden="1"/>
    <col min="7435" max="7437" width="13.85546875" hidden="1"/>
    <col min="7438" max="7438" width="12.85546875" hidden="1"/>
    <col min="7439" max="7439" width="14.140625" hidden="1"/>
    <col min="7440" max="7440" width="12.28515625" hidden="1"/>
    <col min="7441" max="7442" width="14.42578125" hidden="1"/>
    <col min="7443" max="7443" width="12.85546875" hidden="1"/>
    <col min="7444" max="7444" width="12.28515625" hidden="1"/>
    <col min="7445" max="7445" width="16.7109375" hidden="1"/>
    <col min="7673" max="7673" width="1.85546875" hidden="1"/>
    <col min="7674" max="7674" width="8" hidden="1"/>
    <col min="7675" max="7675" width="9.5703125" hidden="1"/>
    <col min="7676" max="7677" width="8" hidden="1"/>
    <col min="7678" max="7680" width="1.85546875" hidden="1"/>
    <col min="7681" max="7681" width="13.42578125" hidden="1"/>
    <col min="7682" max="7682" width="16.85546875" hidden="1"/>
    <col min="7683" max="7683" width="9.7109375" hidden="1"/>
    <col min="7684" max="7684" width="9.85546875" hidden="1"/>
    <col min="7685" max="7685" width="7.7109375" hidden="1"/>
    <col min="7686" max="7686" width="12.85546875" hidden="1"/>
    <col min="7687" max="7687" width="13.85546875" hidden="1"/>
    <col min="7688" max="7688" width="9.85546875" hidden="1"/>
    <col min="7689" max="7689" width="14.7109375" hidden="1"/>
    <col min="7690" max="7690" width="16.42578125" hidden="1"/>
    <col min="7691" max="7693" width="13.85546875" hidden="1"/>
    <col min="7694" max="7694" width="12.85546875" hidden="1"/>
    <col min="7695" max="7695" width="14.140625" hidden="1"/>
    <col min="7696" max="7696" width="12.28515625" hidden="1"/>
    <col min="7697" max="7698" width="14.42578125" hidden="1"/>
    <col min="7699" max="7699" width="12.85546875" hidden="1"/>
    <col min="7700" max="7700" width="12.28515625" hidden="1"/>
    <col min="7701" max="7701" width="16.7109375" hidden="1"/>
    <col min="7929" max="7929" width="1.85546875" hidden="1"/>
    <col min="7930" max="7930" width="8" hidden="1"/>
    <col min="7931" max="7931" width="9.5703125" hidden="1"/>
    <col min="7932" max="7933" width="8" hidden="1"/>
    <col min="7934" max="7936" width="1.85546875" hidden="1"/>
    <col min="7937" max="7937" width="13.42578125" hidden="1"/>
    <col min="7938" max="7938" width="16.85546875" hidden="1"/>
    <col min="7939" max="7939" width="9.7109375" hidden="1"/>
    <col min="7940" max="7940" width="9.85546875" hidden="1"/>
    <col min="7941" max="7941" width="7.7109375" hidden="1"/>
    <col min="7942" max="7942" width="12.85546875" hidden="1"/>
    <col min="7943" max="7943" width="13.85546875" hidden="1"/>
    <col min="7944" max="7944" width="9.85546875" hidden="1"/>
    <col min="7945" max="7945" width="14.7109375" hidden="1"/>
    <col min="7946" max="7946" width="16.42578125" hidden="1"/>
    <col min="7947" max="7949" width="13.85546875" hidden="1"/>
    <col min="7950" max="7950" width="12.85546875" hidden="1"/>
    <col min="7951" max="7951" width="14.140625" hidden="1"/>
    <col min="7952" max="7952" width="12.28515625" hidden="1"/>
    <col min="7953" max="7954" width="14.42578125" hidden="1"/>
    <col min="7955" max="7955" width="12.85546875" hidden="1"/>
    <col min="7956" max="7956" width="12.28515625" hidden="1"/>
    <col min="7957" max="7957" width="16.7109375" hidden="1"/>
    <col min="8185" max="8185" width="1.85546875" hidden="1"/>
    <col min="8186" max="8186" width="8" hidden="1"/>
    <col min="8187" max="8187" width="9.5703125" hidden="1"/>
    <col min="8188" max="8189" width="8" hidden="1"/>
    <col min="8190" max="8192" width="1.85546875" hidden="1"/>
    <col min="8193" max="8193" width="13.42578125" hidden="1"/>
    <col min="8194" max="8194" width="16.85546875" hidden="1"/>
    <col min="8195" max="8195" width="9.7109375" hidden="1"/>
    <col min="8196" max="8196" width="9.85546875" hidden="1"/>
    <col min="8197" max="8197" width="7.7109375" hidden="1"/>
    <col min="8198" max="8198" width="12.85546875" hidden="1"/>
    <col min="8199" max="8199" width="13.85546875" hidden="1"/>
    <col min="8200" max="8200" width="9.85546875" hidden="1"/>
    <col min="8201" max="8201" width="14.7109375" hidden="1"/>
    <col min="8202" max="8202" width="16.42578125" hidden="1"/>
    <col min="8203" max="8205" width="13.85546875" hidden="1"/>
    <col min="8206" max="8206" width="12.85546875" hidden="1"/>
    <col min="8207" max="8207" width="14.140625" hidden="1"/>
    <col min="8208" max="8208" width="12.28515625" hidden="1"/>
    <col min="8209" max="8210" width="14.42578125" hidden="1"/>
    <col min="8211" max="8211" width="12.85546875" hidden="1"/>
    <col min="8212" max="8212" width="12.28515625" hidden="1"/>
    <col min="8213" max="8213" width="16.7109375" hidden="1"/>
    <col min="8441" max="8441" width="1.85546875" hidden="1"/>
    <col min="8442" max="8442" width="8" hidden="1"/>
    <col min="8443" max="8443" width="9.5703125" hidden="1"/>
    <col min="8444" max="8445" width="8" hidden="1"/>
    <col min="8446" max="8448" width="1.85546875" hidden="1"/>
    <col min="8449" max="8449" width="13.42578125" hidden="1"/>
    <col min="8450" max="8450" width="16.85546875" hidden="1"/>
    <col min="8451" max="8451" width="9.7109375" hidden="1"/>
    <col min="8452" max="8452" width="9.85546875" hidden="1"/>
    <col min="8453" max="8453" width="7.7109375" hidden="1"/>
    <col min="8454" max="8454" width="12.85546875" hidden="1"/>
    <col min="8455" max="8455" width="13.85546875" hidden="1"/>
    <col min="8456" max="8456" width="9.85546875" hidden="1"/>
    <col min="8457" max="8457" width="14.7109375" hidden="1"/>
    <col min="8458" max="8458" width="16.42578125" hidden="1"/>
    <col min="8459" max="8461" width="13.85546875" hidden="1"/>
    <col min="8462" max="8462" width="12.85546875" hidden="1"/>
    <col min="8463" max="8463" width="14.140625" hidden="1"/>
    <col min="8464" max="8464" width="12.28515625" hidden="1"/>
    <col min="8465" max="8466" width="14.42578125" hidden="1"/>
    <col min="8467" max="8467" width="12.85546875" hidden="1"/>
    <col min="8468" max="8468" width="12.28515625" hidden="1"/>
    <col min="8469" max="8469" width="16.7109375" hidden="1"/>
    <col min="8697" max="8697" width="1.85546875" hidden="1"/>
    <col min="8698" max="8698" width="8" hidden="1"/>
    <col min="8699" max="8699" width="9.5703125" hidden="1"/>
    <col min="8700" max="8701" width="8" hidden="1"/>
    <col min="8702" max="8704" width="1.85546875" hidden="1"/>
    <col min="8705" max="8705" width="13.42578125" hidden="1"/>
    <col min="8706" max="8706" width="16.85546875" hidden="1"/>
    <col min="8707" max="8707" width="9.7109375" hidden="1"/>
    <col min="8708" max="8708" width="9.85546875" hidden="1"/>
    <col min="8709" max="8709" width="7.7109375" hidden="1"/>
    <col min="8710" max="8710" width="12.85546875" hidden="1"/>
    <col min="8711" max="8711" width="13.85546875" hidden="1"/>
    <col min="8712" max="8712" width="9.85546875" hidden="1"/>
    <col min="8713" max="8713" width="14.7109375" hidden="1"/>
    <col min="8714" max="8714" width="16.42578125" hidden="1"/>
    <col min="8715" max="8717" width="13.85546875" hidden="1"/>
    <col min="8718" max="8718" width="12.85546875" hidden="1"/>
    <col min="8719" max="8719" width="14.140625" hidden="1"/>
    <col min="8720" max="8720" width="12.28515625" hidden="1"/>
    <col min="8721" max="8722" width="14.42578125" hidden="1"/>
    <col min="8723" max="8723" width="12.85546875" hidden="1"/>
    <col min="8724" max="8724" width="12.28515625" hidden="1"/>
    <col min="8725" max="8725" width="16.7109375" hidden="1"/>
    <col min="8953" max="8953" width="1.85546875" hidden="1"/>
    <col min="8954" max="8954" width="8" hidden="1"/>
    <col min="8955" max="8955" width="9.5703125" hidden="1"/>
    <col min="8956" max="8957" width="8" hidden="1"/>
    <col min="8958" max="8960" width="1.85546875" hidden="1"/>
    <col min="8961" max="8961" width="13.42578125" hidden="1"/>
    <col min="8962" max="8962" width="16.85546875" hidden="1"/>
    <col min="8963" max="8963" width="9.7109375" hidden="1"/>
    <col min="8964" max="8964" width="9.85546875" hidden="1"/>
    <col min="8965" max="8965" width="7.7109375" hidden="1"/>
    <col min="8966" max="8966" width="12.85546875" hidden="1"/>
    <col min="8967" max="8967" width="13.85546875" hidden="1"/>
    <col min="8968" max="8968" width="9.85546875" hidden="1"/>
    <col min="8969" max="8969" width="14.7109375" hidden="1"/>
    <col min="8970" max="8970" width="16.42578125" hidden="1"/>
    <col min="8971" max="8973" width="13.85546875" hidden="1"/>
    <col min="8974" max="8974" width="12.85546875" hidden="1"/>
    <col min="8975" max="8975" width="14.140625" hidden="1"/>
    <col min="8976" max="8976" width="12.28515625" hidden="1"/>
    <col min="8977" max="8978" width="14.42578125" hidden="1"/>
    <col min="8979" max="8979" width="12.85546875" hidden="1"/>
    <col min="8980" max="8980" width="12.28515625" hidden="1"/>
    <col min="8981" max="8981" width="16.7109375" hidden="1"/>
    <col min="9209" max="9209" width="1.85546875" hidden="1"/>
    <col min="9210" max="9210" width="8" hidden="1"/>
    <col min="9211" max="9211" width="9.5703125" hidden="1"/>
    <col min="9212" max="9213" width="8" hidden="1"/>
    <col min="9214" max="9216" width="1.85546875" hidden="1"/>
    <col min="9217" max="9217" width="13.42578125" hidden="1"/>
    <col min="9218" max="9218" width="16.85546875" hidden="1"/>
    <col min="9219" max="9219" width="9.7109375" hidden="1"/>
    <col min="9220" max="9220" width="9.85546875" hidden="1"/>
    <col min="9221" max="9221" width="7.7109375" hidden="1"/>
    <col min="9222" max="9222" width="12.85546875" hidden="1"/>
    <col min="9223" max="9223" width="13.85546875" hidden="1"/>
    <col min="9224" max="9224" width="9.85546875" hidden="1"/>
    <col min="9225" max="9225" width="14.7109375" hidden="1"/>
    <col min="9226" max="9226" width="16.42578125" hidden="1"/>
    <col min="9227" max="9229" width="13.85546875" hidden="1"/>
    <col min="9230" max="9230" width="12.85546875" hidden="1"/>
    <col min="9231" max="9231" width="14.140625" hidden="1"/>
    <col min="9232" max="9232" width="12.28515625" hidden="1"/>
    <col min="9233" max="9234" width="14.42578125" hidden="1"/>
    <col min="9235" max="9235" width="12.85546875" hidden="1"/>
    <col min="9236" max="9236" width="12.28515625" hidden="1"/>
    <col min="9237" max="9237" width="16.7109375" hidden="1"/>
    <col min="9465" max="9465" width="1.85546875" hidden="1"/>
    <col min="9466" max="9466" width="8" hidden="1"/>
    <col min="9467" max="9467" width="9.5703125" hidden="1"/>
    <col min="9468" max="9469" width="8" hidden="1"/>
    <col min="9470" max="9472" width="1.85546875" hidden="1"/>
    <col min="9473" max="9473" width="13.42578125" hidden="1"/>
    <col min="9474" max="9474" width="16.85546875" hidden="1"/>
    <col min="9475" max="9475" width="9.7109375" hidden="1"/>
    <col min="9476" max="9476" width="9.85546875" hidden="1"/>
    <col min="9477" max="9477" width="7.7109375" hidden="1"/>
    <col min="9478" max="9478" width="12.85546875" hidden="1"/>
    <col min="9479" max="9479" width="13.85546875" hidden="1"/>
    <col min="9480" max="9480" width="9.85546875" hidden="1"/>
    <col min="9481" max="9481" width="14.7109375" hidden="1"/>
    <col min="9482" max="9482" width="16.42578125" hidden="1"/>
    <col min="9483" max="9485" width="13.85546875" hidden="1"/>
    <col min="9486" max="9486" width="12.85546875" hidden="1"/>
    <col min="9487" max="9487" width="14.140625" hidden="1"/>
    <col min="9488" max="9488" width="12.28515625" hidden="1"/>
    <col min="9489" max="9490" width="14.42578125" hidden="1"/>
    <col min="9491" max="9491" width="12.85546875" hidden="1"/>
    <col min="9492" max="9492" width="12.28515625" hidden="1"/>
    <col min="9493" max="9493" width="16.7109375" hidden="1"/>
    <col min="9721" max="9721" width="1.85546875" hidden="1"/>
    <col min="9722" max="9722" width="8" hidden="1"/>
    <col min="9723" max="9723" width="9.5703125" hidden="1"/>
    <col min="9724" max="9725" width="8" hidden="1"/>
    <col min="9726" max="9728" width="1.85546875" hidden="1"/>
    <col min="9729" max="9729" width="13.42578125" hidden="1"/>
    <col min="9730" max="9730" width="16.85546875" hidden="1"/>
    <col min="9731" max="9731" width="9.7109375" hidden="1"/>
    <col min="9732" max="9732" width="9.85546875" hidden="1"/>
    <col min="9733" max="9733" width="7.7109375" hidden="1"/>
    <col min="9734" max="9734" width="12.85546875" hidden="1"/>
    <col min="9735" max="9735" width="13.85546875" hidden="1"/>
    <col min="9736" max="9736" width="9.85546875" hidden="1"/>
    <col min="9737" max="9737" width="14.7109375" hidden="1"/>
    <col min="9738" max="9738" width="16.42578125" hidden="1"/>
    <col min="9739" max="9741" width="13.85546875" hidden="1"/>
    <col min="9742" max="9742" width="12.85546875" hidden="1"/>
    <col min="9743" max="9743" width="14.140625" hidden="1"/>
    <col min="9744" max="9744" width="12.28515625" hidden="1"/>
    <col min="9745" max="9746" width="14.42578125" hidden="1"/>
    <col min="9747" max="9747" width="12.85546875" hidden="1"/>
    <col min="9748" max="9748" width="12.28515625" hidden="1"/>
    <col min="9749" max="9749" width="16.7109375" hidden="1"/>
    <col min="9977" max="9977" width="1.85546875" hidden="1"/>
    <col min="9978" max="9978" width="8" hidden="1"/>
    <col min="9979" max="9979" width="9.5703125" hidden="1"/>
    <col min="9980" max="9981" width="8" hidden="1"/>
    <col min="9982" max="9984" width="1.85546875" hidden="1"/>
    <col min="9985" max="9985" width="13.42578125" hidden="1"/>
    <col min="9986" max="9986" width="16.85546875" hidden="1"/>
    <col min="9987" max="9987" width="9.7109375" hidden="1"/>
    <col min="9988" max="9988" width="9.85546875" hidden="1"/>
    <col min="9989" max="9989" width="7.7109375" hidden="1"/>
    <col min="9990" max="9990" width="12.85546875" hidden="1"/>
    <col min="9991" max="9991" width="13.85546875" hidden="1"/>
    <col min="9992" max="9992" width="9.85546875" hidden="1"/>
    <col min="9993" max="9993" width="14.7109375" hidden="1"/>
    <col min="9994" max="9994" width="16.42578125" hidden="1"/>
    <col min="9995" max="9997" width="13.85546875" hidden="1"/>
    <col min="9998" max="9998" width="12.85546875" hidden="1"/>
    <col min="9999" max="9999" width="14.140625" hidden="1"/>
    <col min="10000" max="10000" width="12.28515625" hidden="1"/>
    <col min="10001" max="10002" width="14.42578125" hidden="1"/>
    <col min="10003" max="10003" width="12.85546875" hidden="1"/>
    <col min="10004" max="10004" width="12.28515625" hidden="1"/>
    <col min="10005" max="10005" width="16.7109375" hidden="1"/>
    <col min="10233" max="10233" width="1.85546875" hidden="1"/>
    <col min="10234" max="10234" width="8" hidden="1"/>
    <col min="10235" max="10235" width="9.5703125" hidden="1"/>
    <col min="10236" max="10237" width="8" hidden="1"/>
    <col min="10238" max="10240" width="1.85546875" hidden="1"/>
    <col min="10241" max="10241" width="13.42578125" hidden="1"/>
    <col min="10242" max="10242" width="16.85546875" hidden="1"/>
    <col min="10243" max="10243" width="9.7109375" hidden="1"/>
    <col min="10244" max="10244" width="9.85546875" hidden="1"/>
    <col min="10245" max="10245" width="7.7109375" hidden="1"/>
    <col min="10246" max="10246" width="12.85546875" hidden="1"/>
    <col min="10247" max="10247" width="13.85546875" hidden="1"/>
    <col min="10248" max="10248" width="9.85546875" hidden="1"/>
    <col min="10249" max="10249" width="14.7109375" hidden="1"/>
    <col min="10250" max="10250" width="16.42578125" hidden="1"/>
    <col min="10251" max="10253" width="13.85546875" hidden="1"/>
    <col min="10254" max="10254" width="12.85546875" hidden="1"/>
    <col min="10255" max="10255" width="14.140625" hidden="1"/>
    <col min="10256" max="10256" width="12.28515625" hidden="1"/>
    <col min="10257" max="10258" width="14.42578125" hidden="1"/>
    <col min="10259" max="10259" width="12.85546875" hidden="1"/>
    <col min="10260" max="10260" width="12.28515625" hidden="1"/>
    <col min="10261" max="10261" width="16.7109375" hidden="1"/>
    <col min="10489" max="10489" width="1.85546875" hidden="1"/>
    <col min="10490" max="10490" width="8" hidden="1"/>
    <col min="10491" max="10491" width="9.5703125" hidden="1"/>
    <col min="10492" max="10493" width="8" hidden="1"/>
    <col min="10494" max="10496" width="1.85546875" hidden="1"/>
    <col min="10497" max="10497" width="13.42578125" hidden="1"/>
    <col min="10498" max="10498" width="16.85546875" hidden="1"/>
    <col min="10499" max="10499" width="9.7109375" hidden="1"/>
    <col min="10500" max="10500" width="9.85546875" hidden="1"/>
    <col min="10501" max="10501" width="7.7109375" hidden="1"/>
    <col min="10502" max="10502" width="12.85546875" hidden="1"/>
    <col min="10503" max="10503" width="13.85546875" hidden="1"/>
    <col min="10504" max="10504" width="9.85546875" hidden="1"/>
    <col min="10505" max="10505" width="14.7109375" hidden="1"/>
    <col min="10506" max="10506" width="16.42578125" hidden="1"/>
    <col min="10507" max="10509" width="13.85546875" hidden="1"/>
    <col min="10510" max="10510" width="12.85546875" hidden="1"/>
    <col min="10511" max="10511" width="14.140625" hidden="1"/>
    <col min="10512" max="10512" width="12.28515625" hidden="1"/>
    <col min="10513" max="10514" width="14.42578125" hidden="1"/>
    <col min="10515" max="10515" width="12.85546875" hidden="1"/>
    <col min="10516" max="10516" width="12.28515625" hidden="1"/>
    <col min="10517" max="10517" width="16.7109375" hidden="1"/>
    <col min="10745" max="10745" width="1.85546875" hidden="1"/>
    <col min="10746" max="10746" width="8" hidden="1"/>
    <col min="10747" max="10747" width="9.5703125" hidden="1"/>
    <col min="10748" max="10749" width="8" hidden="1"/>
    <col min="10750" max="10752" width="1.85546875" hidden="1"/>
    <col min="10753" max="10753" width="13.42578125" hidden="1"/>
    <col min="10754" max="10754" width="16.85546875" hidden="1"/>
    <col min="10755" max="10755" width="9.7109375" hidden="1"/>
    <col min="10756" max="10756" width="9.85546875" hidden="1"/>
    <col min="10757" max="10757" width="7.7109375" hidden="1"/>
    <col min="10758" max="10758" width="12.85546875" hidden="1"/>
    <col min="10759" max="10759" width="13.85546875" hidden="1"/>
    <col min="10760" max="10760" width="9.85546875" hidden="1"/>
    <col min="10761" max="10761" width="14.7109375" hidden="1"/>
    <col min="10762" max="10762" width="16.42578125" hidden="1"/>
    <col min="10763" max="10765" width="13.85546875" hidden="1"/>
    <col min="10766" max="10766" width="12.85546875" hidden="1"/>
    <col min="10767" max="10767" width="14.140625" hidden="1"/>
    <col min="10768" max="10768" width="12.28515625" hidden="1"/>
    <col min="10769" max="10770" width="14.42578125" hidden="1"/>
    <col min="10771" max="10771" width="12.85546875" hidden="1"/>
    <col min="10772" max="10772" width="12.28515625" hidden="1"/>
    <col min="10773" max="10773" width="16.7109375" hidden="1"/>
    <col min="11001" max="11001" width="1.85546875" hidden="1"/>
    <col min="11002" max="11002" width="8" hidden="1"/>
    <col min="11003" max="11003" width="9.5703125" hidden="1"/>
    <col min="11004" max="11005" width="8" hidden="1"/>
    <col min="11006" max="11008" width="1.85546875" hidden="1"/>
    <col min="11009" max="11009" width="13.42578125" hidden="1"/>
    <col min="11010" max="11010" width="16.85546875" hidden="1"/>
    <col min="11011" max="11011" width="9.7109375" hidden="1"/>
    <col min="11012" max="11012" width="9.85546875" hidden="1"/>
    <col min="11013" max="11013" width="7.7109375" hidden="1"/>
    <col min="11014" max="11014" width="12.85546875" hidden="1"/>
    <col min="11015" max="11015" width="13.85546875" hidden="1"/>
    <col min="11016" max="11016" width="9.85546875" hidden="1"/>
    <col min="11017" max="11017" width="14.7109375" hidden="1"/>
    <col min="11018" max="11018" width="16.42578125" hidden="1"/>
    <col min="11019" max="11021" width="13.85546875" hidden="1"/>
    <col min="11022" max="11022" width="12.85546875" hidden="1"/>
    <col min="11023" max="11023" width="14.140625" hidden="1"/>
    <col min="11024" max="11024" width="12.28515625" hidden="1"/>
    <col min="11025" max="11026" width="14.42578125" hidden="1"/>
    <col min="11027" max="11027" width="12.85546875" hidden="1"/>
    <col min="11028" max="11028" width="12.28515625" hidden="1"/>
    <col min="11029" max="11029" width="16.7109375" hidden="1"/>
    <col min="11257" max="11257" width="1.85546875" hidden="1"/>
    <col min="11258" max="11258" width="8" hidden="1"/>
    <col min="11259" max="11259" width="9.5703125" hidden="1"/>
    <col min="11260" max="11261" width="8" hidden="1"/>
    <col min="11262" max="11264" width="1.85546875" hidden="1"/>
    <col min="11265" max="11265" width="13.42578125" hidden="1"/>
    <col min="11266" max="11266" width="16.85546875" hidden="1"/>
    <col min="11267" max="11267" width="9.7109375" hidden="1"/>
    <col min="11268" max="11268" width="9.85546875" hidden="1"/>
    <col min="11269" max="11269" width="7.7109375" hidden="1"/>
    <col min="11270" max="11270" width="12.85546875" hidden="1"/>
    <col min="11271" max="11271" width="13.85546875" hidden="1"/>
    <col min="11272" max="11272" width="9.85546875" hidden="1"/>
    <col min="11273" max="11273" width="14.7109375" hidden="1"/>
    <col min="11274" max="11274" width="16.42578125" hidden="1"/>
    <col min="11275" max="11277" width="13.85546875" hidden="1"/>
    <col min="11278" max="11278" width="12.85546875" hidden="1"/>
    <col min="11279" max="11279" width="14.140625" hidden="1"/>
    <col min="11280" max="11280" width="12.28515625" hidden="1"/>
    <col min="11281" max="11282" width="14.42578125" hidden="1"/>
    <col min="11283" max="11283" width="12.85546875" hidden="1"/>
    <col min="11284" max="11284" width="12.28515625" hidden="1"/>
    <col min="11285" max="11285" width="16.7109375" hidden="1"/>
    <col min="11513" max="11513" width="1.85546875" hidden="1"/>
    <col min="11514" max="11514" width="8" hidden="1"/>
    <col min="11515" max="11515" width="9.5703125" hidden="1"/>
    <col min="11516" max="11517" width="8" hidden="1"/>
    <col min="11518" max="11520" width="1.85546875" hidden="1"/>
    <col min="11521" max="11521" width="13.42578125" hidden="1"/>
    <col min="11522" max="11522" width="16.85546875" hidden="1"/>
    <col min="11523" max="11523" width="9.7109375" hidden="1"/>
    <col min="11524" max="11524" width="9.85546875" hidden="1"/>
    <col min="11525" max="11525" width="7.7109375" hidden="1"/>
    <col min="11526" max="11526" width="12.85546875" hidden="1"/>
    <col min="11527" max="11527" width="13.85546875" hidden="1"/>
    <col min="11528" max="11528" width="9.85546875" hidden="1"/>
    <col min="11529" max="11529" width="14.7109375" hidden="1"/>
    <col min="11530" max="11530" width="16.42578125" hidden="1"/>
    <col min="11531" max="11533" width="13.85546875" hidden="1"/>
    <col min="11534" max="11534" width="12.85546875" hidden="1"/>
    <col min="11535" max="11535" width="14.140625" hidden="1"/>
    <col min="11536" max="11536" width="12.28515625" hidden="1"/>
    <col min="11537" max="11538" width="14.42578125" hidden="1"/>
    <col min="11539" max="11539" width="12.85546875" hidden="1"/>
    <col min="11540" max="11540" width="12.28515625" hidden="1"/>
    <col min="11541" max="11541" width="16.7109375" hidden="1"/>
    <col min="11769" max="11769" width="1.85546875" hidden="1"/>
    <col min="11770" max="11770" width="8" hidden="1"/>
    <col min="11771" max="11771" width="9.5703125" hidden="1"/>
    <col min="11772" max="11773" width="8" hidden="1"/>
    <col min="11774" max="11776" width="1.85546875" hidden="1"/>
    <col min="11777" max="11777" width="13.42578125" hidden="1"/>
    <col min="11778" max="11778" width="16.85546875" hidden="1"/>
    <col min="11779" max="11779" width="9.7109375" hidden="1"/>
    <col min="11780" max="11780" width="9.85546875" hidden="1"/>
    <col min="11781" max="11781" width="7.7109375" hidden="1"/>
    <col min="11782" max="11782" width="12.85546875" hidden="1"/>
    <col min="11783" max="11783" width="13.85546875" hidden="1"/>
    <col min="11784" max="11784" width="9.85546875" hidden="1"/>
    <col min="11785" max="11785" width="14.7109375" hidden="1"/>
    <col min="11786" max="11786" width="16.42578125" hidden="1"/>
    <col min="11787" max="11789" width="13.85546875" hidden="1"/>
    <col min="11790" max="11790" width="12.85546875" hidden="1"/>
    <col min="11791" max="11791" width="14.140625" hidden="1"/>
    <col min="11792" max="11792" width="12.28515625" hidden="1"/>
    <col min="11793" max="11794" width="14.42578125" hidden="1"/>
    <col min="11795" max="11795" width="12.85546875" hidden="1"/>
    <col min="11796" max="11796" width="12.28515625" hidden="1"/>
    <col min="11797" max="11797" width="16.7109375" hidden="1"/>
    <col min="12025" max="12025" width="1.85546875" hidden="1"/>
    <col min="12026" max="12026" width="8" hidden="1"/>
    <col min="12027" max="12027" width="9.5703125" hidden="1"/>
    <col min="12028" max="12029" width="8" hidden="1"/>
    <col min="12030" max="12032" width="1.85546875" hidden="1"/>
    <col min="12033" max="12033" width="13.42578125" hidden="1"/>
    <col min="12034" max="12034" width="16.85546875" hidden="1"/>
    <col min="12035" max="12035" width="9.7109375" hidden="1"/>
    <col min="12036" max="12036" width="9.85546875" hidden="1"/>
    <col min="12037" max="12037" width="7.7109375" hidden="1"/>
    <col min="12038" max="12038" width="12.85546875" hidden="1"/>
    <col min="12039" max="12039" width="13.85546875" hidden="1"/>
    <col min="12040" max="12040" width="9.85546875" hidden="1"/>
    <col min="12041" max="12041" width="14.7109375" hidden="1"/>
    <col min="12042" max="12042" width="16.42578125" hidden="1"/>
    <col min="12043" max="12045" width="13.85546875" hidden="1"/>
    <col min="12046" max="12046" width="12.85546875" hidden="1"/>
    <col min="12047" max="12047" width="14.140625" hidden="1"/>
    <col min="12048" max="12048" width="12.28515625" hidden="1"/>
    <col min="12049" max="12050" width="14.42578125" hidden="1"/>
    <col min="12051" max="12051" width="12.85546875" hidden="1"/>
    <col min="12052" max="12052" width="12.28515625" hidden="1"/>
    <col min="12053" max="12053" width="16.7109375" hidden="1"/>
    <col min="12281" max="12281" width="1.85546875" hidden="1"/>
    <col min="12282" max="12282" width="8" hidden="1"/>
    <col min="12283" max="12283" width="9.5703125" hidden="1"/>
    <col min="12284" max="12285" width="8" hidden="1"/>
    <col min="12286" max="12288" width="1.85546875" hidden="1"/>
    <col min="12289" max="12289" width="13.42578125" hidden="1"/>
    <col min="12290" max="12290" width="16.85546875" hidden="1"/>
    <col min="12291" max="12291" width="9.7109375" hidden="1"/>
    <col min="12292" max="12292" width="9.85546875" hidden="1"/>
    <col min="12293" max="12293" width="7.7109375" hidden="1"/>
    <col min="12294" max="12294" width="12.85546875" hidden="1"/>
    <col min="12295" max="12295" width="13.85546875" hidden="1"/>
    <col min="12296" max="12296" width="9.85546875" hidden="1"/>
    <col min="12297" max="12297" width="14.7109375" hidden="1"/>
    <col min="12298" max="12298" width="16.42578125" hidden="1"/>
    <col min="12299" max="12301" width="13.85546875" hidden="1"/>
    <col min="12302" max="12302" width="12.85546875" hidden="1"/>
    <col min="12303" max="12303" width="14.140625" hidden="1"/>
    <col min="12304" max="12304" width="12.28515625" hidden="1"/>
    <col min="12305" max="12306" width="14.42578125" hidden="1"/>
    <col min="12307" max="12307" width="12.85546875" hidden="1"/>
    <col min="12308" max="12308" width="12.28515625" hidden="1"/>
    <col min="12309" max="12309" width="16.7109375" hidden="1"/>
    <col min="12537" max="12537" width="1.85546875" hidden="1"/>
    <col min="12538" max="12538" width="8" hidden="1"/>
    <col min="12539" max="12539" width="9.5703125" hidden="1"/>
    <col min="12540" max="12541" width="8" hidden="1"/>
    <col min="12542" max="12544" width="1.85546875" hidden="1"/>
    <col min="12545" max="12545" width="13.42578125" hidden="1"/>
    <col min="12546" max="12546" width="16.85546875" hidden="1"/>
    <col min="12547" max="12547" width="9.7109375" hidden="1"/>
    <col min="12548" max="12548" width="9.85546875" hidden="1"/>
    <col min="12549" max="12549" width="7.7109375" hidden="1"/>
    <col min="12550" max="12550" width="12.85546875" hidden="1"/>
    <col min="12551" max="12551" width="13.85546875" hidden="1"/>
    <col min="12552" max="12552" width="9.85546875" hidden="1"/>
    <col min="12553" max="12553" width="14.7109375" hidden="1"/>
    <col min="12554" max="12554" width="16.42578125" hidden="1"/>
    <col min="12555" max="12557" width="13.85546875" hidden="1"/>
    <col min="12558" max="12558" width="12.85546875" hidden="1"/>
    <col min="12559" max="12559" width="14.140625" hidden="1"/>
    <col min="12560" max="12560" width="12.28515625" hidden="1"/>
    <col min="12561" max="12562" width="14.42578125" hidden="1"/>
    <col min="12563" max="12563" width="12.85546875" hidden="1"/>
    <col min="12564" max="12564" width="12.28515625" hidden="1"/>
    <col min="12565" max="12565" width="16.7109375" hidden="1"/>
    <col min="12793" max="12793" width="1.85546875" hidden="1"/>
    <col min="12794" max="12794" width="8" hidden="1"/>
    <col min="12795" max="12795" width="9.5703125" hidden="1"/>
    <col min="12796" max="12797" width="8" hidden="1"/>
    <col min="12798" max="12800" width="1.85546875" hidden="1"/>
    <col min="12801" max="12801" width="13.42578125" hidden="1"/>
    <col min="12802" max="12802" width="16.85546875" hidden="1"/>
    <col min="12803" max="12803" width="9.7109375" hidden="1"/>
    <col min="12804" max="12804" width="9.85546875" hidden="1"/>
    <col min="12805" max="12805" width="7.7109375" hidden="1"/>
    <col min="12806" max="12806" width="12.85546875" hidden="1"/>
    <col min="12807" max="12807" width="13.85546875" hidden="1"/>
    <col min="12808" max="12808" width="9.85546875" hidden="1"/>
    <col min="12809" max="12809" width="14.7109375" hidden="1"/>
    <col min="12810" max="12810" width="16.42578125" hidden="1"/>
    <col min="12811" max="12813" width="13.85546875" hidden="1"/>
    <col min="12814" max="12814" width="12.85546875" hidden="1"/>
    <col min="12815" max="12815" width="14.140625" hidden="1"/>
    <col min="12816" max="12816" width="12.28515625" hidden="1"/>
    <col min="12817" max="12818" width="14.42578125" hidden="1"/>
    <col min="12819" max="12819" width="12.85546875" hidden="1"/>
    <col min="12820" max="12820" width="12.28515625" hidden="1"/>
    <col min="12821" max="12821" width="16.7109375" hidden="1"/>
    <col min="13049" max="13049" width="1.85546875" hidden="1"/>
    <col min="13050" max="13050" width="8" hidden="1"/>
    <col min="13051" max="13051" width="9.5703125" hidden="1"/>
    <col min="13052" max="13053" width="8" hidden="1"/>
    <col min="13054" max="13056" width="1.85546875" hidden="1"/>
    <col min="13057" max="13057" width="13.42578125" hidden="1"/>
    <col min="13058" max="13058" width="16.85546875" hidden="1"/>
    <col min="13059" max="13059" width="9.7109375" hidden="1"/>
    <col min="13060" max="13060" width="9.85546875" hidden="1"/>
    <col min="13061" max="13061" width="7.7109375" hidden="1"/>
    <col min="13062" max="13062" width="12.85546875" hidden="1"/>
    <col min="13063" max="13063" width="13.85546875" hidden="1"/>
    <col min="13064" max="13064" width="9.85546875" hidden="1"/>
    <col min="13065" max="13065" width="14.7109375" hidden="1"/>
    <col min="13066" max="13066" width="16.42578125" hidden="1"/>
    <col min="13067" max="13069" width="13.85546875" hidden="1"/>
    <col min="13070" max="13070" width="12.85546875" hidden="1"/>
    <col min="13071" max="13071" width="14.140625" hidden="1"/>
    <col min="13072" max="13072" width="12.28515625" hidden="1"/>
    <col min="13073" max="13074" width="14.42578125" hidden="1"/>
    <col min="13075" max="13075" width="12.85546875" hidden="1"/>
    <col min="13076" max="13076" width="12.28515625" hidden="1"/>
    <col min="13077" max="13077" width="16.7109375" hidden="1"/>
    <col min="13305" max="13305" width="1.85546875" hidden="1"/>
    <col min="13306" max="13306" width="8" hidden="1"/>
    <col min="13307" max="13307" width="9.5703125" hidden="1"/>
    <col min="13308" max="13309" width="8" hidden="1"/>
    <col min="13310" max="13312" width="1.85546875" hidden="1"/>
    <col min="13313" max="13313" width="13.42578125" hidden="1"/>
    <col min="13314" max="13314" width="16.85546875" hidden="1"/>
    <col min="13315" max="13315" width="9.7109375" hidden="1"/>
    <col min="13316" max="13316" width="9.85546875" hidden="1"/>
    <col min="13317" max="13317" width="7.7109375" hidden="1"/>
    <col min="13318" max="13318" width="12.85546875" hidden="1"/>
    <col min="13319" max="13319" width="13.85546875" hidden="1"/>
    <col min="13320" max="13320" width="9.85546875" hidden="1"/>
    <col min="13321" max="13321" width="14.7109375" hidden="1"/>
    <col min="13322" max="13322" width="16.42578125" hidden="1"/>
    <col min="13323" max="13325" width="13.85546875" hidden="1"/>
    <col min="13326" max="13326" width="12.85546875" hidden="1"/>
    <col min="13327" max="13327" width="14.140625" hidden="1"/>
    <col min="13328" max="13328" width="12.28515625" hidden="1"/>
    <col min="13329" max="13330" width="14.42578125" hidden="1"/>
    <col min="13331" max="13331" width="12.85546875" hidden="1"/>
    <col min="13332" max="13332" width="12.28515625" hidden="1"/>
    <col min="13333" max="13333" width="16.7109375" hidden="1"/>
    <col min="13561" max="13561" width="1.85546875" hidden="1"/>
    <col min="13562" max="13562" width="8" hidden="1"/>
    <col min="13563" max="13563" width="9.5703125" hidden="1"/>
    <col min="13564" max="13565" width="8" hidden="1"/>
    <col min="13566" max="13568" width="1.85546875" hidden="1"/>
    <col min="13569" max="13569" width="13.42578125" hidden="1"/>
    <col min="13570" max="13570" width="16.85546875" hidden="1"/>
    <col min="13571" max="13571" width="9.7109375" hidden="1"/>
    <col min="13572" max="13572" width="9.85546875" hidden="1"/>
    <col min="13573" max="13573" width="7.7109375" hidden="1"/>
    <col min="13574" max="13574" width="12.85546875" hidden="1"/>
    <col min="13575" max="13575" width="13.85546875" hidden="1"/>
    <col min="13576" max="13576" width="9.85546875" hidden="1"/>
    <col min="13577" max="13577" width="14.7109375" hidden="1"/>
    <col min="13578" max="13578" width="16.42578125" hidden="1"/>
    <col min="13579" max="13581" width="13.85546875" hidden="1"/>
    <col min="13582" max="13582" width="12.85546875" hidden="1"/>
    <col min="13583" max="13583" width="14.140625" hidden="1"/>
    <col min="13584" max="13584" width="12.28515625" hidden="1"/>
    <col min="13585" max="13586" width="14.42578125" hidden="1"/>
    <col min="13587" max="13587" width="12.85546875" hidden="1"/>
    <col min="13588" max="13588" width="12.28515625" hidden="1"/>
    <col min="13589" max="13589" width="16.7109375" hidden="1"/>
    <col min="13817" max="13817" width="1.85546875" hidden="1"/>
    <col min="13818" max="13818" width="8" hidden="1"/>
    <col min="13819" max="13819" width="9.5703125" hidden="1"/>
    <col min="13820" max="13821" width="8" hidden="1"/>
    <col min="13822" max="13824" width="1.85546875" hidden="1"/>
    <col min="13825" max="13825" width="13.42578125" hidden="1"/>
    <col min="13826" max="13826" width="16.85546875" hidden="1"/>
    <col min="13827" max="13827" width="9.7109375" hidden="1"/>
    <col min="13828" max="13828" width="9.85546875" hidden="1"/>
    <col min="13829" max="13829" width="7.7109375" hidden="1"/>
    <col min="13830" max="13830" width="12.85546875" hidden="1"/>
    <col min="13831" max="13831" width="13.85546875" hidden="1"/>
    <col min="13832" max="13832" width="9.85546875" hidden="1"/>
    <col min="13833" max="13833" width="14.7109375" hidden="1"/>
    <col min="13834" max="13834" width="16.42578125" hidden="1"/>
    <col min="13835" max="13837" width="13.85546875" hidden="1"/>
    <col min="13838" max="13838" width="12.85546875" hidden="1"/>
    <col min="13839" max="13839" width="14.140625" hidden="1"/>
    <col min="13840" max="13840" width="12.28515625" hidden="1"/>
    <col min="13841" max="13842" width="14.42578125" hidden="1"/>
    <col min="13843" max="13843" width="12.85546875" hidden="1"/>
    <col min="13844" max="13844" width="12.28515625" hidden="1"/>
    <col min="13845" max="13845" width="16.7109375" hidden="1"/>
    <col min="14073" max="14073" width="1.85546875" hidden="1"/>
    <col min="14074" max="14074" width="8" hidden="1"/>
    <col min="14075" max="14075" width="9.5703125" hidden="1"/>
    <col min="14076" max="14077" width="8" hidden="1"/>
    <col min="14078" max="14080" width="1.85546875" hidden="1"/>
    <col min="14081" max="14081" width="13.42578125" hidden="1"/>
    <col min="14082" max="14082" width="16.85546875" hidden="1"/>
    <col min="14083" max="14083" width="9.7109375" hidden="1"/>
    <col min="14084" max="14084" width="9.85546875" hidden="1"/>
    <col min="14085" max="14085" width="7.7109375" hidden="1"/>
    <col min="14086" max="14086" width="12.85546875" hidden="1"/>
    <col min="14087" max="14087" width="13.85546875" hidden="1"/>
    <col min="14088" max="14088" width="9.85546875" hidden="1"/>
    <col min="14089" max="14089" width="14.7109375" hidden="1"/>
    <col min="14090" max="14090" width="16.42578125" hidden="1"/>
    <col min="14091" max="14093" width="13.85546875" hidden="1"/>
    <col min="14094" max="14094" width="12.85546875" hidden="1"/>
    <col min="14095" max="14095" width="14.140625" hidden="1"/>
    <col min="14096" max="14096" width="12.28515625" hidden="1"/>
    <col min="14097" max="14098" width="14.42578125" hidden="1"/>
    <col min="14099" max="14099" width="12.85546875" hidden="1"/>
    <col min="14100" max="14100" width="12.28515625" hidden="1"/>
    <col min="14101" max="14101" width="16.7109375" hidden="1"/>
    <col min="14329" max="14329" width="1.85546875" hidden="1"/>
    <col min="14330" max="14330" width="8" hidden="1"/>
    <col min="14331" max="14331" width="9.5703125" hidden="1"/>
    <col min="14332" max="14333" width="8" hidden="1"/>
    <col min="14334" max="14336" width="1.85546875" hidden="1"/>
    <col min="14337" max="14337" width="13.42578125" hidden="1"/>
    <col min="14338" max="14338" width="16.85546875" hidden="1"/>
    <col min="14339" max="14339" width="9.7109375" hidden="1"/>
    <col min="14340" max="14340" width="9.85546875" hidden="1"/>
    <col min="14341" max="14341" width="7.7109375" hidden="1"/>
    <col min="14342" max="14342" width="12.85546875" hidden="1"/>
    <col min="14343" max="14343" width="13.85546875" hidden="1"/>
    <col min="14344" max="14344" width="9.85546875" hidden="1"/>
    <col min="14345" max="14345" width="14.7109375" hidden="1"/>
    <col min="14346" max="14346" width="16.42578125" hidden="1"/>
    <col min="14347" max="14349" width="13.85546875" hidden="1"/>
    <col min="14350" max="14350" width="12.85546875" hidden="1"/>
    <col min="14351" max="14351" width="14.140625" hidden="1"/>
    <col min="14352" max="14352" width="12.28515625" hidden="1"/>
    <col min="14353" max="14354" width="14.42578125" hidden="1"/>
    <col min="14355" max="14355" width="12.85546875" hidden="1"/>
    <col min="14356" max="14356" width="12.28515625" hidden="1"/>
    <col min="14357" max="14357" width="16.7109375" hidden="1"/>
    <col min="14585" max="14585" width="1.85546875" hidden="1"/>
    <col min="14586" max="14586" width="8" hidden="1"/>
    <col min="14587" max="14587" width="9.5703125" hidden="1"/>
    <col min="14588" max="14589" width="8" hidden="1"/>
    <col min="14590" max="14592" width="1.85546875" hidden="1"/>
    <col min="14593" max="14593" width="13.42578125" hidden="1"/>
    <col min="14594" max="14594" width="16.85546875" hidden="1"/>
    <col min="14595" max="14595" width="9.7109375" hidden="1"/>
    <col min="14596" max="14596" width="9.85546875" hidden="1"/>
    <col min="14597" max="14597" width="7.7109375" hidden="1"/>
    <col min="14598" max="14598" width="12.85546875" hidden="1"/>
    <col min="14599" max="14599" width="13.85546875" hidden="1"/>
    <col min="14600" max="14600" width="9.85546875" hidden="1"/>
    <col min="14601" max="14601" width="14.7109375" hidden="1"/>
    <col min="14602" max="14602" width="16.42578125" hidden="1"/>
    <col min="14603" max="14605" width="13.85546875" hidden="1"/>
    <col min="14606" max="14606" width="12.85546875" hidden="1"/>
    <col min="14607" max="14607" width="14.140625" hidden="1"/>
    <col min="14608" max="14608" width="12.28515625" hidden="1"/>
    <col min="14609" max="14610" width="14.42578125" hidden="1"/>
    <col min="14611" max="14611" width="12.85546875" hidden="1"/>
    <col min="14612" max="14612" width="12.28515625" hidden="1"/>
    <col min="14613" max="14613" width="16.7109375" hidden="1"/>
    <col min="14841" max="14841" width="1.85546875" hidden="1"/>
    <col min="14842" max="14842" width="8" hidden="1"/>
    <col min="14843" max="14843" width="9.5703125" hidden="1"/>
    <col min="14844" max="14845" width="8" hidden="1"/>
    <col min="14846" max="14848" width="1.85546875" hidden="1"/>
    <col min="14849" max="14849" width="13.42578125" hidden="1"/>
    <col min="14850" max="14850" width="16.85546875" hidden="1"/>
    <col min="14851" max="14851" width="9.7109375" hidden="1"/>
    <col min="14852" max="14852" width="9.85546875" hidden="1"/>
    <col min="14853" max="14853" width="7.7109375" hidden="1"/>
    <col min="14854" max="14854" width="12.85546875" hidden="1"/>
    <col min="14855" max="14855" width="13.85546875" hidden="1"/>
    <col min="14856" max="14856" width="9.85546875" hidden="1"/>
    <col min="14857" max="14857" width="14.7109375" hidden="1"/>
    <col min="14858" max="14858" width="16.42578125" hidden="1"/>
    <col min="14859" max="14861" width="13.85546875" hidden="1"/>
    <col min="14862" max="14862" width="12.85546875" hidden="1"/>
    <col min="14863" max="14863" width="14.140625" hidden="1"/>
    <col min="14864" max="14864" width="12.28515625" hidden="1"/>
    <col min="14865" max="14866" width="14.42578125" hidden="1"/>
    <col min="14867" max="14867" width="12.85546875" hidden="1"/>
    <col min="14868" max="14868" width="12.28515625" hidden="1"/>
    <col min="14869" max="14869" width="16.7109375" hidden="1"/>
    <col min="15097" max="15097" width="1.85546875" hidden="1"/>
    <col min="15098" max="15098" width="8" hidden="1"/>
    <col min="15099" max="15099" width="9.5703125" hidden="1"/>
    <col min="15100" max="15101" width="8" hidden="1"/>
    <col min="15102" max="15104" width="1.85546875" hidden="1"/>
    <col min="15105" max="15105" width="13.42578125" hidden="1"/>
    <col min="15106" max="15106" width="16.85546875" hidden="1"/>
    <col min="15107" max="15107" width="9.7109375" hidden="1"/>
    <col min="15108" max="15108" width="9.85546875" hidden="1"/>
    <col min="15109" max="15109" width="7.7109375" hidden="1"/>
    <col min="15110" max="15110" width="12.85546875" hidden="1"/>
    <col min="15111" max="15111" width="13.85546875" hidden="1"/>
    <col min="15112" max="15112" width="9.85546875" hidden="1"/>
    <col min="15113" max="15113" width="14.7109375" hidden="1"/>
    <col min="15114" max="15114" width="16.42578125" hidden="1"/>
    <col min="15115" max="15117" width="13.85546875" hidden="1"/>
    <col min="15118" max="15118" width="12.85546875" hidden="1"/>
    <col min="15119" max="15119" width="14.140625" hidden="1"/>
    <col min="15120" max="15120" width="12.28515625" hidden="1"/>
    <col min="15121" max="15122" width="14.42578125" hidden="1"/>
    <col min="15123" max="15123" width="12.85546875" hidden="1"/>
    <col min="15124" max="15124" width="12.28515625" hidden="1"/>
    <col min="15125" max="15125" width="16.7109375" hidden="1"/>
    <col min="15353" max="15353" width="1.85546875" hidden="1"/>
    <col min="15354" max="15354" width="8" hidden="1"/>
    <col min="15355" max="15355" width="9.5703125" hidden="1"/>
    <col min="15356" max="15357" width="8" hidden="1"/>
    <col min="15358" max="15360" width="1.85546875" hidden="1"/>
    <col min="15361" max="15361" width="13.42578125" hidden="1"/>
    <col min="15362" max="15362" width="16.85546875" hidden="1"/>
    <col min="15363" max="15363" width="9.7109375" hidden="1"/>
    <col min="15364" max="15364" width="9.85546875" hidden="1"/>
    <col min="15365" max="15365" width="7.7109375" hidden="1"/>
    <col min="15366" max="15366" width="12.85546875" hidden="1"/>
    <col min="15367" max="15367" width="13.85546875" hidden="1"/>
    <col min="15368" max="15368" width="9.85546875" hidden="1"/>
    <col min="15369" max="15369" width="14.7109375" hidden="1"/>
    <col min="15370" max="15370" width="16.42578125" hidden="1"/>
    <col min="15371" max="15373" width="13.85546875" hidden="1"/>
    <col min="15374" max="15374" width="12.85546875" hidden="1"/>
    <col min="15375" max="15375" width="14.140625" hidden="1"/>
    <col min="15376" max="15376" width="12.28515625" hidden="1"/>
    <col min="15377" max="15378" width="14.42578125" hidden="1"/>
    <col min="15379" max="15379" width="12.85546875" hidden="1"/>
    <col min="15380" max="15380" width="12.28515625" hidden="1"/>
    <col min="15381" max="15381" width="16.7109375" hidden="1"/>
    <col min="15609" max="15609" width="1.85546875" hidden="1"/>
    <col min="15610" max="15610" width="8" hidden="1"/>
    <col min="15611" max="15611" width="9.5703125" hidden="1"/>
    <col min="15612" max="15613" width="8" hidden="1"/>
    <col min="15614" max="15616" width="1.85546875" hidden="1"/>
    <col min="15617" max="15617" width="13.42578125" hidden="1"/>
    <col min="15618" max="15618" width="16.85546875" hidden="1"/>
    <col min="15619" max="15619" width="9.7109375" hidden="1"/>
    <col min="15620" max="15620" width="9.85546875" hidden="1"/>
    <col min="15621" max="15621" width="7.7109375" hidden="1"/>
    <col min="15622" max="15622" width="12.85546875" hidden="1"/>
    <col min="15623" max="15623" width="13.85546875" hidden="1"/>
    <col min="15624" max="15624" width="9.85546875" hidden="1"/>
    <col min="15625" max="15625" width="14.7109375" hidden="1"/>
    <col min="15626" max="15626" width="16.42578125" hidden="1"/>
    <col min="15627" max="15629" width="13.85546875" hidden="1"/>
    <col min="15630" max="15630" width="12.85546875" hidden="1"/>
    <col min="15631" max="15631" width="14.140625" hidden="1"/>
    <col min="15632" max="15632" width="12.28515625" hidden="1"/>
    <col min="15633" max="15634" width="14.42578125" hidden="1"/>
    <col min="15635" max="15635" width="12.85546875" hidden="1"/>
    <col min="15636" max="15636" width="12.28515625" hidden="1"/>
    <col min="15637" max="15637" width="16.7109375" hidden="1"/>
    <col min="15865" max="15865" width="1.85546875" hidden="1"/>
    <col min="15866" max="15866" width="8" hidden="1"/>
    <col min="15867" max="15867" width="9.5703125" hidden="1"/>
    <col min="15868" max="15869" width="8" hidden="1"/>
    <col min="15870" max="15872" width="1.85546875" hidden="1"/>
    <col min="15873" max="15873" width="13.42578125" hidden="1"/>
    <col min="15874" max="15874" width="16.85546875" hidden="1"/>
    <col min="15875" max="15875" width="9.7109375" hidden="1"/>
    <col min="15876" max="15876" width="9.85546875" hidden="1"/>
    <col min="15877" max="15877" width="7.7109375" hidden="1"/>
    <col min="15878" max="15878" width="12.85546875" hidden="1"/>
    <col min="15879" max="15879" width="13.85546875" hidden="1"/>
    <col min="15880" max="15880" width="9.85546875" hidden="1"/>
    <col min="15881" max="15881" width="14.7109375" hidden="1"/>
    <col min="15882" max="15882" width="16.42578125" hidden="1"/>
    <col min="15883" max="15885" width="13.85546875" hidden="1"/>
    <col min="15886" max="15886" width="12.85546875" hidden="1"/>
    <col min="15887" max="15887" width="14.140625" hidden="1"/>
    <col min="15888" max="15888" width="12.28515625" hidden="1"/>
    <col min="15889" max="15890" width="14.42578125" hidden="1"/>
    <col min="15891" max="15891" width="12.85546875" hidden="1"/>
    <col min="15892" max="15892" width="12.28515625" hidden="1"/>
    <col min="15893" max="15893" width="16.7109375" hidden="1"/>
    <col min="16121" max="16121" width="1.85546875" hidden="1"/>
    <col min="16122" max="16122" width="8" hidden="1"/>
    <col min="16123" max="16123" width="9.5703125" hidden="1"/>
    <col min="16124" max="16125" width="8" hidden="1"/>
    <col min="16126" max="16128" width="1.85546875" hidden="1"/>
    <col min="16129" max="16129" width="13.42578125" hidden="1"/>
    <col min="16130" max="16130" width="16.85546875" hidden="1"/>
    <col min="16131" max="16131" width="9.7109375" hidden="1"/>
    <col min="16132" max="16132" width="9.85546875" hidden="1"/>
    <col min="16133" max="16133" width="7.7109375" hidden="1"/>
    <col min="16134" max="16134" width="12.85546875" hidden="1"/>
    <col min="16135" max="16135" width="13.85546875" hidden="1"/>
    <col min="16136" max="16136" width="9.85546875" hidden="1"/>
    <col min="16137" max="16137" width="14.7109375" hidden="1"/>
    <col min="16138" max="16138" width="16.42578125" hidden="1"/>
    <col min="16139" max="16141" width="13.85546875" hidden="1"/>
    <col min="16142" max="16142" width="12.85546875" hidden="1"/>
    <col min="16143" max="16143" width="14.140625" hidden="1"/>
    <col min="16144" max="16144" width="12.28515625" hidden="1"/>
    <col min="16145" max="16146" width="14.42578125" hidden="1"/>
    <col min="16147" max="16147" width="12.85546875" hidden="1"/>
    <col min="16148" max="16148" width="12.28515625" hidden="1"/>
    <col min="16149" max="16149" width="16.7109375" hidden="1"/>
  </cols>
  <sheetData>
    <row r="1" spans="1:23">
      <c r="A1" s="1"/>
      <c r="B1" s="1"/>
      <c r="C1" s="122" t="s">
        <v>0</v>
      </c>
      <c r="D1" s="123"/>
      <c r="E1" s="123"/>
      <c r="F1" s="124" t="s">
        <v>1</v>
      </c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 t="s">
        <v>2</v>
      </c>
      <c r="V1" s="126"/>
      <c r="W1" s="126"/>
    </row>
    <row r="2" spans="1:23">
      <c r="A2" s="1"/>
      <c r="B2" s="1"/>
      <c r="C2" s="123"/>
      <c r="D2" s="123"/>
      <c r="E2" s="123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6" t="s">
        <v>3</v>
      </c>
      <c r="V2" s="126"/>
      <c r="W2" s="2" t="s">
        <v>4</v>
      </c>
    </row>
    <row r="3" spans="1:23">
      <c r="A3" s="1"/>
      <c r="B3" s="1"/>
      <c r="C3" s="123"/>
      <c r="D3" s="123"/>
      <c r="E3" s="123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6" t="s">
        <v>5</v>
      </c>
      <c r="V3" s="126"/>
      <c r="W3" s="126"/>
    </row>
    <row r="4" spans="1:23">
      <c r="A4" s="1"/>
      <c r="B4" s="1"/>
      <c r="C4" s="123"/>
      <c r="D4" s="123"/>
      <c r="E4" s="123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6"/>
      <c r="V4" s="126"/>
      <c r="W4" s="126"/>
    </row>
    <row r="5" spans="1:23" ht="23.25">
      <c r="A5" s="1"/>
      <c r="B5" s="1"/>
      <c r="C5" s="132" t="s">
        <v>6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</row>
    <row r="6" spans="1:23">
      <c r="A6" s="1"/>
      <c r="B6" s="1"/>
      <c r="C6" s="116" t="s">
        <v>7</v>
      </c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 spans="1:23" ht="24">
      <c r="A7" s="1"/>
      <c r="B7" s="1"/>
      <c r="C7" s="3" t="s">
        <v>8</v>
      </c>
      <c r="D7" s="3" t="s">
        <v>9</v>
      </c>
      <c r="E7" s="4" t="s">
        <v>10</v>
      </c>
      <c r="F7" s="127" t="s">
        <v>11</v>
      </c>
      <c r="G7" s="127"/>
      <c r="H7" s="127" t="s">
        <v>12</v>
      </c>
      <c r="I7" s="127"/>
      <c r="J7" s="127" t="s">
        <v>13</v>
      </c>
      <c r="K7" s="127"/>
      <c r="L7" s="127" t="s">
        <v>14</v>
      </c>
      <c r="M7" s="127"/>
      <c r="N7" s="3" t="s">
        <v>15</v>
      </c>
      <c r="O7" s="127" t="s">
        <v>16</v>
      </c>
      <c r="P7" s="127"/>
      <c r="Q7" s="127" t="s">
        <v>17</v>
      </c>
      <c r="R7" s="127"/>
      <c r="S7" s="127" t="s">
        <v>18</v>
      </c>
      <c r="T7" s="127"/>
      <c r="U7" s="3" t="s">
        <v>19</v>
      </c>
      <c r="V7" s="127" t="s">
        <v>20</v>
      </c>
      <c r="W7" s="127"/>
    </row>
    <row r="8" spans="1:23">
      <c r="A8" s="1"/>
      <c r="B8" s="1"/>
      <c r="C8" s="24" t="s">
        <v>21</v>
      </c>
      <c r="D8" s="5" t="s">
        <v>22</v>
      </c>
      <c r="E8" s="19" t="s">
        <v>23</v>
      </c>
      <c r="F8" s="130" t="s">
        <v>24</v>
      </c>
      <c r="G8" s="130"/>
      <c r="H8" s="130" t="s">
        <v>25</v>
      </c>
      <c r="I8" s="130"/>
      <c r="J8" s="131"/>
      <c r="K8" s="131"/>
      <c r="L8" s="130"/>
      <c r="M8" s="130"/>
      <c r="N8" s="23">
        <v>1328</v>
      </c>
      <c r="O8" s="130"/>
      <c r="P8" s="130"/>
      <c r="Q8" s="128" t="s">
        <v>26</v>
      </c>
      <c r="R8" s="128"/>
      <c r="S8" s="114"/>
      <c r="T8" s="114"/>
      <c r="U8" s="17">
        <v>3</v>
      </c>
      <c r="V8" s="129"/>
      <c r="W8" s="129"/>
    </row>
    <row r="9" spans="1:23" ht="18">
      <c r="A9" s="6"/>
      <c r="B9" s="6"/>
      <c r="C9" s="116" t="s">
        <v>27</v>
      </c>
      <c r="D9" s="116"/>
      <c r="E9" s="116"/>
      <c r="F9" s="116"/>
      <c r="G9" s="116"/>
      <c r="H9" s="116"/>
      <c r="I9" s="116" t="s">
        <v>28</v>
      </c>
      <c r="J9" s="116"/>
      <c r="K9" s="116"/>
      <c r="L9" s="116"/>
      <c r="M9" s="116"/>
      <c r="N9" s="116"/>
      <c r="O9" s="116"/>
      <c r="P9" s="116"/>
      <c r="Q9" s="116" t="s">
        <v>29</v>
      </c>
      <c r="R9" s="116"/>
      <c r="S9" s="116"/>
      <c r="T9" s="116"/>
      <c r="U9" s="116"/>
      <c r="V9" s="116"/>
      <c r="W9" s="116"/>
    </row>
    <row r="10" spans="1:23" ht="30" customHeight="1">
      <c r="A10" s="10"/>
      <c r="B10" s="10"/>
      <c r="C10" s="7" t="s">
        <v>30</v>
      </c>
      <c r="D10" s="8" t="s">
        <v>31</v>
      </c>
      <c r="E10" s="8" t="s">
        <v>32</v>
      </c>
      <c r="F10" s="7" t="s">
        <v>30</v>
      </c>
      <c r="G10" s="8" t="s">
        <v>31</v>
      </c>
      <c r="H10" s="8" t="s">
        <v>32</v>
      </c>
      <c r="I10" s="120" t="s">
        <v>33</v>
      </c>
      <c r="J10" s="120"/>
      <c r="K10" s="8" t="s">
        <v>31</v>
      </c>
      <c r="L10" s="8" t="s">
        <v>32</v>
      </c>
      <c r="M10" s="120" t="s">
        <v>33</v>
      </c>
      <c r="N10" s="120"/>
      <c r="O10" s="8" t="s">
        <v>31</v>
      </c>
      <c r="P10" s="8" t="s">
        <v>32</v>
      </c>
      <c r="Q10" s="9" t="s">
        <v>34</v>
      </c>
      <c r="R10" s="120" t="s">
        <v>35</v>
      </c>
      <c r="S10" s="120"/>
      <c r="T10" s="120"/>
      <c r="U10" s="121" t="s">
        <v>36</v>
      </c>
      <c r="V10" s="121"/>
      <c r="W10" s="121"/>
    </row>
    <row r="11" spans="1:23">
      <c r="A11" s="11"/>
      <c r="B11" s="11"/>
      <c r="C11" s="20" t="s">
        <v>37</v>
      </c>
      <c r="D11" s="18"/>
      <c r="E11" s="18"/>
      <c r="F11" s="20"/>
      <c r="G11" s="18"/>
      <c r="H11" s="29"/>
      <c r="I11" s="117"/>
      <c r="J11" s="118"/>
      <c r="K11" s="21"/>
      <c r="L11" s="31"/>
      <c r="M11" s="119"/>
      <c r="N11" s="119"/>
      <c r="O11" s="21"/>
      <c r="P11" s="21"/>
      <c r="Q11" s="21"/>
      <c r="R11" s="114"/>
      <c r="S11" s="114"/>
      <c r="T11" s="114"/>
      <c r="U11" s="115"/>
      <c r="V11" s="115"/>
      <c r="W11" s="115"/>
    </row>
    <row r="12" spans="1:23">
      <c r="A12" s="12"/>
      <c r="B12" s="12"/>
      <c r="C12" s="20"/>
      <c r="D12" s="18"/>
      <c r="E12" s="18"/>
      <c r="F12" s="20"/>
      <c r="G12" s="18"/>
      <c r="H12" s="29"/>
      <c r="I12" s="134"/>
      <c r="J12" s="134"/>
      <c r="K12" s="21"/>
      <c r="L12" s="31"/>
      <c r="M12" s="134"/>
      <c r="N12" s="115"/>
      <c r="O12" s="21"/>
      <c r="P12" s="21"/>
      <c r="Q12" s="21"/>
      <c r="R12" s="114"/>
      <c r="S12" s="114"/>
      <c r="T12" s="114"/>
      <c r="U12" s="115"/>
      <c r="V12" s="115"/>
      <c r="W12" s="115"/>
    </row>
    <row r="13" spans="1:23">
      <c r="A13" s="13"/>
      <c r="B13" s="13"/>
      <c r="C13" s="20"/>
      <c r="D13" s="18"/>
      <c r="E13" s="18"/>
      <c r="F13" s="20"/>
      <c r="G13" s="18"/>
      <c r="H13" s="29"/>
      <c r="I13" s="134"/>
      <c r="J13" s="115"/>
      <c r="K13" s="21"/>
      <c r="L13" s="31"/>
      <c r="M13" s="134"/>
      <c r="N13" s="115"/>
      <c r="O13" s="21"/>
      <c r="P13" s="21"/>
      <c r="Q13" s="21"/>
      <c r="R13" s="114"/>
      <c r="S13" s="114"/>
      <c r="T13" s="114"/>
      <c r="U13" s="115"/>
      <c r="V13" s="115"/>
      <c r="W13" s="115"/>
    </row>
    <row r="14" spans="1:23">
      <c r="A14" s="13"/>
      <c r="B14" s="13"/>
      <c r="C14" s="20"/>
      <c r="D14" s="18"/>
      <c r="E14" s="18"/>
      <c r="F14" s="20"/>
      <c r="G14" s="18"/>
      <c r="H14" s="29"/>
      <c r="I14" s="134"/>
      <c r="J14" s="115"/>
      <c r="K14" s="21"/>
      <c r="L14" s="31"/>
      <c r="M14" s="135"/>
      <c r="N14" s="134"/>
      <c r="O14" s="21"/>
      <c r="P14" s="21"/>
      <c r="Q14" s="21"/>
      <c r="R14" s="114"/>
      <c r="S14" s="114"/>
      <c r="T14" s="114"/>
      <c r="U14" s="115"/>
      <c r="V14" s="115"/>
      <c r="W14" s="115"/>
    </row>
    <row r="15" spans="1:23">
      <c r="A15" s="13"/>
      <c r="B15" s="13"/>
      <c r="C15" s="22"/>
      <c r="D15" s="18"/>
      <c r="E15" s="18"/>
      <c r="F15" s="20"/>
      <c r="G15" s="18"/>
      <c r="H15" s="29"/>
      <c r="I15" s="134"/>
      <c r="J15" s="115"/>
      <c r="K15" s="21"/>
      <c r="L15" s="31"/>
      <c r="M15" s="135"/>
      <c r="N15" s="134"/>
      <c r="O15" s="21"/>
      <c r="P15" s="21"/>
      <c r="Q15" s="21"/>
      <c r="R15" s="114"/>
      <c r="S15" s="114"/>
      <c r="T15" s="114"/>
      <c r="U15" s="115"/>
      <c r="V15" s="115"/>
      <c r="W15" s="115"/>
    </row>
    <row r="16" spans="1:23">
      <c r="A16" s="13"/>
      <c r="B16" s="13"/>
      <c r="C16" s="20"/>
      <c r="D16" s="18"/>
      <c r="E16" s="18"/>
      <c r="F16" s="20"/>
      <c r="G16" s="18"/>
      <c r="H16" s="29"/>
      <c r="I16" s="136"/>
      <c r="J16" s="136"/>
      <c r="K16" s="21"/>
      <c r="L16" s="31"/>
      <c r="M16" s="115"/>
      <c r="N16" s="115"/>
      <c r="O16" s="21"/>
      <c r="P16" s="21"/>
      <c r="Q16" s="21"/>
      <c r="R16" s="114"/>
      <c r="S16" s="114"/>
      <c r="T16" s="114"/>
      <c r="U16" s="115"/>
      <c r="V16" s="115"/>
      <c r="W16" s="115"/>
    </row>
    <row r="17" spans="1:25" ht="18">
      <c r="A17" s="13"/>
      <c r="B17" s="13"/>
      <c r="C17" s="116" t="s">
        <v>38</v>
      </c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5" ht="55.5">
      <c r="A18" s="13"/>
      <c r="B18" s="13"/>
      <c r="C18" s="39" t="s">
        <v>39</v>
      </c>
      <c r="D18" s="39" t="s">
        <v>40</v>
      </c>
      <c r="E18" s="39" t="s">
        <v>41</v>
      </c>
      <c r="F18" s="39" t="s">
        <v>42</v>
      </c>
      <c r="G18" s="39" t="s">
        <v>43</v>
      </c>
      <c r="H18" s="39" t="s">
        <v>44</v>
      </c>
      <c r="I18" s="40" t="s">
        <v>45</v>
      </c>
      <c r="J18" s="39" t="s">
        <v>46</v>
      </c>
      <c r="K18" s="39" t="s">
        <v>47</v>
      </c>
      <c r="L18" s="39" t="s">
        <v>48</v>
      </c>
      <c r="M18" s="39"/>
      <c r="N18" s="39" t="s">
        <v>49</v>
      </c>
      <c r="O18" s="39" t="s">
        <v>50</v>
      </c>
      <c r="P18" s="39" t="s">
        <v>51</v>
      </c>
      <c r="Q18" s="39" t="s">
        <v>52</v>
      </c>
      <c r="R18" s="39" t="s">
        <v>53</v>
      </c>
      <c r="S18" s="39" t="s">
        <v>54</v>
      </c>
      <c r="T18" s="39" t="s">
        <v>55</v>
      </c>
      <c r="U18" s="39" t="s">
        <v>56</v>
      </c>
      <c r="V18" s="39" t="s">
        <v>57</v>
      </c>
      <c r="W18" s="41" t="s">
        <v>58</v>
      </c>
      <c r="X18" s="37" t="s">
        <v>59</v>
      </c>
      <c r="Y18" s="38" t="s">
        <v>60</v>
      </c>
    </row>
    <row r="19" spans="1:25" ht="36" customHeight="1">
      <c r="A19" s="13"/>
      <c r="B19" s="13"/>
      <c r="C19" s="80"/>
      <c r="D19" s="80"/>
      <c r="E19" s="80"/>
      <c r="F19" s="90"/>
      <c r="G19" s="81" t="s">
        <v>61</v>
      </c>
      <c r="H19" s="85">
        <v>202603</v>
      </c>
      <c r="I19" s="85" t="s">
        <v>62</v>
      </c>
      <c r="J19" s="85" t="s">
        <v>63</v>
      </c>
      <c r="K19" s="91" t="s">
        <v>64</v>
      </c>
      <c r="L19" s="85" t="s">
        <v>65</v>
      </c>
      <c r="M19" s="86"/>
      <c r="N19" s="87">
        <v>1</v>
      </c>
      <c r="O19" s="88">
        <v>0</v>
      </c>
      <c r="P19" s="89">
        <v>0</v>
      </c>
      <c r="Q19" s="89">
        <v>0</v>
      </c>
      <c r="R19" s="89">
        <v>0</v>
      </c>
      <c r="S19" s="83">
        <v>450000</v>
      </c>
      <c r="T19" s="82">
        <v>450000</v>
      </c>
      <c r="U19" s="82">
        <f>T19*0.19</f>
        <v>85500</v>
      </c>
      <c r="V19" s="82">
        <f>T19+U19</f>
        <v>535500</v>
      </c>
      <c r="W19" s="84">
        <f>R19+V19</f>
        <v>535500</v>
      </c>
      <c r="X19" s="93">
        <f>W19</f>
        <v>535500</v>
      </c>
      <c r="Y19" s="92" t="s">
        <v>66</v>
      </c>
    </row>
    <row r="20" spans="1:25" ht="25.5" customHeight="1">
      <c r="A20" s="1"/>
      <c r="B20" s="1"/>
      <c r="C20" s="140">
        <v>45363</v>
      </c>
      <c r="D20" s="138"/>
      <c r="E20" s="137" t="s">
        <v>67</v>
      </c>
      <c r="F20" s="110"/>
      <c r="G20" s="107" t="s">
        <v>61</v>
      </c>
      <c r="H20" s="104">
        <v>210148</v>
      </c>
      <c r="I20" s="101">
        <v>45374</v>
      </c>
      <c r="J20" s="98" t="s">
        <v>68</v>
      </c>
      <c r="K20" s="74" t="s">
        <v>64</v>
      </c>
      <c r="L20" s="73" t="s">
        <v>69</v>
      </c>
      <c r="M20" s="137">
        <v>1</v>
      </c>
      <c r="N20" s="137"/>
      <c r="O20" s="75">
        <v>27615.38</v>
      </c>
      <c r="P20" s="76">
        <f>O20*M20</f>
        <v>27615.38</v>
      </c>
      <c r="Q20" s="76">
        <f t="shared" ref="Q20:Q51" si="0">P20*0.19</f>
        <v>5246.9222</v>
      </c>
      <c r="R20" s="76">
        <f>P20+Q20</f>
        <v>32862.302199999998</v>
      </c>
      <c r="S20" s="77">
        <v>13208</v>
      </c>
      <c r="T20" s="78">
        <f>+S20*M20</f>
        <v>13208</v>
      </c>
      <c r="U20" s="78">
        <f t="shared" ref="U20:U51" si="1">T20*0.19</f>
        <v>2509.52</v>
      </c>
      <c r="V20" s="78">
        <f>T20+U20</f>
        <v>15717.52</v>
      </c>
      <c r="W20" s="79">
        <f>R20+V20</f>
        <v>48579.822199999995</v>
      </c>
      <c r="X20" s="112">
        <f>SUM(W20:W38)</f>
        <v>4327661.009300001</v>
      </c>
      <c r="Y20" s="96" t="s">
        <v>66</v>
      </c>
    </row>
    <row r="21" spans="1:25" ht="25.5" customHeight="1">
      <c r="A21" s="1"/>
      <c r="B21" s="1"/>
      <c r="C21" s="141"/>
      <c r="D21" s="139"/>
      <c r="E21" s="113"/>
      <c r="F21" s="111"/>
      <c r="G21" s="108"/>
      <c r="H21" s="105"/>
      <c r="I21" s="102"/>
      <c r="J21" s="99"/>
      <c r="K21" s="67" t="s">
        <v>64</v>
      </c>
      <c r="L21" s="56" t="s">
        <v>70</v>
      </c>
      <c r="M21" s="113">
        <v>1</v>
      </c>
      <c r="N21" s="113"/>
      <c r="O21" s="42">
        <v>77323.08</v>
      </c>
      <c r="P21" s="43">
        <f t="shared" ref="P21:P51" si="2">O21*M21</f>
        <v>77323.08</v>
      </c>
      <c r="Q21" s="43">
        <f t="shared" si="0"/>
        <v>14691.385200000001</v>
      </c>
      <c r="R21" s="43">
        <f>P21+Q21</f>
        <v>92014.465200000006</v>
      </c>
      <c r="S21" s="44">
        <v>13208</v>
      </c>
      <c r="T21" s="45">
        <f t="shared" ref="T21:T51" si="3">+S21*M21</f>
        <v>13208</v>
      </c>
      <c r="U21" s="45">
        <f t="shared" si="1"/>
        <v>2509.52</v>
      </c>
      <c r="V21" s="45">
        <f>T21+U21</f>
        <v>15717.52</v>
      </c>
      <c r="W21" s="57">
        <f>R21+V21</f>
        <v>107731.98520000001</v>
      </c>
      <c r="X21" s="112"/>
      <c r="Y21" s="96"/>
    </row>
    <row r="22" spans="1:25" ht="25.5" customHeight="1">
      <c r="A22" s="1"/>
      <c r="B22" s="1"/>
      <c r="C22" s="141"/>
      <c r="D22" s="139"/>
      <c r="E22" s="113"/>
      <c r="F22" s="111"/>
      <c r="G22" s="108"/>
      <c r="H22" s="105"/>
      <c r="I22" s="102"/>
      <c r="J22" s="99"/>
      <c r="K22" s="67" t="s">
        <v>64</v>
      </c>
      <c r="L22" s="56" t="s">
        <v>71</v>
      </c>
      <c r="M22" s="113">
        <v>1</v>
      </c>
      <c r="N22" s="113"/>
      <c r="O22" s="42">
        <v>96101.54</v>
      </c>
      <c r="P22" s="43">
        <f t="shared" si="2"/>
        <v>96101.54</v>
      </c>
      <c r="Q22" s="43">
        <f t="shared" si="0"/>
        <v>18259.292600000001</v>
      </c>
      <c r="R22" s="43">
        <f>P22+Q22</f>
        <v>114360.83259999999</v>
      </c>
      <c r="S22" s="44">
        <v>13208</v>
      </c>
      <c r="T22" s="45">
        <f t="shared" si="3"/>
        <v>13208</v>
      </c>
      <c r="U22" s="45">
        <f t="shared" si="1"/>
        <v>2509.52</v>
      </c>
      <c r="V22" s="45">
        <f>T22+U22</f>
        <v>15717.52</v>
      </c>
      <c r="W22" s="57">
        <f>R22+V22</f>
        <v>130078.3526</v>
      </c>
      <c r="X22" s="112"/>
      <c r="Y22" s="96"/>
    </row>
    <row r="23" spans="1:25" ht="25.5" customHeight="1">
      <c r="A23" s="1"/>
      <c r="B23" s="1"/>
      <c r="C23" s="141"/>
      <c r="D23" s="139"/>
      <c r="E23" s="113"/>
      <c r="F23" s="111"/>
      <c r="G23" s="108"/>
      <c r="H23" s="105"/>
      <c r="I23" s="102"/>
      <c r="J23" s="99"/>
      <c r="K23" s="67" t="s">
        <v>72</v>
      </c>
      <c r="L23" s="56" t="s">
        <v>73</v>
      </c>
      <c r="M23" s="113">
        <v>1</v>
      </c>
      <c r="N23" s="113"/>
      <c r="O23" s="42">
        <v>450793.54</v>
      </c>
      <c r="P23" s="43">
        <f t="shared" si="2"/>
        <v>450793.54</v>
      </c>
      <c r="Q23" s="43">
        <f t="shared" si="0"/>
        <v>85650.772599999997</v>
      </c>
      <c r="R23" s="43">
        <f>P23+Q23</f>
        <v>536444.31259999995</v>
      </c>
      <c r="S23" s="44">
        <v>0</v>
      </c>
      <c r="T23" s="45">
        <f t="shared" si="3"/>
        <v>0</v>
      </c>
      <c r="U23" s="45">
        <f t="shared" si="1"/>
        <v>0</v>
      </c>
      <c r="V23" s="45">
        <f t="shared" ref="V20:V51" si="4">T23+U23</f>
        <v>0</v>
      </c>
      <c r="W23" s="57">
        <f>R23+V23</f>
        <v>536444.31259999995</v>
      </c>
      <c r="X23" s="112"/>
      <c r="Y23" s="96"/>
    </row>
    <row r="24" spans="1:25" ht="25.5" customHeight="1">
      <c r="A24" s="1"/>
      <c r="B24" s="1"/>
      <c r="C24" s="141"/>
      <c r="D24" s="139"/>
      <c r="E24" s="113"/>
      <c r="F24" s="111"/>
      <c r="G24" s="108"/>
      <c r="H24" s="105"/>
      <c r="I24" s="102"/>
      <c r="J24" s="99"/>
      <c r="K24" s="67" t="s">
        <v>72</v>
      </c>
      <c r="L24" s="56" t="s">
        <v>74</v>
      </c>
      <c r="M24" s="113">
        <v>1</v>
      </c>
      <c r="N24" s="113"/>
      <c r="O24" s="42">
        <v>450793.54</v>
      </c>
      <c r="P24" s="43">
        <f t="shared" si="2"/>
        <v>450793.54</v>
      </c>
      <c r="Q24" s="43">
        <f t="shared" si="0"/>
        <v>85650.772599999997</v>
      </c>
      <c r="R24" s="43">
        <f>P24+Q24</f>
        <v>536444.31259999995</v>
      </c>
      <c r="S24" s="44">
        <v>0</v>
      </c>
      <c r="T24" s="45">
        <f t="shared" si="3"/>
        <v>0</v>
      </c>
      <c r="U24" s="45">
        <f t="shared" si="1"/>
        <v>0</v>
      </c>
      <c r="V24" s="45">
        <f t="shared" si="4"/>
        <v>0</v>
      </c>
      <c r="W24" s="57">
        <f>R24+V24</f>
        <v>536444.31259999995</v>
      </c>
      <c r="X24" s="112"/>
      <c r="Y24" s="96"/>
    </row>
    <row r="25" spans="1:25" ht="25.5" customHeight="1">
      <c r="A25" s="1"/>
      <c r="B25" s="1"/>
      <c r="C25" s="141"/>
      <c r="D25" s="139"/>
      <c r="E25" s="113"/>
      <c r="F25" s="111"/>
      <c r="G25" s="108"/>
      <c r="H25" s="105"/>
      <c r="I25" s="102"/>
      <c r="J25" s="99"/>
      <c r="K25" s="67" t="s">
        <v>72</v>
      </c>
      <c r="L25" s="56" t="s">
        <v>75</v>
      </c>
      <c r="M25" s="113">
        <v>2</v>
      </c>
      <c r="N25" s="113"/>
      <c r="O25" s="42">
        <v>27615.38</v>
      </c>
      <c r="P25" s="43">
        <f t="shared" si="2"/>
        <v>55230.76</v>
      </c>
      <c r="Q25" s="43">
        <f t="shared" si="0"/>
        <v>10493.8444</v>
      </c>
      <c r="R25" s="43">
        <f>P25+Q25</f>
        <v>65724.604399999997</v>
      </c>
      <c r="S25" s="44">
        <v>0</v>
      </c>
      <c r="T25" s="45">
        <f t="shared" si="3"/>
        <v>0</v>
      </c>
      <c r="U25" s="45">
        <f t="shared" si="1"/>
        <v>0</v>
      </c>
      <c r="V25" s="45">
        <f t="shared" si="4"/>
        <v>0</v>
      </c>
      <c r="W25" s="57">
        <f>R25+V25</f>
        <v>65724.604399999997</v>
      </c>
      <c r="X25" s="112"/>
      <c r="Y25" s="96"/>
    </row>
    <row r="26" spans="1:25" ht="25.5" customHeight="1">
      <c r="A26" s="1"/>
      <c r="B26" s="1"/>
      <c r="C26" s="141"/>
      <c r="D26" s="139"/>
      <c r="E26" s="113"/>
      <c r="F26" s="111"/>
      <c r="G26" s="108"/>
      <c r="H26" s="105"/>
      <c r="I26" s="102"/>
      <c r="J26" s="99"/>
      <c r="K26" s="67" t="s">
        <v>72</v>
      </c>
      <c r="L26" s="56" t="s">
        <v>76</v>
      </c>
      <c r="M26" s="113">
        <v>1</v>
      </c>
      <c r="N26" s="113"/>
      <c r="O26" s="42">
        <v>424172.31</v>
      </c>
      <c r="P26" s="43">
        <f t="shared" si="2"/>
        <v>424172.31</v>
      </c>
      <c r="Q26" s="43">
        <f t="shared" si="0"/>
        <v>80592.738899999997</v>
      </c>
      <c r="R26" s="43">
        <f>P26+Q26</f>
        <v>504765.04889999999</v>
      </c>
      <c r="S26" s="44">
        <v>19813</v>
      </c>
      <c r="T26" s="45">
        <f t="shared" si="3"/>
        <v>19813</v>
      </c>
      <c r="U26" s="45">
        <f t="shared" si="1"/>
        <v>3764.4700000000003</v>
      </c>
      <c r="V26" s="45">
        <f>T26+U26</f>
        <v>23577.47</v>
      </c>
      <c r="W26" s="57">
        <f>R26+V26</f>
        <v>528342.51890000002</v>
      </c>
      <c r="X26" s="112"/>
      <c r="Y26" s="96"/>
    </row>
    <row r="27" spans="1:25" ht="25.5" customHeight="1">
      <c r="A27" s="1"/>
      <c r="B27" s="1"/>
      <c r="C27" s="141"/>
      <c r="D27" s="139"/>
      <c r="E27" s="113"/>
      <c r="F27" s="111"/>
      <c r="G27" s="108"/>
      <c r="H27" s="105"/>
      <c r="I27" s="102"/>
      <c r="J27" s="99"/>
      <c r="K27" s="67" t="s">
        <v>72</v>
      </c>
      <c r="L27" s="56" t="s">
        <v>77</v>
      </c>
      <c r="M27" s="113">
        <v>1</v>
      </c>
      <c r="N27" s="113"/>
      <c r="O27" s="42">
        <v>474542.77</v>
      </c>
      <c r="P27" s="43">
        <f t="shared" si="2"/>
        <v>474542.77</v>
      </c>
      <c r="Q27" s="43">
        <f>P27*0.19</f>
        <v>90163.126300000004</v>
      </c>
      <c r="R27" s="43">
        <f>P27+Q27</f>
        <v>564705.89630000002</v>
      </c>
      <c r="S27" s="44">
        <v>0</v>
      </c>
      <c r="T27" s="45">
        <f t="shared" si="3"/>
        <v>0</v>
      </c>
      <c r="U27" s="45">
        <f t="shared" si="1"/>
        <v>0</v>
      </c>
      <c r="V27" s="45">
        <f t="shared" si="4"/>
        <v>0</v>
      </c>
      <c r="W27" s="57">
        <f>R27+V27</f>
        <v>564705.89630000002</v>
      </c>
      <c r="X27" s="112"/>
      <c r="Y27" s="96"/>
    </row>
    <row r="28" spans="1:25" ht="25.5" customHeight="1">
      <c r="A28" s="1"/>
      <c r="B28" s="1"/>
      <c r="C28" s="141"/>
      <c r="D28" s="139"/>
      <c r="E28" s="113"/>
      <c r="F28" s="111"/>
      <c r="G28" s="108"/>
      <c r="H28" s="105"/>
      <c r="I28" s="102"/>
      <c r="J28" s="99"/>
      <c r="K28" s="67" t="s">
        <v>72</v>
      </c>
      <c r="L28" s="56" t="s">
        <v>78</v>
      </c>
      <c r="M28" s="113">
        <v>3</v>
      </c>
      <c r="N28" s="113"/>
      <c r="O28" s="42">
        <v>27615.38</v>
      </c>
      <c r="P28" s="43">
        <f t="shared" si="2"/>
        <v>82846.14</v>
      </c>
      <c r="Q28" s="43">
        <v>0</v>
      </c>
      <c r="R28" s="43">
        <f>P28+Q28</f>
        <v>82846.14</v>
      </c>
      <c r="S28" s="44">
        <v>0</v>
      </c>
      <c r="T28" s="45">
        <f t="shared" si="3"/>
        <v>0</v>
      </c>
      <c r="U28" s="45">
        <f t="shared" si="1"/>
        <v>0</v>
      </c>
      <c r="V28" s="45">
        <f t="shared" si="4"/>
        <v>0</v>
      </c>
      <c r="W28" s="57">
        <f>R28+V28</f>
        <v>82846.14</v>
      </c>
      <c r="X28" s="112"/>
      <c r="Y28" s="96"/>
    </row>
    <row r="29" spans="1:25" ht="25.5" customHeight="1">
      <c r="A29" s="1"/>
      <c r="B29" s="1"/>
      <c r="C29" s="141"/>
      <c r="D29" s="139"/>
      <c r="E29" s="113"/>
      <c r="F29" s="111"/>
      <c r="G29" s="108"/>
      <c r="H29" s="105"/>
      <c r="I29" s="102"/>
      <c r="J29" s="99"/>
      <c r="K29" s="67" t="s">
        <v>64</v>
      </c>
      <c r="L29" s="56" t="s">
        <v>79</v>
      </c>
      <c r="M29" s="113">
        <v>4</v>
      </c>
      <c r="N29" s="113"/>
      <c r="O29" s="42">
        <v>24301.54</v>
      </c>
      <c r="P29" s="43">
        <f t="shared" si="2"/>
        <v>97206.16</v>
      </c>
      <c r="Q29" s="43">
        <v>0</v>
      </c>
      <c r="R29" s="43">
        <f>P29+Q29</f>
        <v>97206.16</v>
      </c>
      <c r="S29" s="44">
        <v>0</v>
      </c>
      <c r="T29" s="45">
        <f t="shared" si="3"/>
        <v>0</v>
      </c>
      <c r="U29" s="45">
        <f t="shared" si="1"/>
        <v>0</v>
      </c>
      <c r="V29" s="45">
        <f t="shared" si="4"/>
        <v>0</v>
      </c>
      <c r="W29" s="57">
        <f>R29+V29</f>
        <v>97206.16</v>
      </c>
      <c r="X29" s="112"/>
      <c r="Y29" s="96"/>
    </row>
    <row r="30" spans="1:25" ht="25.5" customHeight="1">
      <c r="A30" s="1"/>
      <c r="B30" s="1"/>
      <c r="C30" s="141"/>
      <c r="D30" s="139"/>
      <c r="E30" s="113"/>
      <c r="F30" s="111"/>
      <c r="G30" s="108"/>
      <c r="H30" s="105"/>
      <c r="I30" s="102"/>
      <c r="J30" s="99"/>
      <c r="K30" s="67" t="s">
        <v>64</v>
      </c>
      <c r="L30" s="56" t="s">
        <v>80</v>
      </c>
      <c r="M30" s="113">
        <v>1</v>
      </c>
      <c r="N30" s="113"/>
      <c r="O30" s="42"/>
      <c r="P30" s="43">
        <f t="shared" si="2"/>
        <v>0</v>
      </c>
      <c r="Q30" s="43">
        <f t="shared" si="0"/>
        <v>0</v>
      </c>
      <c r="R30" s="43">
        <f t="shared" ref="R20:R51" si="5">P30+Q30</f>
        <v>0</v>
      </c>
      <c r="S30" s="44">
        <v>33021</v>
      </c>
      <c r="T30" s="45">
        <f t="shared" si="3"/>
        <v>33021</v>
      </c>
      <c r="U30" s="45">
        <f t="shared" si="1"/>
        <v>6273.99</v>
      </c>
      <c r="V30" s="45">
        <f>T30+U30</f>
        <v>39294.99</v>
      </c>
      <c r="W30" s="57">
        <f>R30+V30</f>
        <v>39294.99</v>
      </c>
      <c r="X30" s="112"/>
      <c r="Y30" s="96"/>
    </row>
    <row r="31" spans="1:25" ht="25.5" customHeight="1">
      <c r="A31" s="1"/>
      <c r="B31" s="1"/>
      <c r="C31" s="141"/>
      <c r="D31" s="139"/>
      <c r="E31" s="113"/>
      <c r="F31" s="111"/>
      <c r="G31" s="108"/>
      <c r="H31" s="105"/>
      <c r="I31" s="102"/>
      <c r="J31" s="99"/>
      <c r="K31" s="67" t="s">
        <v>72</v>
      </c>
      <c r="L31" s="56" t="s">
        <v>81</v>
      </c>
      <c r="M31" s="113">
        <v>2</v>
      </c>
      <c r="N31" s="113"/>
      <c r="O31" s="42"/>
      <c r="P31" s="43">
        <f t="shared" si="2"/>
        <v>0</v>
      </c>
      <c r="Q31" s="43">
        <f t="shared" si="0"/>
        <v>0</v>
      </c>
      <c r="R31" s="43">
        <f t="shared" si="5"/>
        <v>0</v>
      </c>
      <c r="S31" s="44">
        <v>66042</v>
      </c>
      <c r="T31" s="45">
        <f t="shared" si="3"/>
        <v>132084</v>
      </c>
      <c r="U31" s="45">
        <f t="shared" si="1"/>
        <v>25095.96</v>
      </c>
      <c r="V31" s="45">
        <f>T31+U31</f>
        <v>157179.96</v>
      </c>
      <c r="W31" s="57">
        <f>R31+V31</f>
        <v>157179.96</v>
      </c>
      <c r="X31" s="112"/>
      <c r="Y31" s="96"/>
    </row>
    <row r="32" spans="1:25" ht="25.5" customHeight="1">
      <c r="A32" s="46"/>
      <c r="B32" s="46"/>
      <c r="C32" s="141"/>
      <c r="D32" s="139"/>
      <c r="E32" s="113"/>
      <c r="F32" s="111"/>
      <c r="G32" s="108"/>
      <c r="H32" s="105"/>
      <c r="I32" s="102"/>
      <c r="J32" s="99"/>
      <c r="K32" s="67" t="s">
        <v>72</v>
      </c>
      <c r="L32" s="56" t="s">
        <v>82</v>
      </c>
      <c r="M32" s="113">
        <v>2</v>
      </c>
      <c r="N32" s="113"/>
      <c r="O32" s="42"/>
      <c r="P32" s="43">
        <f t="shared" si="2"/>
        <v>0</v>
      </c>
      <c r="Q32" s="43">
        <f t="shared" si="0"/>
        <v>0</v>
      </c>
      <c r="R32" s="43">
        <f t="shared" si="5"/>
        <v>0</v>
      </c>
      <c r="S32" s="44">
        <v>39625</v>
      </c>
      <c r="T32" s="45">
        <f t="shared" si="3"/>
        <v>79250</v>
      </c>
      <c r="U32" s="45">
        <f t="shared" si="1"/>
        <v>15057.5</v>
      </c>
      <c r="V32" s="45">
        <f>T32+U32</f>
        <v>94307.5</v>
      </c>
      <c r="W32" s="57">
        <f>R32+V32</f>
        <v>94307.5</v>
      </c>
      <c r="X32" s="112"/>
      <c r="Y32" s="96"/>
    </row>
    <row r="33" spans="1:25" ht="25.5" customHeight="1">
      <c r="A33" s="46"/>
      <c r="B33" s="46"/>
      <c r="C33" s="141"/>
      <c r="D33" s="139"/>
      <c r="E33" s="113"/>
      <c r="F33" s="111"/>
      <c r="G33" s="108"/>
      <c r="H33" s="105"/>
      <c r="I33" s="102"/>
      <c r="J33" s="99"/>
      <c r="K33" s="67" t="s">
        <v>64</v>
      </c>
      <c r="L33" s="56" t="s">
        <v>83</v>
      </c>
      <c r="M33" s="113">
        <v>1</v>
      </c>
      <c r="N33" s="113"/>
      <c r="O33" s="42"/>
      <c r="P33" s="43">
        <f t="shared" si="2"/>
        <v>0</v>
      </c>
      <c r="Q33" s="43">
        <f t="shared" si="0"/>
        <v>0</v>
      </c>
      <c r="R33" s="43">
        <f t="shared" si="5"/>
        <v>0</v>
      </c>
      <c r="S33" s="44">
        <v>59978.55</v>
      </c>
      <c r="T33" s="45">
        <f t="shared" si="3"/>
        <v>59978.55</v>
      </c>
      <c r="U33" s="45">
        <f t="shared" si="1"/>
        <v>11395.924500000001</v>
      </c>
      <c r="V33" s="45">
        <f>T33+U33</f>
        <v>71374.474500000011</v>
      </c>
      <c r="W33" s="57">
        <f>R33+V33</f>
        <v>71374.474500000011</v>
      </c>
      <c r="X33" s="112"/>
      <c r="Y33" s="96"/>
    </row>
    <row r="34" spans="1:25" ht="25.5" customHeight="1">
      <c r="A34" s="46"/>
      <c r="B34" s="46"/>
      <c r="C34" s="141"/>
      <c r="D34" s="139"/>
      <c r="E34" s="113"/>
      <c r="F34" s="111"/>
      <c r="G34" s="108"/>
      <c r="H34" s="105"/>
      <c r="I34" s="102"/>
      <c r="J34" s="99"/>
      <c r="K34" s="67" t="s">
        <v>72</v>
      </c>
      <c r="L34" s="56" t="s">
        <v>84</v>
      </c>
      <c r="M34" s="113">
        <v>1</v>
      </c>
      <c r="N34" s="113"/>
      <c r="O34" s="42"/>
      <c r="P34" s="43">
        <f t="shared" si="2"/>
        <v>0</v>
      </c>
      <c r="Q34" s="43">
        <f t="shared" si="0"/>
        <v>0</v>
      </c>
      <c r="R34" s="43">
        <f t="shared" si="5"/>
        <v>0</v>
      </c>
      <c r="S34" s="44">
        <v>292000</v>
      </c>
      <c r="T34" s="45">
        <f t="shared" si="3"/>
        <v>292000</v>
      </c>
      <c r="U34" s="45">
        <f t="shared" si="1"/>
        <v>55480</v>
      </c>
      <c r="V34" s="45">
        <f>T34+U34</f>
        <v>347480</v>
      </c>
      <c r="W34" s="57">
        <f>R34+V34</f>
        <v>347480</v>
      </c>
      <c r="X34" s="112"/>
      <c r="Y34" s="96"/>
    </row>
    <row r="35" spans="1:25" ht="51.75" customHeight="1">
      <c r="A35" s="46"/>
      <c r="B35" s="46"/>
      <c r="C35" s="141"/>
      <c r="D35" s="139"/>
      <c r="E35" s="113"/>
      <c r="F35" s="111"/>
      <c r="G35" s="108"/>
      <c r="H35" s="105"/>
      <c r="I35" s="102"/>
      <c r="J35" s="99"/>
      <c r="K35" s="67" t="s">
        <v>72</v>
      </c>
      <c r="L35" s="56" t="s">
        <v>85</v>
      </c>
      <c r="M35" s="113">
        <v>1</v>
      </c>
      <c r="N35" s="113"/>
      <c r="O35" s="42"/>
      <c r="P35" s="43">
        <f t="shared" si="2"/>
        <v>0</v>
      </c>
      <c r="Q35" s="43">
        <f t="shared" si="0"/>
        <v>0</v>
      </c>
      <c r="R35" s="43">
        <v>0</v>
      </c>
      <c r="S35" s="44">
        <v>350000</v>
      </c>
      <c r="T35" s="45">
        <f t="shared" si="3"/>
        <v>350000</v>
      </c>
      <c r="U35" s="45">
        <f t="shared" si="1"/>
        <v>66500</v>
      </c>
      <c r="V35" s="45">
        <f>T35+U35</f>
        <v>416500</v>
      </c>
      <c r="W35" s="57">
        <f>R35+V35</f>
        <v>416500</v>
      </c>
      <c r="X35" s="112"/>
      <c r="Y35" s="96"/>
    </row>
    <row r="36" spans="1:25" ht="25.5" customHeight="1">
      <c r="A36" s="1"/>
      <c r="B36" s="1"/>
      <c r="C36" s="141"/>
      <c r="D36" s="139"/>
      <c r="E36" s="113"/>
      <c r="F36" s="111"/>
      <c r="G36" s="108"/>
      <c r="H36" s="105"/>
      <c r="I36" s="102"/>
      <c r="J36" s="99"/>
      <c r="K36" s="67" t="s">
        <v>72</v>
      </c>
      <c r="L36" s="56" t="s">
        <v>86</v>
      </c>
      <c r="M36" s="113">
        <v>1</v>
      </c>
      <c r="N36" s="113"/>
      <c r="O36" s="42"/>
      <c r="P36" s="43">
        <f t="shared" si="2"/>
        <v>0</v>
      </c>
      <c r="Q36" s="43">
        <f t="shared" si="0"/>
        <v>0</v>
      </c>
      <c r="R36" s="43">
        <v>0</v>
      </c>
      <c r="S36" s="44">
        <v>66042</v>
      </c>
      <c r="T36" s="45">
        <f t="shared" si="3"/>
        <v>66042</v>
      </c>
      <c r="U36" s="45">
        <f t="shared" si="1"/>
        <v>12547.98</v>
      </c>
      <c r="V36" s="45">
        <f>T36+U36</f>
        <v>78589.98</v>
      </c>
      <c r="W36" s="57">
        <f>R36+V36</f>
        <v>78589.98</v>
      </c>
      <c r="X36" s="112"/>
      <c r="Y36" s="96"/>
    </row>
    <row r="37" spans="1:25" ht="25.5" customHeight="1">
      <c r="A37" s="1"/>
      <c r="B37" s="1"/>
      <c r="C37" s="141"/>
      <c r="D37" s="139"/>
      <c r="E37" s="113"/>
      <c r="F37" s="111"/>
      <c r="G37" s="108"/>
      <c r="H37" s="105"/>
      <c r="I37" s="102"/>
      <c r="J37" s="99"/>
      <c r="K37" s="67" t="s">
        <v>72</v>
      </c>
      <c r="L37" s="56" t="s">
        <v>87</v>
      </c>
      <c r="M37" s="113">
        <v>1</v>
      </c>
      <c r="N37" s="113"/>
      <c r="O37" s="42"/>
      <c r="P37" s="43">
        <f t="shared" si="2"/>
        <v>0</v>
      </c>
      <c r="Q37" s="43">
        <f t="shared" si="0"/>
        <v>0</v>
      </c>
      <c r="R37" s="43">
        <f t="shared" si="5"/>
        <v>0</v>
      </c>
      <c r="S37" s="44">
        <v>240000</v>
      </c>
      <c r="T37" s="45">
        <f t="shared" si="3"/>
        <v>240000</v>
      </c>
      <c r="U37" s="45">
        <f t="shared" si="1"/>
        <v>45600</v>
      </c>
      <c r="V37" s="45">
        <f>T37+U37</f>
        <v>285600</v>
      </c>
      <c r="W37" s="57">
        <f>R37+V37</f>
        <v>285600</v>
      </c>
      <c r="X37" s="112"/>
      <c r="Y37" s="96"/>
    </row>
    <row r="38" spans="1:25" ht="25.5" customHeight="1">
      <c r="A38" s="1"/>
      <c r="B38" s="1"/>
      <c r="C38" s="141"/>
      <c r="D38" s="139"/>
      <c r="E38" s="113"/>
      <c r="F38" s="111"/>
      <c r="G38" s="109"/>
      <c r="H38" s="106"/>
      <c r="I38" s="103"/>
      <c r="J38" s="100"/>
      <c r="K38" s="67" t="s">
        <v>72</v>
      </c>
      <c r="L38" s="56" t="s">
        <v>88</v>
      </c>
      <c r="M38" s="113">
        <v>2</v>
      </c>
      <c r="N38" s="113"/>
      <c r="O38" s="42"/>
      <c r="P38" s="43">
        <f t="shared" si="2"/>
        <v>0</v>
      </c>
      <c r="Q38" s="43">
        <f t="shared" si="0"/>
        <v>0</v>
      </c>
      <c r="R38" s="43">
        <f t="shared" si="5"/>
        <v>0</v>
      </c>
      <c r="S38" s="44">
        <v>58500</v>
      </c>
      <c r="T38" s="45">
        <f t="shared" si="3"/>
        <v>117000</v>
      </c>
      <c r="U38" s="45">
        <f t="shared" si="1"/>
        <v>22230</v>
      </c>
      <c r="V38" s="45">
        <f>T38+U38</f>
        <v>139230</v>
      </c>
      <c r="W38" s="57">
        <f>R38+V38</f>
        <v>139230</v>
      </c>
      <c r="X38" s="112"/>
      <c r="Y38" s="97"/>
    </row>
    <row r="39" spans="1:25" ht="25.5" customHeight="1">
      <c r="A39" s="1"/>
      <c r="B39" s="1"/>
      <c r="C39" s="68"/>
      <c r="D39" s="68"/>
      <c r="E39" s="68"/>
      <c r="F39" s="69"/>
      <c r="G39" s="147" t="s">
        <v>61</v>
      </c>
      <c r="H39" s="148">
        <v>210427</v>
      </c>
      <c r="I39" s="149">
        <v>45406</v>
      </c>
      <c r="J39" s="150" t="s">
        <v>89</v>
      </c>
      <c r="K39" s="67" t="s">
        <v>64</v>
      </c>
      <c r="L39" s="56" t="s">
        <v>90</v>
      </c>
      <c r="M39" s="113">
        <v>1</v>
      </c>
      <c r="N39" s="113"/>
      <c r="O39" s="42"/>
      <c r="P39" s="43">
        <f t="shared" si="2"/>
        <v>0</v>
      </c>
      <c r="Q39" s="43">
        <f t="shared" si="0"/>
        <v>0</v>
      </c>
      <c r="R39" s="43">
        <f t="shared" si="5"/>
        <v>0</v>
      </c>
      <c r="S39" s="44">
        <v>7519</v>
      </c>
      <c r="T39" s="45">
        <f t="shared" si="3"/>
        <v>7519</v>
      </c>
      <c r="U39" s="45">
        <f t="shared" si="1"/>
        <v>1428.6100000000001</v>
      </c>
      <c r="V39" s="45">
        <f t="shared" si="4"/>
        <v>8947.61</v>
      </c>
      <c r="W39" s="94">
        <f t="shared" ref="W20:W51" si="6">R39+V39</f>
        <v>8947.61</v>
      </c>
      <c r="X39" s="142">
        <f>SUM(W39:W43)</f>
        <v>535500</v>
      </c>
      <c r="Y39" s="144" t="s">
        <v>66</v>
      </c>
    </row>
    <row r="40" spans="1:25" ht="25.5" customHeight="1">
      <c r="A40" s="1"/>
      <c r="B40" s="1"/>
      <c r="C40" s="15"/>
      <c r="D40" s="15"/>
      <c r="E40" s="15"/>
      <c r="F40" s="47"/>
      <c r="G40" s="147"/>
      <c r="H40" s="148"/>
      <c r="I40" s="149"/>
      <c r="J40" s="150"/>
      <c r="K40" s="67" t="s">
        <v>64</v>
      </c>
      <c r="L40" s="56" t="s">
        <v>91</v>
      </c>
      <c r="M40" s="113">
        <v>1</v>
      </c>
      <c r="N40" s="113"/>
      <c r="O40" s="42"/>
      <c r="P40" s="43">
        <f t="shared" si="2"/>
        <v>0</v>
      </c>
      <c r="Q40" s="43">
        <f t="shared" si="0"/>
        <v>0</v>
      </c>
      <c r="R40" s="43">
        <f t="shared" si="5"/>
        <v>0</v>
      </c>
      <c r="S40" s="44">
        <v>132084</v>
      </c>
      <c r="T40" s="45">
        <f t="shared" si="3"/>
        <v>132084</v>
      </c>
      <c r="U40" s="45">
        <f t="shared" si="1"/>
        <v>25095.96</v>
      </c>
      <c r="V40" s="45">
        <f t="shared" si="4"/>
        <v>157179.96</v>
      </c>
      <c r="W40" s="57">
        <f t="shared" si="6"/>
        <v>157179.96</v>
      </c>
      <c r="X40" s="112"/>
      <c r="Y40" s="145"/>
    </row>
    <row r="41" spans="1:25" ht="25.5" customHeight="1">
      <c r="A41" s="1"/>
      <c r="B41" s="1"/>
      <c r="C41" s="15"/>
      <c r="D41" s="15"/>
      <c r="E41" s="15"/>
      <c r="F41" s="47"/>
      <c r="G41" s="147"/>
      <c r="H41" s="148"/>
      <c r="I41" s="149"/>
      <c r="J41" s="150"/>
      <c r="K41" s="95" t="s">
        <v>72</v>
      </c>
      <c r="L41" s="56" t="s">
        <v>92</v>
      </c>
      <c r="M41" s="113">
        <v>1</v>
      </c>
      <c r="N41" s="113"/>
      <c r="O41" s="44"/>
      <c r="P41" s="61">
        <f t="shared" si="2"/>
        <v>0</v>
      </c>
      <c r="Q41" s="61">
        <f t="shared" si="0"/>
        <v>0</v>
      </c>
      <c r="R41" s="61">
        <f t="shared" si="5"/>
        <v>0</v>
      </c>
      <c r="S41" s="44">
        <v>264168</v>
      </c>
      <c r="T41" s="45">
        <f t="shared" si="3"/>
        <v>264168</v>
      </c>
      <c r="U41" s="45">
        <f t="shared" si="1"/>
        <v>50191.92</v>
      </c>
      <c r="V41" s="45">
        <f t="shared" si="4"/>
        <v>314359.92</v>
      </c>
      <c r="W41" s="57">
        <f t="shared" si="6"/>
        <v>314359.92</v>
      </c>
      <c r="X41" s="112"/>
      <c r="Y41" s="145"/>
    </row>
    <row r="42" spans="1:25" ht="25.5" customHeight="1">
      <c r="A42" s="1"/>
      <c r="B42" s="1"/>
      <c r="C42" s="15"/>
      <c r="D42" s="15"/>
      <c r="E42" s="15"/>
      <c r="F42" s="47"/>
      <c r="G42" s="147"/>
      <c r="H42" s="148"/>
      <c r="I42" s="149"/>
      <c r="J42" s="150"/>
      <c r="K42" s="95" t="s">
        <v>64</v>
      </c>
      <c r="L42" s="56" t="s">
        <v>93</v>
      </c>
      <c r="M42" s="113">
        <v>1</v>
      </c>
      <c r="N42" s="113"/>
      <c r="O42" s="44"/>
      <c r="P42" s="61">
        <f t="shared" si="2"/>
        <v>0</v>
      </c>
      <c r="Q42" s="61">
        <f t="shared" si="0"/>
        <v>0</v>
      </c>
      <c r="R42" s="61">
        <f t="shared" si="5"/>
        <v>0</v>
      </c>
      <c r="S42" s="44">
        <v>33021</v>
      </c>
      <c r="T42" s="45">
        <f t="shared" si="3"/>
        <v>33021</v>
      </c>
      <c r="U42" s="45">
        <f t="shared" si="1"/>
        <v>6273.99</v>
      </c>
      <c r="V42" s="45">
        <f t="shared" si="4"/>
        <v>39294.99</v>
      </c>
      <c r="W42" s="57">
        <f t="shared" si="6"/>
        <v>39294.99</v>
      </c>
      <c r="X42" s="112"/>
      <c r="Y42" s="145"/>
    </row>
    <row r="43" spans="1:25" ht="25.5" customHeight="1">
      <c r="A43" s="1"/>
      <c r="B43" s="1"/>
      <c r="C43" s="15"/>
      <c r="D43" s="15"/>
      <c r="E43" s="15"/>
      <c r="F43" s="47"/>
      <c r="G43" s="147"/>
      <c r="H43" s="148"/>
      <c r="I43" s="149"/>
      <c r="J43" s="150"/>
      <c r="K43" s="95" t="s">
        <v>94</v>
      </c>
      <c r="L43" s="56" t="s">
        <v>95</v>
      </c>
      <c r="M43" s="113">
        <v>1</v>
      </c>
      <c r="N43" s="113"/>
      <c r="O43" s="44"/>
      <c r="P43" s="61">
        <f t="shared" si="2"/>
        <v>0</v>
      </c>
      <c r="Q43" s="61">
        <f t="shared" si="0"/>
        <v>0</v>
      </c>
      <c r="R43" s="61">
        <f t="shared" si="5"/>
        <v>0</v>
      </c>
      <c r="S43" s="44">
        <v>13208</v>
      </c>
      <c r="T43" s="45">
        <f t="shared" si="3"/>
        <v>13208</v>
      </c>
      <c r="U43" s="45">
        <f t="shared" si="1"/>
        <v>2509.52</v>
      </c>
      <c r="V43" s="45">
        <f t="shared" si="4"/>
        <v>15717.52</v>
      </c>
      <c r="W43" s="57">
        <f t="shared" si="6"/>
        <v>15717.52</v>
      </c>
      <c r="X43" s="143"/>
      <c r="Y43" s="146"/>
    </row>
    <row r="44" spans="1:25" ht="25.5" customHeight="1">
      <c r="A44" s="1"/>
      <c r="B44" s="1"/>
      <c r="C44" s="15"/>
      <c r="D44" s="15"/>
      <c r="E44" s="15"/>
      <c r="F44" s="47"/>
      <c r="G44" s="72"/>
      <c r="H44" s="70"/>
      <c r="I44" s="71"/>
      <c r="J44" s="72"/>
      <c r="K44" s="60"/>
      <c r="L44" s="56"/>
      <c r="M44" s="113"/>
      <c r="N44" s="113"/>
      <c r="O44" s="44"/>
      <c r="P44" s="61">
        <f t="shared" si="2"/>
        <v>0</v>
      </c>
      <c r="Q44" s="61">
        <f t="shared" si="0"/>
        <v>0</v>
      </c>
      <c r="R44" s="61">
        <f t="shared" si="5"/>
        <v>0</v>
      </c>
      <c r="S44" s="44">
        <v>0</v>
      </c>
      <c r="T44" s="45">
        <f t="shared" si="3"/>
        <v>0</v>
      </c>
      <c r="U44" s="45">
        <f t="shared" si="1"/>
        <v>0</v>
      </c>
      <c r="V44" s="45">
        <f t="shared" si="4"/>
        <v>0</v>
      </c>
      <c r="W44" s="57">
        <f t="shared" si="6"/>
        <v>0</v>
      </c>
      <c r="X44" s="58">
        <f>SUM(W44:W51)</f>
        <v>0</v>
      </c>
      <c r="Y44" s="59"/>
    </row>
    <row r="45" spans="1:25" ht="25.5" customHeight="1">
      <c r="A45" s="1"/>
      <c r="B45" s="1"/>
      <c r="C45" s="15"/>
      <c r="D45" s="15"/>
      <c r="E45" s="15"/>
      <c r="F45" s="47"/>
      <c r="G45" s="55"/>
      <c r="H45" s="53"/>
      <c r="I45" s="54"/>
      <c r="J45" s="55"/>
      <c r="K45" s="60"/>
      <c r="L45" s="56"/>
      <c r="M45" s="113"/>
      <c r="N45" s="113"/>
      <c r="O45" s="44"/>
      <c r="P45" s="61">
        <f>O45*M45</f>
        <v>0</v>
      </c>
      <c r="Q45" s="61">
        <f>P45*0.1900021</f>
        <v>0</v>
      </c>
      <c r="R45" s="61">
        <f t="shared" si="5"/>
        <v>0</v>
      </c>
      <c r="S45" s="44">
        <v>0</v>
      </c>
      <c r="T45" s="45">
        <f t="shared" si="3"/>
        <v>0</v>
      </c>
      <c r="U45" s="45">
        <f t="shared" si="1"/>
        <v>0</v>
      </c>
      <c r="V45" s="45">
        <f t="shared" si="4"/>
        <v>0</v>
      </c>
      <c r="W45" s="57">
        <f t="shared" si="6"/>
        <v>0</v>
      </c>
      <c r="X45" s="58">
        <f>SUM(W45:W51)</f>
        <v>0</v>
      </c>
      <c r="Y45" s="59"/>
    </row>
    <row r="46" spans="1:25" ht="25.5" customHeight="1">
      <c r="A46" s="1"/>
      <c r="B46" s="1"/>
      <c r="C46" s="15"/>
      <c r="D46" s="15"/>
      <c r="E46" s="15"/>
      <c r="F46" s="47"/>
      <c r="G46" s="55"/>
      <c r="H46" s="53"/>
      <c r="I46" s="54"/>
      <c r="J46" s="55"/>
      <c r="K46" s="60"/>
      <c r="L46" s="56"/>
      <c r="M46" s="113"/>
      <c r="N46" s="113"/>
      <c r="O46" s="44"/>
      <c r="P46" s="61">
        <f t="shared" si="2"/>
        <v>0</v>
      </c>
      <c r="Q46" s="61">
        <f t="shared" si="0"/>
        <v>0</v>
      </c>
      <c r="R46" s="61">
        <f t="shared" si="5"/>
        <v>0</v>
      </c>
      <c r="S46" s="44">
        <v>0</v>
      </c>
      <c r="T46" s="45">
        <f t="shared" si="3"/>
        <v>0</v>
      </c>
      <c r="U46" s="45">
        <f t="shared" si="1"/>
        <v>0</v>
      </c>
      <c r="V46" s="45">
        <f t="shared" si="4"/>
        <v>0</v>
      </c>
      <c r="W46" s="57">
        <f t="shared" si="6"/>
        <v>0</v>
      </c>
      <c r="X46" s="58">
        <f>SUM(W46:W51)</f>
        <v>0</v>
      </c>
      <c r="Y46" s="59"/>
    </row>
    <row r="47" spans="1:25" ht="25.5" customHeight="1">
      <c r="A47" s="1"/>
      <c r="B47" s="1"/>
      <c r="C47" s="15"/>
      <c r="D47" s="15"/>
      <c r="E47" s="15"/>
      <c r="F47" s="47"/>
      <c r="G47" s="55"/>
      <c r="H47" s="53"/>
      <c r="I47" s="54"/>
      <c r="J47" s="55"/>
      <c r="K47" s="60"/>
      <c r="L47" s="56"/>
      <c r="M47" s="113"/>
      <c r="N47" s="113"/>
      <c r="O47" s="44"/>
      <c r="P47" s="61">
        <f t="shared" si="2"/>
        <v>0</v>
      </c>
      <c r="Q47" s="61">
        <f t="shared" si="0"/>
        <v>0</v>
      </c>
      <c r="R47" s="61">
        <f t="shared" si="5"/>
        <v>0</v>
      </c>
      <c r="S47" s="44">
        <v>0</v>
      </c>
      <c r="T47" s="45">
        <f t="shared" si="3"/>
        <v>0</v>
      </c>
      <c r="U47" s="45">
        <f t="shared" si="1"/>
        <v>0</v>
      </c>
      <c r="V47" s="45">
        <f t="shared" si="4"/>
        <v>0</v>
      </c>
      <c r="W47" s="57">
        <f t="shared" si="6"/>
        <v>0</v>
      </c>
      <c r="X47" s="58">
        <f>SUM(W47:W51)</f>
        <v>0</v>
      </c>
      <c r="Y47" s="59"/>
    </row>
    <row r="48" spans="1:25" ht="25.5" customHeight="1">
      <c r="A48" s="1"/>
      <c r="B48" s="1"/>
      <c r="C48" s="15"/>
      <c r="D48" s="15"/>
      <c r="E48" s="15"/>
      <c r="F48" s="47"/>
      <c r="G48" s="55"/>
      <c r="H48" s="53"/>
      <c r="I48" s="54"/>
      <c r="J48" s="55"/>
      <c r="K48" s="60"/>
      <c r="L48" s="56"/>
      <c r="M48" s="113"/>
      <c r="N48" s="113"/>
      <c r="O48" s="44"/>
      <c r="P48" s="61">
        <f t="shared" si="2"/>
        <v>0</v>
      </c>
      <c r="Q48" s="61">
        <f t="shared" si="0"/>
        <v>0</v>
      </c>
      <c r="R48" s="61">
        <f t="shared" si="5"/>
        <v>0</v>
      </c>
      <c r="S48" s="44">
        <v>0</v>
      </c>
      <c r="T48" s="45">
        <f t="shared" si="3"/>
        <v>0</v>
      </c>
      <c r="U48" s="45">
        <f t="shared" si="1"/>
        <v>0</v>
      </c>
      <c r="V48" s="45">
        <f t="shared" si="4"/>
        <v>0</v>
      </c>
      <c r="W48" s="57">
        <f t="shared" si="6"/>
        <v>0</v>
      </c>
      <c r="X48" s="58">
        <f>SUM(W48:W51)</f>
        <v>0</v>
      </c>
      <c r="Y48" s="59"/>
    </row>
    <row r="49" spans="1:25" ht="25.5" customHeight="1">
      <c r="A49" s="1"/>
      <c r="B49" s="1"/>
      <c r="C49" s="15"/>
      <c r="D49" s="15"/>
      <c r="E49" s="15"/>
      <c r="F49" s="47"/>
      <c r="G49" s="55"/>
      <c r="H49" s="53"/>
      <c r="I49" s="54"/>
      <c r="J49" s="55"/>
      <c r="K49" s="60"/>
      <c r="L49" s="56"/>
      <c r="M49" s="113"/>
      <c r="N49" s="113"/>
      <c r="O49" s="44"/>
      <c r="P49" s="61">
        <f t="shared" si="2"/>
        <v>0</v>
      </c>
      <c r="Q49" s="61">
        <f t="shared" si="0"/>
        <v>0</v>
      </c>
      <c r="R49" s="61">
        <f t="shared" si="5"/>
        <v>0</v>
      </c>
      <c r="S49" s="44">
        <v>0</v>
      </c>
      <c r="T49" s="45">
        <f t="shared" si="3"/>
        <v>0</v>
      </c>
      <c r="U49" s="45">
        <f t="shared" si="1"/>
        <v>0</v>
      </c>
      <c r="V49" s="45">
        <f t="shared" si="4"/>
        <v>0</v>
      </c>
      <c r="W49" s="57">
        <f t="shared" si="6"/>
        <v>0</v>
      </c>
      <c r="X49" s="58">
        <f>SUM(W49:W51)</f>
        <v>0</v>
      </c>
      <c r="Y49" s="59"/>
    </row>
    <row r="50" spans="1:25" ht="25.5" customHeight="1">
      <c r="A50" s="1"/>
      <c r="B50" s="1"/>
      <c r="C50" s="15"/>
      <c r="D50" s="15"/>
      <c r="E50" s="15"/>
      <c r="F50" s="47"/>
      <c r="G50" s="55"/>
      <c r="H50" s="53"/>
      <c r="I50" s="54"/>
      <c r="J50" s="55"/>
      <c r="K50" s="60"/>
      <c r="L50" s="56"/>
      <c r="M50" s="113"/>
      <c r="N50" s="113"/>
      <c r="O50" s="44"/>
      <c r="P50" s="61">
        <f t="shared" si="2"/>
        <v>0</v>
      </c>
      <c r="Q50" s="61">
        <f t="shared" si="0"/>
        <v>0</v>
      </c>
      <c r="R50" s="61">
        <f t="shared" si="5"/>
        <v>0</v>
      </c>
      <c r="S50" s="44">
        <v>0</v>
      </c>
      <c r="T50" s="45">
        <f t="shared" si="3"/>
        <v>0</v>
      </c>
      <c r="U50" s="45">
        <f t="shared" si="1"/>
        <v>0</v>
      </c>
      <c r="V50" s="45">
        <f t="shared" si="4"/>
        <v>0</v>
      </c>
      <c r="W50" s="57">
        <f t="shared" si="6"/>
        <v>0</v>
      </c>
      <c r="X50" s="58">
        <f>SUM(W50:W51)</f>
        <v>0</v>
      </c>
      <c r="Y50" s="59"/>
    </row>
    <row r="51" spans="1:25" ht="25.5" customHeight="1">
      <c r="A51" s="1"/>
      <c r="B51" s="1"/>
      <c r="C51" s="15"/>
      <c r="D51" s="15"/>
      <c r="E51" s="15"/>
      <c r="F51" s="16"/>
      <c r="G51" s="62"/>
      <c r="H51" s="63"/>
      <c r="I51" s="64"/>
      <c r="J51" s="65"/>
      <c r="K51" s="65"/>
      <c r="L51" s="66"/>
      <c r="M51" s="152"/>
      <c r="N51" s="153"/>
      <c r="O51" s="48">
        <v>0</v>
      </c>
      <c r="P51" s="49">
        <f t="shared" si="2"/>
        <v>0</v>
      </c>
      <c r="Q51" s="49">
        <f t="shared" si="0"/>
        <v>0</v>
      </c>
      <c r="R51" s="49">
        <f t="shared" si="5"/>
        <v>0</v>
      </c>
      <c r="S51" s="50">
        <v>0</v>
      </c>
      <c r="T51" s="51">
        <f t="shared" si="3"/>
        <v>0</v>
      </c>
      <c r="U51" s="51">
        <f t="shared" si="1"/>
        <v>0</v>
      </c>
      <c r="V51" s="51">
        <f t="shared" si="4"/>
        <v>0</v>
      </c>
      <c r="W51" s="52">
        <f t="shared" si="6"/>
        <v>0</v>
      </c>
      <c r="X51" s="17"/>
      <c r="Y51"/>
    </row>
    <row r="52" spans="1:25" ht="25.5" customHeight="1">
      <c r="A52" s="1"/>
      <c r="B52" s="1"/>
      <c r="C52" s="151" t="s">
        <v>96</v>
      </c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Y52"/>
    </row>
    <row r="53" spans="1:25" ht="25.5" customHeight="1">
      <c r="A53" s="1"/>
      <c r="B53" s="1"/>
      <c r="H53"/>
      <c r="I53"/>
      <c r="J53"/>
      <c r="L53"/>
      <c r="Y53"/>
    </row>
    <row r="54" spans="1:25" ht="25.5" customHeight="1">
      <c r="A54" s="1"/>
      <c r="B54" s="1"/>
      <c r="H54"/>
      <c r="I54"/>
      <c r="J54"/>
      <c r="L54"/>
      <c r="Y54"/>
    </row>
    <row r="55" spans="1:25" ht="25.5" customHeight="1">
      <c r="A55" s="1"/>
      <c r="B55" s="1"/>
      <c r="H55"/>
      <c r="I55"/>
      <c r="J55"/>
      <c r="L55"/>
      <c r="Y55"/>
    </row>
    <row r="56" spans="1:25" ht="25.5" customHeight="1">
      <c r="A56" s="1"/>
      <c r="B56" s="1"/>
      <c r="H56"/>
      <c r="I56"/>
      <c r="J56"/>
      <c r="L56"/>
      <c r="Y56"/>
    </row>
    <row r="57" spans="1:25" ht="25.5" customHeight="1">
      <c r="A57" s="1"/>
      <c r="B57" s="1"/>
      <c r="H57"/>
      <c r="I57"/>
      <c r="J57"/>
      <c r="L57"/>
      <c r="Y57"/>
    </row>
    <row r="58" spans="1:25" ht="25.5" customHeight="1">
      <c r="A58" s="1"/>
      <c r="B58" s="1"/>
      <c r="H58"/>
      <c r="I58"/>
      <c r="J58"/>
      <c r="L58"/>
      <c r="Y58"/>
    </row>
    <row r="59" spans="1:25" ht="25.5" customHeight="1">
      <c r="A59" s="1"/>
      <c r="B59" s="1"/>
      <c r="H59"/>
      <c r="I59"/>
      <c r="J59"/>
      <c r="L59"/>
      <c r="Y59"/>
    </row>
    <row r="60" spans="1:25" ht="25.5" customHeight="1">
      <c r="A60" s="1"/>
      <c r="B60" s="1"/>
      <c r="H60"/>
      <c r="I60"/>
      <c r="J60"/>
      <c r="L60"/>
      <c r="Y60"/>
    </row>
    <row r="61" spans="1:25" ht="25.5" customHeight="1">
      <c r="A61" s="1"/>
      <c r="B61" s="1"/>
      <c r="H61"/>
      <c r="I61"/>
      <c r="J61"/>
      <c r="L61"/>
      <c r="Y61"/>
    </row>
    <row r="62" spans="1:25" ht="25.5" customHeight="1">
      <c r="A62" s="1"/>
      <c r="B62" s="1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/>
    </row>
    <row r="63" spans="1:25" ht="25.5" customHeight="1">
      <c r="A63" s="1"/>
      <c r="B63" s="1"/>
      <c r="H63"/>
      <c r="I63"/>
      <c r="J63"/>
      <c r="L63"/>
      <c r="Y63"/>
    </row>
    <row r="64" spans="1:25" ht="25.5" customHeight="1">
      <c r="A64" s="1"/>
      <c r="B64" s="1"/>
      <c r="H64"/>
      <c r="I64"/>
      <c r="J64"/>
      <c r="L64"/>
      <c r="Y64"/>
    </row>
    <row r="65" spans="1:65" ht="25.5" customHeight="1">
      <c r="A65" s="1"/>
      <c r="B65" s="1"/>
      <c r="H65"/>
      <c r="I65"/>
      <c r="J65"/>
      <c r="L65"/>
      <c r="Y65"/>
    </row>
    <row r="66" spans="1:65" ht="25.5" customHeight="1">
      <c r="A66" s="1"/>
      <c r="B66" s="1"/>
      <c r="H66"/>
      <c r="I66"/>
      <c r="J66"/>
      <c r="L66"/>
      <c r="Y66"/>
    </row>
    <row r="67" spans="1:65" ht="25.5" customHeight="1">
      <c r="A67" s="1"/>
      <c r="B67" s="1"/>
      <c r="H67"/>
      <c r="I67"/>
      <c r="J67"/>
      <c r="L67"/>
      <c r="Y67"/>
    </row>
    <row r="68" spans="1:65" ht="25.5" customHeight="1">
      <c r="A68" s="1"/>
      <c r="B68" s="1"/>
      <c r="D68" s="35"/>
      <c r="H68"/>
      <c r="I68"/>
      <c r="J68"/>
      <c r="L68"/>
      <c r="Y68"/>
    </row>
    <row r="69" spans="1:65" ht="25.5" customHeight="1">
      <c r="A69" s="1"/>
      <c r="B69" s="1"/>
      <c r="D69" s="35"/>
      <c r="H69"/>
      <c r="I69"/>
      <c r="J69"/>
      <c r="L69"/>
      <c r="Y69"/>
    </row>
    <row r="70" spans="1:65" s="33" customFormat="1" ht="25.5" customHeight="1">
      <c r="A70" s="32"/>
      <c r="B70" s="32"/>
      <c r="D70" s="36"/>
    </row>
    <row r="71" spans="1:65" ht="25.5" customHeight="1">
      <c r="A71" s="1"/>
      <c r="B71" s="1"/>
      <c r="D71" s="35"/>
      <c r="H71"/>
      <c r="I71"/>
      <c r="J71"/>
      <c r="L71"/>
      <c r="Y71"/>
    </row>
    <row r="72" spans="1:65" ht="25.5" customHeight="1">
      <c r="A72" s="1"/>
      <c r="B72" s="1"/>
      <c r="D72" s="35"/>
      <c r="H72"/>
      <c r="I72"/>
      <c r="J72"/>
      <c r="L72"/>
      <c r="Y72"/>
    </row>
    <row r="73" spans="1:65" ht="25.5" customHeight="1">
      <c r="A73" s="1"/>
      <c r="B73" s="1"/>
      <c r="D73" s="35"/>
      <c r="H73"/>
      <c r="I73"/>
      <c r="J73"/>
      <c r="L73"/>
      <c r="Y73"/>
    </row>
    <row r="74" spans="1:65" ht="25.5" customHeight="1">
      <c r="A74" s="1"/>
      <c r="B74" s="1"/>
      <c r="D74" s="35"/>
      <c r="H74"/>
      <c r="I74"/>
      <c r="J74"/>
      <c r="L74"/>
      <c r="Y74"/>
    </row>
    <row r="75" spans="1:65" ht="25.5" customHeight="1">
      <c r="A75" s="1"/>
      <c r="B75" s="1"/>
      <c r="D75" s="35"/>
      <c r="H75"/>
      <c r="I75"/>
      <c r="J75"/>
      <c r="L75"/>
      <c r="Y75"/>
    </row>
    <row r="76" spans="1:65" ht="25.5" customHeight="1">
      <c r="A76" s="1"/>
      <c r="B76" s="1"/>
      <c r="D76" s="35"/>
      <c r="H76"/>
      <c r="I76"/>
      <c r="J76"/>
      <c r="L76"/>
      <c r="Y76"/>
    </row>
    <row r="77" spans="1:65" ht="25.5" customHeight="1">
      <c r="A77" s="1"/>
      <c r="B77" s="1"/>
      <c r="D77" s="35"/>
      <c r="H77"/>
      <c r="I77"/>
      <c r="J77"/>
      <c r="L77"/>
      <c r="Y77"/>
    </row>
    <row r="78" spans="1:65" s="34" customFormat="1" ht="25.5" customHeight="1">
      <c r="A78" s="32"/>
      <c r="B78" s="32"/>
      <c r="C78"/>
      <c r="D78" s="35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ht="25.5" customHeight="1">
      <c r="A79" s="1"/>
      <c r="B79" s="1"/>
      <c r="D79" s="35"/>
      <c r="H79"/>
      <c r="I79"/>
      <c r="J79"/>
      <c r="L79"/>
      <c r="Y79"/>
    </row>
    <row r="80" spans="1:65" ht="25.5" customHeight="1">
      <c r="A80" s="1"/>
      <c r="B80" s="1"/>
      <c r="D80" s="35"/>
      <c r="H80"/>
      <c r="I80"/>
      <c r="J80"/>
      <c r="L80"/>
      <c r="Y80"/>
    </row>
    <row r="81" spans="1:25" ht="25.5" customHeight="1">
      <c r="A81" s="1"/>
      <c r="B81" s="1"/>
      <c r="D81" s="35"/>
      <c r="H81"/>
      <c r="I81"/>
      <c r="J81"/>
      <c r="L81"/>
      <c r="Y81"/>
    </row>
    <row r="82" spans="1:25" ht="25.5" customHeight="1">
      <c r="A82" s="1"/>
      <c r="B82" s="1"/>
      <c r="D82" s="35"/>
      <c r="H82"/>
      <c r="I82"/>
      <c r="J82"/>
      <c r="L82"/>
      <c r="Y82"/>
    </row>
    <row r="83" spans="1:25" ht="25.5" customHeight="1">
      <c r="A83" s="1"/>
      <c r="B83" s="1"/>
      <c r="D83" s="35"/>
      <c r="H83"/>
      <c r="I83"/>
      <c r="J83"/>
      <c r="L83"/>
      <c r="Y83"/>
    </row>
    <row r="84" spans="1:25" ht="25.5" customHeight="1">
      <c r="A84" s="1"/>
      <c r="B84" s="1"/>
      <c r="D84" s="35"/>
      <c r="H84"/>
      <c r="I84"/>
      <c r="J84"/>
      <c r="L84"/>
      <c r="Y84"/>
    </row>
    <row r="85" spans="1:25" ht="25.5" customHeight="1">
      <c r="A85" s="1"/>
      <c r="B85" s="1"/>
      <c r="D85" s="35"/>
      <c r="H85"/>
      <c r="I85"/>
      <c r="J85"/>
      <c r="L85"/>
      <c r="Y85"/>
    </row>
    <row r="86" spans="1:25" ht="25.5" customHeight="1">
      <c r="A86" s="1"/>
      <c r="B86" s="1"/>
      <c r="D86" s="35"/>
      <c r="H86"/>
      <c r="I86"/>
      <c r="J86"/>
      <c r="L86"/>
      <c r="Y86"/>
    </row>
    <row r="87" spans="1:25" ht="25.5" customHeight="1">
      <c r="A87" s="1"/>
      <c r="B87" s="1"/>
      <c r="D87" s="35"/>
      <c r="H87"/>
      <c r="I87"/>
      <c r="J87"/>
      <c r="L87"/>
      <c r="Y87"/>
    </row>
    <row r="88" spans="1:25" ht="25.5" customHeight="1">
      <c r="A88" s="1"/>
      <c r="B88" s="1"/>
      <c r="D88" s="35"/>
      <c r="H88"/>
      <c r="I88"/>
      <c r="J88"/>
      <c r="L88"/>
      <c r="Y88"/>
    </row>
    <row r="89" spans="1:25" ht="25.5" customHeight="1">
      <c r="A89" s="1"/>
      <c r="B89" s="1"/>
      <c r="D89" s="35"/>
      <c r="H89"/>
      <c r="I89"/>
      <c r="J89"/>
      <c r="L89"/>
      <c r="Y89"/>
    </row>
    <row r="90" spans="1:25" ht="25.5" customHeight="1">
      <c r="A90" s="1"/>
      <c r="B90" s="1"/>
      <c r="D90" s="35"/>
      <c r="H90"/>
      <c r="I90"/>
      <c r="J90"/>
      <c r="L90"/>
      <c r="Y90"/>
    </row>
    <row r="91" spans="1:25" ht="25.5" customHeight="1">
      <c r="A91" s="1"/>
      <c r="B91" s="1"/>
      <c r="D91" s="35"/>
      <c r="H91"/>
      <c r="I91"/>
      <c r="J91"/>
      <c r="L91"/>
      <c r="Y91"/>
    </row>
    <row r="92" spans="1:25" ht="25.5" customHeight="1">
      <c r="A92" s="1"/>
      <c r="B92" s="1"/>
      <c r="D92" s="35"/>
      <c r="H92"/>
      <c r="I92"/>
      <c r="J92"/>
      <c r="L92"/>
      <c r="Y92"/>
    </row>
    <row r="93" spans="1:25" ht="25.5" customHeight="1">
      <c r="A93" s="1"/>
      <c r="B93" s="1"/>
      <c r="D93" s="35"/>
      <c r="H93"/>
      <c r="I93"/>
      <c r="J93"/>
      <c r="L93"/>
      <c r="Y93"/>
    </row>
    <row r="94" spans="1:25" ht="25.5" customHeight="1">
      <c r="A94" s="1"/>
      <c r="B94" s="1"/>
      <c r="D94" s="35"/>
      <c r="H94"/>
      <c r="I94"/>
      <c r="J94"/>
      <c r="L94"/>
      <c r="Y94"/>
    </row>
    <row r="95" spans="1:25" ht="25.5" customHeight="1">
      <c r="A95" s="1"/>
      <c r="B95" s="1"/>
      <c r="D95" s="35"/>
      <c r="H95"/>
      <c r="I95"/>
      <c r="J95"/>
      <c r="L95"/>
      <c r="Y95"/>
    </row>
    <row r="96" spans="1:25" ht="25.5" customHeight="1">
      <c r="A96" s="1"/>
      <c r="B96" s="1"/>
      <c r="D96" s="35"/>
      <c r="H96"/>
      <c r="I96"/>
      <c r="J96"/>
      <c r="L96"/>
      <c r="Y96"/>
    </row>
    <row r="97" spans="1:25" ht="25.5" customHeight="1">
      <c r="A97" s="1"/>
      <c r="B97" s="1"/>
      <c r="D97" s="35"/>
      <c r="H97"/>
      <c r="I97"/>
      <c r="J97"/>
      <c r="L97"/>
      <c r="Y97"/>
    </row>
    <row r="98" spans="1:25" ht="25.5" customHeight="1">
      <c r="A98" s="1"/>
      <c r="B98" s="1"/>
      <c r="D98" s="35"/>
      <c r="H98"/>
      <c r="I98"/>
      <c r="J98"/>
      <c r="L98"/>
      <c r="Y98"/>
    </row>
    <row r="99" spans="1:25" ht="25.5" customHeight="1">
      <c r="A99" s="1"/>
      <c r="B99" s="1"/>
      <c r="D99" s="35"/>
      <c r="H99"/>
      <c r="I99"/>
      <c r="J99"/>
      <c r="L99"/>
      <c r="Y99"/>
    </row>
    <row r="100" spans="1:25" ht="25.5" customHeight="1">
      <c r="A100" s="1"/>
      <c r="B100" s="1"/>
      <c r="D100" s="35"/>
      <c r="H100"/>
      <c r="I100"/>
      <c r="J100"/>
      <c r="L100"/>
      <c r="Y100"/>
    </row>
    <row r="101" spans="1:25" ht="25.5" customHeight="1">
      <c r="A101" s="1"/>
      <c r="B101" s="1"/>
      <c r="D101" s="35"/>
      <c r="H101"/>
      <c r="I101"/>
      <c r="J101"/>
      <c r="L101"/>
      <c r="Y101"/>
    </row>
    <row r="102" spans="1:25" ht="25.5" customHeight="1">
      <c r="A102" s="1"/>
      <c r="B102" s="1"/>
      <c r="D102" s="35"/>
      <c r="H102"/>
      <c r="I102"/>
      <c r="J102"/>
      <c r="L102"/>
      <c r="Y102"/>
    </row>
    <row r="103" spans="1:25" ht="25.5" customHeight="1">
      <c r="A103" s="1"/>
      <c r="B103" s="1"/>
      <c r="D103" s="35"/>
      <c r="H103"/>
      <c r="I103"/>
      <c r="J103"/>
      <c r="L103"/>
      <c r="Y103"/>
    </row>
    <row r="104" spans="1:25" ht="25.5" customHeight="1">
      <c r="A104" s="1"/>
      <c r="B104" s="1"/>
      <c r="D104" s="35"/>
      <c r="H104"/>
      <c r="I104"/>
      <c r="J104"/>
      <c r="L104"/>
      <c r="Y104"/>
    </row>
    <row r="105" spans="1:25" ht="25.5" customHeight="1">
      <c r="A105" s="1"/>
      <c r="B105" s="1"/>
      <c r="D105" s="35"/>
      <c r="H105"/>
      <c r="I105"/>
      <c r="J105"/>
      <c r="L105"/>
      <c r="Y105"/>
    </row>
    <row r="106" spans="1:25" ht="25.5" customHeight="1">
      <c r="A106" s="1"/>
      <c r="B106" s="1"/>
      <c r="D106" s="35"/>
      <c r="H106"/>
      <c r="I106"/>
      <c r="J106"/>
      <c r="L106"/>
      <c r="Y106"/>
    </row>
    <row r="107" spans="1:25" ht="25.5" customHeight="1">
      <c r="A107" s="1"/>
      <c r="B107" s="1"/>
      <c r="D107" s="35"/>
      <c r="H107"/>
      <c r="I107"/>
      <c r="J107"/>
      <c r="L107"/>
      <c r="Y107"/>
    </row>
    <row r="108" spans="1:25" ht="25.5" customHeight="1">
      <c r="A108" s="1"/>
      <c r="B108" s="1"/>
      <c r="D108" s="35"/>
      <c r="H108"/>
      <c r="I108"/>
      <c r="J108"/>
      <c r="L108"/>
      <c r="Y108"/>
    </row>
    <row r="109" spans="1:25" ht="25.5" customHeight="1">
      <c r="A109" s="1"/>
      <c r="B109" s="1"/>
      <c r="D109" s="35"/>
      <c r="H109"/>
      <c r="I109"/>
      <c r="J109"/>
      <c r="L109"/>
      <c r="Y109"/>
    </row>
    <row r="110" spans="1:25" ht="25.5" customHeight="1">
      <c r="A110" s="1"/>
      <c r="B110" s="1"/>
      <c r="D110" s="35"/>
      <c r="H110"/>
      <c r="I110"/>
      <c r="J110"/>
      <c r="L110"/>
      <c r="Y110"/>
    </row>
    <row r="111" spans="1:25" ht="25.5" customHeight="1">
      <c r="A111" s="1"/>
      <c r="B111" s="1"/>
      <c r="D111" s="35"/>
      <c r="H111"/>
      <c r="I111"/>
      <c r="J111"/>
      <c r="L111"/>
      <c r="Y111"/>
    </row>
    <row r="112" spans="1:25" ht="25.5" customHeight="1">
      <c r="A112" s="1"/>
      <c r="B112" s="1"/>
      <c r="D112" s="35"/>
      <c r="H112"/>
      <c r="I112"/>
      <c r="J112"/>
      <c r="L112"/>
      <c r="Y112"/>
    </row>
    <row r="113" spans="1:25" ht="25.5" customHeight="1">
      <c r="A113" s="1"/>
      <c r="B113" s="1"/>
      <c r="D113" s="35"/>
      <c r="H113"/>
      <c r="I113"/>
      <c r="J113"/>
      <c r="L113"/>
      <c r="Y113"/>
    </row>
    <row r="114" spans="1:25" ht="25.5" customHeight="1">
      <c r="A114" s="1"/>
      <c r="B114" s="1"/>
      <c r="D114" s="35"/>
      <c r="H114"/>
      <c r="I114"/>
      <c r="J114"/>
      <c r="L114"/>
      <c r="Y114"/>
    </row>
    <row r="115" spans="1:25" ht="25.5" customHeight="1">
      <c r="A115" s="1"/>
      <c r="B115" s="1"/>
      <c r="D115" s="35"/>
      <c r="H115"/>
      <c r="I115"/>
      <c r="J115"/>
      <c r="L115"/>
      <c r="Y115"/>
    </row>
    <row r="116" spans="1:25" ht="25.5" customHeight="1">
      <c r="A116" s="1"/>
      <c r="B116" s="1"/>
      <c r="D116" s="35"/>
      <c r="H116"/>
      <c r="I116"/>
      <c r="J116"/>
      <c r="L116"/>
      <c r="Y116"/>
    </row>
    <row r="117" spans="1:25" ht="25.5" customHeight="1">
      <c r="A117" s="1"/>
      <c r="B117" s="1"/>
      <c r="D117" s="35"/>
      <c r="H117"/>
      <c r="I117"/>
      <c r="J117"/>
      <c r="L117"/>
      <c r="Y117"/>
    </row>
    <row r="118" spans="1:25" ht="25.5" customHeight="1">
      <c r="A118" s="1"/>
      <c r="B118" s="1"/>
      <c r="D118" s="35"/>
      <c r="H118"/>
      <c r="I118"/>
      <c r="J118"/>
      <c r="L118"/>
      <c r="Y118"/>
    </row>
    <row r="119" spans="1:25" ht="25.5" customHeight="1">
      <c r="A119" s="1"/>
      <c r="B119" s="1"/>
      <c r="D119" s="35"/>
      <c r="H119"/>
      <c r="I119"/>
      <c r="J119"/>
      <c r="L119"/>
      <c r="Y119"/>
    </row>
    <row r="120" spans="1:25" ht="25.5" customHeight="1">
      <c r="A120" s="1"/>
      <c r="B120" s="1"/>
      <c r="D120" s="35"/>
      <c r="H120"/>
      <c r="I120"/>
      <c r="J120"/>
      <c r="L120"/>
      <c r="Y120"/>
    </row>
    <row r="121" spans="1:25" ht="25.5" customHeight="1">
      <c r="A121" s="1"/>
      <c r="B121" s="1"/>
      <c r="D121" s="35"/>
      <c r="H121"/>
      <c r="I121"/>
      <c r="J121"/>
      <c r="L121"/>
      <c r="Y121"/>
    </row>
    <row r="122" spans="1:25" ht="25.5" customHeight="1">
      <c r="A122" s="1"/>
      <c r="B122" s="1"/>
      <c r="D122" s="35"/>
      <c r="H122"/>
      <c r="I122"/>
      <c r="J122"/>
      <c r="L122"/>
      <c r="Y122"/>
    </row>
    <row r="123" spans="1:25" ht="25.5" customHeight="1">
      <c r="A123" s="1"/>
      <c r="B123" s="1"/>
      <c r="D123" s="35"/>
      <c r="H123"/>
      <c r="I123"/>
      <c r="J123"/>
      <c r="L123"/>
      <c r="Y123"/>
    </row>
    <row r="124" spans="1:25" ht="25.5" customHeight="1">
      <c r="A124" s="1"/>
      <c r="B124" s="1"/>
      <c r="D124" s="35"/>
      <c r="H124"/>
      <c r="I124"/>
      <c r="J124"/>
      <c r="L124"/>
      <c r="Y124"/>
    </row>
    <row r="125" spans="1:25" ht="25.5" customHeight="1">
      <c r="A125" s="1"/>
      <c r="B125" s="1"/>
      <c r="D125" s="35"/>
      <c r="H125"/>
      <c r="I125"/>
      <c r="J125"/>
      <c r="L125"/>
      <c r="Y125"/>
    </row>
    <row r="126" spans="1:25" ht="25.5" customHeight="1">
      <c r="A126" s="1"/>
      <c r="B126" s="1"/>
      <c r="D126" s="35"/>
      <c r="H126"/>
      <c r="I126"/>
      <c r="J126"/>
      <c r="L126"/>
      <c r="Y126"/>
    </row>
    <row r="127" spans="1:25" ht="25.5" customHeight="1">
      <c r="A127" s="1"/>
      <c r="B127" s="1"/>
      <c r="D127" s="35"/>
      <c r="H127"/>
      <c r="I127"/>
      <c r="J127"/>
      <c r="L127"/>
      <c r="Y127"/>
    </row>
    <row r="128" spans="1:25" ht="25.5" customHeight="1">
      <c r="A128" s="1"/>
      <c r="B128" s="1"/>
      <c r="D128" s="35"/>
      <c r="H128"/>
      <c r="I128"/>
      <c r="J128"/>
      <c r="L128"/>
      <c r="Y128"/>
    </row>
    <row r="129" spans="1:25" ht="25.5" customHeight="1">
      <c r="A129" s="1"/>
      <c r="B129" s="1"/>
      <c r="D129" s="35"/>
      <c r="H129"/>
      <c r="I129"/>
      <c r="J129"/>
      <c r="L129"/>
      <c r="Y129"/>
    </row>
    <row r="130" spans="1:25" ht="25.5" customHeight="1">
      <c r="A130" s="1"/>
      <c r="B130" s="1"/>
      <c r="D130" s="35"/>
      <c r="H130"/>
      <c r="I130"/>
      <c r="J130"/>
      <c r="L130"/>
      <c r="Y130"/>
    </row>
    <row r="131" spans="1:25" ht="25.5" customHeight="1">
      <c r="A131" s="1"/>
      <c r="B131" s="1"/>
      <c r="D131" s="35"/>
      <c r="H131"/>
      <c r="I131"/>
      <c r="J131"/>
      <c r="L131"/>
      <c r="Y131"/>
    </row>
    <row r="132" spans="1:25" ht="25.5" customHeight="1">
      <c r="A132" s="1"/>
      <c r="B132" s="1"/>
      <c r="D132" s="35"/>
      <c r="H132"/>
      <c r="I132"/>
      <c r="J132"/>
      <c r="L132"/>
      <c r="Y132"/>
    </row>
    <row r="133" spans="1:25" ht="25.5" customHeight="1">
      <c r="A133" s="1"/>
      <c r="B133" s="1"/>
      <c r="D133" s="35"/>
      <c r="H133"/>
      <c r="I133"/>
      <c r="J133"/>
      <c r="L133"/>
      <c r="Y133"/>
    </row>
    <row r="134" spans="1:25" ht="25.5" customHeight="1">
      <c r="A134" s="1"/>
      <c r="B134" s="1"/>
      <c r="D134" s="35"/>
      <c r="H134"/>
      <c r="I134"/>
      <c r="J134"/>
      <c r="L134"/>
      <c r="Y134"/>
    </row>
    <row r="135" spans="1:25" ht="25.5" customHeight="1">
      <c r="A135" s="1"/>
      <c r="B135" s="1"/>
      <c r="D135" s="35"/>
      <c r="H135"/>
      <c r="I135"/>
      <c r="J135"/>
      <c r="L135"/>
      <c r="Y135"/>
    </row>
    <row r="136" spans="1:25" ht="25.5" customHeight="1">
      <c r="A136" s="1"/>
      <c r="B136" s="1"/>
      <c r="D136" s="35"/>
      <c r="H136"/>
      <c r="I136"/>
      <c r="J136"/>
      <c r="L136"/>
      <c r="Y136"/>
    </row>
    <row r="137" spans="1:25" ht="25.5" customHeight="1">
      <c r="A137" s="1"/>
      <c r="B137" s="1"/>
      <c r="D137" s="35"/>
      <c r="H137"/>
      <c r="I137"/>
      <c r="J137"/>
      <c r="L137"/>
      <c r="Y137"/>
    </row>
    <row r="138" spans="1:25" ht="25.5" customHeight="1">
      <c r="A138" s="1"/>
      <c r="B138" s="1"/>
      <c r="D138" s="35"/>
      <c r="H138"/>
      <c r="I138"/>
      <c r="J138"/>
      <c r="L138"/>
      <c r="Y138"/>
    </row>
    <row r="139" spans="1:25" ht="25.5" customHeight="1">
      <c r="A139" s="1"/>
      <c r="B139" s="1"/>
      <c r="D139" s="35"/>
      <c r="H139"/>
      <c r="I139"/>
      <c r="J139"/>
      <c r="L139"/>
      <c r="Y139"/>
    </row>
    <row r="140" spans="1:25" ht="25.5" customHeight="1">
      <c r="A140" s="1"/>
      <c r="B140" s="1"/>
      <c r="D140" s="35"/>
      <c r="H140"/>
      <c r="I140"/>
      <c r="J140"/>
      <c r="L140"/>
      <c r="Y140"/>
    </row>
    <row r="141" spans="1:25" ht="25.5" customHeight="1">
      <c r="A141" s="1"/>
      <c r="B141" s="1"/>
      <c r="D141" s="35"/>
      <c r="H141"/>
      <c r="I141"/>
      <c r="J141"/>
      <c r="L141"/>
      <c r="Y141"/>
    </row>
    <row r="142" spans="1:25" ht="25.5" customHeight="1">
      <c r="A142" s="1"/>
      <c r="B142" s="1"/>
      <c r="D142" s="35"/>
      <c r="H142"/>
      <c r="I142"/>
      <c r="J142"/>
      <c r="L142"/>
      <c r="Y142"/>
    </row>
    <row r="143" spans="1:25" ht="25.5" customHeight="1">
      <c r="A143" s="1"/>
      <c r="B143" s="1"/>
      <c r="D143" s="35"/>
      <c r="H143"/>
      <c r="I143"/>
      <c r="J143"/>
      <c r="L143"/>
      <c r="Y143"/>
    </row>
    <row r="144" spans="1:25" ht="25.5" customHeight="1">
      <c r="A144" s="1"/>
      <c r="B144" s="1"/>
      <c r="D144" s="35"/>
      <c r="H144"/>
      <c r="I144"/>
      <c r="J144"/>
      <c r="L144"/>
      <c r="Y144"/>
    </row>
    <row r="145" spans="1:25" ht="25.5" customHeight="1">
      <c r="A145" s="1"/>
      <c r="B145" s="1"/>
      <c r="D145" s="35"/>
      <c r="H145"/>
      <c r="I145"/>
      <c r="J145"/>
      <c r="L145"/>
      <c r="Y145"/>
    </row>
    <row r="146" spans="1:25" ht="25.5" customHeight="1">
      <c r="A146" s="1"/>
      <c r="B146" s="1"/>
      <c r="D146" s="35"/>
      <c r="H146"/>
      <c r="I146"/>
      <c r="J146"/>
      <c r="L146"/>
      <c r="Y146"/>
    </row>
    <row r="147" spans="1:25" ht="25.5" customHeight="1">
      <c r="A147" s="1"/>
      <c r="B147" s="1"/>
      <c r="D147" s="35"/>
      <c r="H147"/>
      <c r="I147"/>
      <c r="J147"/>
      <c r="L147"/>
      <c r="Y147"/>
    </row>
    <row r="148" spans="1:25" ht="25.5" customHeight="1">
      <c r="A148" s="1"/>
      <c r="B148" s="1"/>
      <c r="D148" s="35"/>
      <c r="H148"/>
      <c r="I148"/>
      <c r="J148"/>
      <c r="L148"/>
      <c r="Y148"/>
    </row>
    <row r="149" spans="1:25" ht="25.5" customHeight="1">
      <c r="A149" s="1"/>
      <c r="B149" s="1"/>
      <c r="D149" s="35"/>
      <c r="H149"/>
      <c r="I149"/>
      <c r="J149"/>
      <c r="L149"/>
      <c r="Y149"/>
    </row>
    <row r="150" spans="1:25" ht="25.5" customHeight="1">
      <c r="A150" s="1"/>
      <c r="B150" s="1"/>
      <c r="D150" s="35"/>
      <c r="H150"/>
      <c r="I150"/>
      <c r="J150"/>
      <c r="L150"/>
      <c r="Y150"/>
    </row>
    <row r="151" spans="1:25" ht="25.5" customHeight="1">
      <c r="A151" s="1"/>
      <c r="B151" s="1"/>
      <c r="D151" s="35"/>
      <c r="H151"/>
      <c r="I151"/>
      <c r="J151"/>
      <c r="L151"/>
      <c r="Y151"/>
    </row>
    <row r="152" spans="1:25" ht="25.5" customHeight="1">
      <c r="A152" s="1"/>
      <c r="B152" s="1"/>
      <c r="D152" s="35"/>
      <c r="H152"/>
      <c r="I152"/>
      <c r="J152"/>
      <c r="L152"/>
      <c r="Y152"/>
    </row>
    <row r="153" spans="1:25" ht="25.5" customHeight="1">
      <c r="A153" s="1"/>
      <c r="B153" s="1"/>
      <c r="D153" s="35"/>
      <c r="H153"/>
      <c r="I153"/>
      <c r="J153"/>
      <c r="L153"/>
      <c r="Y153"/>
    </row>
    <row r="154" spans="1:25" ht="25.5" customHeight="1">
      <c r="A154" s="1"/>
      <c r="B154" s="1"/>
      <c r="D154" s="35"/>
      <c r="H154"/>
      <c r="I154"/>
      <c r="J154"/>
      <c r="L154"/>
      <c r="Y154"/>
    </row>
    <row r="155" spans="1:25" ht="25.5" customHeight="1">
      <c r="A155" s="1"/>
      <c r="B155" s="1"/>
      <c r="D155" s="35"/>
      <c r="H155"/>
      <c r="I155"/>
      <c r="J155"/>
      <c r="L155"/>
      <c r="Y155"/>
    </row>
    <row r="156" spans="1:25" ht="25.5" customHeight="1">
      <c r="A156" s="1"/>
      <c r="B156" s="1"/>
      <c r="D156" s="35"/>
      <c r="H156"/>
      <c r="I156"/>
      <c r="J156"/>
      <c r="L156"/>
      <c r="Y156"/>
    </row>
    <row r="157" spans="1:25" ht="25.5" customHeight="1">
      <c r="A157" s="1"/>
      <c r="B157" s="1"/>
      <c r="D157" s="35"/>
      <c r="H157"/>
      <c r="I157"/>
      <c r="J157"/>
      <c r="L157"/>
      <c r="Y157"/>
    </row>
    <row r="158" spans="1:25" ht="25.5" customHeight="1">
      <c r="A158" s="1"/>
      <c r="B158" s="1"/>
      <c r="D158" s="35"/>
      <c r="H158"/>
      <c r="I158"/>
      <c r="J158"/>
      <c r="L158"/>
      <c r="Y158"/>
    </row>
    <row r="159" spans="1:25" ht="25.5" customHeight="1">
      <c r="A159" s="1"/>
      <c r="B159" s="1"/>
      <c r="D159" s="35"/>
      <c r="H159"/>
      <c r="I159"/>
      <c r="J159"/>
      <c r="L159"/>
      <c r="Y159"/>
    </row>
    <row r="160" spans="1:25" ht="25.5" customHeight="1">
      <c r="A160" s="1"/>
      <c r="B160" s="1"/>
      <c r="D160" s="35"/>
      <c r="H160"/>
      <c r="I160"/>
      <c r="J160"/>
      <c r="L160"/>
      <c r="Y160"/>
    </row>
    <row r="161" spans="1:25" ht="25.5" customHeight="1">
      <c r="A161" s="1"/>
      <c r="B161" s="1"/>
      <c r="D161" s="35"/>
      <c r="H161"/>
      <c r="I161"/>
      <c r="J161"/>
      <c r="L161"/>
      <c r="Y161"/>
    </row>
    <row r="162" spans="1:25" ht="25.5" customHeight="1">
      <c r="A162" s="1"/>
      <c r="B162" s="1"/>
      <c r="D162" s="35"/>
      <c r="H162"/>
      <c r="I162"/>
      <c r="J162"/>
      <c r="L162"/>
      <c r="Y162"/>
    </row>
    <row r="163" spans="1:25" ht="25.5" customHeight="1">
      <c r="A163" s="1"/>
      <c r="B163" s="1"/>
      <c r="D163" s="35"/>
      <c r="H163"/>
      <c r="I163"/>
      <c r="J163"/>
      <c r="L163"/>
      <c r="Y163"/>
    </row>
    <row r="164" spans="1:25" ht="25.5" customHeight="1">
      <c r="A164" s="1"/>
      <c r="B164" s="1"/>
      <c r="D164" s="35"/>
      <c r="H164"/>
      <c r="I164"/>
      <c r="J164"/>
      <c r="L164"/>
      <c r="Y164"/>
    </row>
    <row r="165" spans="1:25" ht="25.5" customHeight="1">
      <c r="A165" s="1"/>
      <c r="B165" s="1"/>
      <c r="D165" s="35"/>
      <c r="H165"/>
      <c r="I165"/>
      <c r="J165"/>
      <c r="L165"/>
      <c r="Y165"/>
    </row>
    <row r="166" spans="1:25" ht="25.5" customHeight="1">
      <c r="A166" s="1"/>
      <c r="B166" s="1"/>
      <c r="D166" s="35"/>
      <c r="H166"/>
      <c r="I166"/>
      <c r="J166"/>
      <c r="L166"/>
      <c r="Y166"/>
    </row>
    <row r="167" spans="1:25" ht="25.5" customHeight="1">
      <c r="A167" s="1"/>
      <c r="B167" s="1"/>
      <c r="D167" s="35"/>
      <c r="H167"/>
      <c r="I167"/>
      <c r="J167"/>
      <c r="L167"/>
      <c r="Y167"/>
    </row>
    <row r="168" spans="1:25" ht="25.5" customHeight="1">
      <c r="A168" s="1"/>
      <c r="B168" s="1"/>
      <c r="D168" s="35"/>
      <c r="H168"/>
      <c r="I168"/>
      <c r="J168"/>
      <c r="L168"/>
      <c r="Y168"/>
    </row>
    <row r="169" spans="1:25" ht="25.5" customHeight="1">
      <c r="A169" s="1"/>
      <c r="B169" s="1"/>
      <c r="D169" s="35"/>
      <c r="H169"/>
      <c r="I169"/>
      <c r="J169"/>
      <c r="L169"/>
      <c r="Y169"/>
    </row>
    <row r="170" spans="1:25" ht="25.5" customHeight="1">
      <c r="A170" s="1"/>
      <c r="B170" s="1"/>
      <c r="D170" s="35"/>
      <c r="H170"/>
      <c r="I170"/>
      <c r="J170"/>
      <c r="L170"/>
      <c r="Y170"/>
    </row>
    <row r="171" spans="1:25" ht="25.5" customHeight="1">
      <c r="A171" s="1"/>
      <c r="B171" s="1"/>
      <c r="D171" s="35"/>
      <c r="H171"/>
      <c r="I171"/>
      <c r="J171"/>
      <c r="L171"/>
      <c r="Y171"/>
    </row>
    <row r="172" spans="1:25" ht="25.5" customHeight="1">
      <c r="A172" s="1"/>
      <c r="B172" s="1"/>
      <c r="D172" s="35"/>
      <c r="H172"/>
      <c r="I172"/>
      <c r="J172"/>
      <c r="L172"/>
      <c r="Y172"/>
    </row>
    <row r="173" spans="1:25" ht="25.5" customHeight="1">
      <c r="A173" s="1"/>
      <c r="B173" s="1"/>
      <c r="D173" s="35"/>
      <c r="H173"/>
      <c r="I173"/>
      <c r="J173"/>
      <c r="L173"/>
      <c r="Y173"/>
    </row>
    <row r="174" spans="1:25" ht="25.5" customHeight="1">
      <c r="A174" s="1"/>
      <c r="B174" s="1"/>
      <c r="D174" s="35"/>
      <c r="H174"/>
      <c r="I174"/>
      <c r="J174"/>
      <c r="L174"/>
      <c r="Y174"/>
    </row>
    <row r="175" spans="1:25" ht="25.5" customHeight="1">
      <c r="A175" s="1"/>
      <c r="B175" s="1"/>
      <c r="D175" s="35"/>
      <c r="H175"/>
      <c r="I175"/>
      <c r="J175"/>
      <c r="L175"/>
      <c r="Y175"/>
    </row>
    <row r="176" spans="1:25" ht="25.5" customHeight="1">
      <c r="A176" s="1"/>
      <c r="B176" s="1"/>
      <c r="D176" s="35"/>
      <c r="H176"/>
      <c r="I176"/>
      <c r="J176"/>
      <c r="L176"/>
      <c r="Y176"/>
    </row>
    <row r="177" spans="1:25" ht="25.5" customHeight="1">
      <c r="A177" s="1"/>
      <c r="B177" s="1"/>
      <c r="D177" s="35"/>
      <c r="H177"/>
      <c r="I177"/>
      <c r="J177"/>
      <c r="L177"/>
      <c r="Y177"/>
    </row>
    <row r="178" spans="1:25" ht="25.5" customHeight="1">
      <c r="A178" s="1"/>
      <c r="B178" s="1"/>
      <c r="D178" s="35"/>
      <c r="H178"/>
      <c r="I178"/>
      <c r="J178"/>
      <c r="L178"/>
      <c r="Y178"/>
    </row>
    <row r="179" spans="1:25" ht="25.5" customHeight="1">
      <c r="A179" s="1"/>
      <c r="B179" s="1"/>
      <c r="D179" s="35"/>
      <c r="H179"/>
      <c r="I179"/>
      <c r="J179"/>
      <c r="L179"/>
      <c r="Y179"/>
    </row>
    <row r="180" spans="1:25" ht="25.5" customHeight="1">
      <c r="A180" s="1"/>
      <c r="B180" s="1"/>
      <c r="D180" s="35"/>
      <c r="H180"/>
      <c r="I180"/>
      <c r="J180"/>
      <c r="L180"/>
      <c r="Y180"/>
    </row>
    <row r="181" spans="1:25" ht="25.5" customHeight="1">
      <c r="A181" s="1"/>
      <c r="B181" s="1"/>
      <c r="D181" s="35"/>
      <c r="H181"/>
      <c r="I181"/>
      <c r="J181"/>
      <c r="L181"/>
      <c r="Y181"/>
    </row>
    <row r="182" spans="1:25" ht="25.5" customHeight="1">
      <c r="A182" s="1"/>
      <c r="B182" s="1"/>
      <c r="D182" s="35"/>
      <c r="H182"/>
      <c r="I182"/>
      <c r="J182"/>
      <c r="L182"/>
      <c r="Y182"/>
    </row>
    <row r="183" spans="1:25" ht="25.5" customHeight="1">
      <c r="A183" s="1"/>
      <c r="B183" s="1"/>
      <c r="D183" s="35"/>
      <c r="H183"/>
      <c r="I183"/>
      <c r="J183"/>
      <c r="L183"/>
      <c r="Y183"/>
    </row>
    <row r="184" spans="1:25" ht="25.5" customHeight="1">
      <c r="A184" s="1"/>
      <c r="B184" s="1"/>
      <c r="D184" s="35"/>
      <c r="H184"/>
      <c r="I184"/>
      <c r="J184"/>
      <c r="L184"/>
      <c r="Y184"/>
    </row>
    <row r="185" spans="1:25" ht="25.5" customHeight="1">
      <c r="A185" s="1"/>
      <c r="B185" s="1"/>
      <c r="D185" s="35"/>
      <c r="H185"/>
      <c r="I185"/>
      <c r="J185"/>
      <c r="L185"/>
      <c r="Y185"/>
    </row>
    <row r="186" spans="1:25" ht="25.5" customHeight="1">
      <c r="A186" s="1"/>
      <c r="B186" s="1"/>
      <c r="D186" s="35"/>
      <c r="H186"/>
      <c r="I186"/>
      <c r="J186"/>
      <c r="L186"/>
      <c r="Y186"/>
    </row>
    <row r="187" spans="1:25" ht="25.5" customHeight="1">
      <c r="A187" s="1"/>
      <c r="B187" s="1"/>
      <c r="D187" s="35"/>
      <c r="H187"/>
      <c r="I187"/>
      <c r="J187"/>
      <c r="L187"/>
      <c r="Y187"/>
    </row>
    <row r="188" spans="1:25" ht="25.5" customHeight="1">
      <c r="A188" s="1"/>
      <c r="B188" s="1"/>
      <c r="D188" s="35"/>
      <c r="H188"/>
      <c r="I188"/>
      <c r="J188"/>
      <c r="L188"/>
      <c r="Y188"/>
    </row>
    <row r="189" spans="1:25" ht="25.5" customHeight="1">
      <c r="A189" s="1"/>
      <c r="B189" s="1"/>
      <c r="D189" s="35"/>
      <c r="H189"/>
      <c r="I189"/>
      <c r="J189"/>
      <c r="L189"/>
      <c r="Y189"/>
    </row>
    <row r="190" spans="1:25" ht="25.5" customHeight="1">
      <c r="A190" s="1"/>
      <c r="B190" s="1"/>
      <c r="D190" s="35"/>
      <c r="H190"/>
      <c r="I190"/>
      <c r="J190"/>
      <c r="L190"/>
      <c r="Y190"/>
    </row>
    <row r="191" spans="1:25" ht="25.5" customHeight="1">
      <c r="A191" s="1"/>
      <c r="B191" s="1"/>
      <c r="D191" s="35"/>
      <c r="H191"/>
      <c r="I191"/>
      <c r="J191"/>
      <c r="L191"/>
      <c r="Y191"/>
    </row>
    <row r="192" spans="1:25" ht="25.5" customHeight="1">
      <c r="A192" s="1"/>
      <c r="B192" s="1"/>
      <c r="D192" s="35"/>
      <c r="H192"/>
      <c r="I192"/>
      <c r="J192"/>
      <c r="L192"/>
      <c r="Y192"/>
    </row>
    <row r="193" spans="1:25" ht="25.5" customHeight="1">
      <c r="A193" s="1"/>
      <c r="B193" s="1"/>
      <c r="D193" s="35"/>
      <c r="H193"/>
      <c r="I193"/>
      <c r="J193"/>
      <c r="L193"/>
      <c r="Y193"/>
    </row>
    <row r="194" spans="1:25" ht="25.5" customHeight="1">
      <c r="A194" s="1"/>
      <c r="B194" s="1"/>
      <c r="D194" s="35"/>
      <c r="H194"/>
      <c r="I194"/>
      <c r="J194"/>
      <c r="L194"/>
      <c r="Y194"/>
    </row>
    <row r="195" spans="1:25" ht="25.5" customHeight="1">
      <c r="A195" s="1"/>
      <c r="B195" s="1"/>
      <c r="D195" s="35"/>
      <c r="H195"/>
      <c r="I195"/>
      <c r="J195"/>
      <c r="L195"/>
      <c r="Y195"/>
    </row>
    <row r="196" spans="1:25" ht="25.5" customHeight="1">
      <c r="A196" s="1"/>
      <c r="B196" s="1"/>
      <c r="D196" s="35"/>
      <c r="H196"/>
      <c r="I196"/>
      <c r="J196"/>
      <c r="L196"/>
      <c r="Y196"/>
    </row>
    <row r="197" spans="1:25" ht="25.5" customHeight="1">
      <c r="A197" s="1"/>
      <c r="B197" s="1"/>
      <c r="D197" s="35"/>
      <c r="H197"/>
      <c r="I197"/>
      <c r="J197"/>
      <c r="L197"/>
      <c r="Y197"/>
    </row>
    <row r="198" spans="1:25" ht="25.5" customHeight="1">
      <c r="A198" s="1"/>
      <c r="B198" s="1"/>
      <c r="D198" s="35"/>
      <c r="H198"/>
      <c r="I198"/>
      <c r="J198"/>
      <c r="L198"/>
      <c r="Y198"/>
    </row>
    <row r="199" spans="1:25" ht="25.5" customHeight="1">
      <c r="A199" s="1"/>
      <c r="B199" s="1"/>
      <c r="D199" s="35"/>
      <c r="H199"/>
      <c r="I199"/>
      <c r="J199"/>
      <c r="L199"/>
      <c r="Y199"/>
    </row>
    <row r="200" spans="1:25" ht="25.5" customHeight="1">
      <c r="A200" s="1"/>
      <c r="B200" s="1"/>
      <c r="D200" s="35"/>
      <c r="H200"/>
      <c r="I200"/>
      <c r="J200"/>
      <c r="L200"/>
      <c r="Y200"/>
    </row>
    <row r="201" spans="1:25" ht="25.5" customHeight="1">
      <c r="A201" s="1"/>
      <c r="B201" s="1"/>
      <c r="D201" s="35"/>
      <c r="H201"/>
      <c r="I201"/>
      <c r="J201"/>
      <c r="L201"/>
      <c r="Y201"/>
    </row>
    <row r="202" spans="1:25" ht="25.5" customHeight="1">
      <c r="A202" s="1"/>
      <c r="B202" s="1"/>
      <c r="D202" s="35"/>
      <c r="H202"/>
      <c r="I202"/>
      <c r="J202"/>
      <c r="L202"/>
      <c r="Y202"/>
    </row>
    <row r="203" spans="1:25" ht="25.5" customHeight="1">
      <c r="A203" s="1"/>
      <c r="B203" s="1"/>
      <c r="D203" s="35"/>
      <c r="H203"/>
      <c r="I203"/>
      <c r="J203"/>
      <c r="L203"/>
      <c r="Y203"/>
    </row>
    <row r="204" spans="1:25" ht="25.5" customHeight="1">
      <c r="A204" s="1"/>
      <c r="B204" s="1"/>
      <c r="D204" s="35"/>
      <c r="H204"/>
      <c r="I204"/>
      <c r="J204"/>
      <c r="L204"/>
      <c r="Y204"/>
    </row>
    <row r="205" spans="1:25" ht="25.5" customHeight="1">
      <c r="A205" s="1"/>
      <c r="B205" s="1"/>
      <c r="D205" s="35"/>
      <c r="H205"/>
      <c r="I205"/>
      <c r="J205"/>
      <c r="L205"/>
      <c r="Y205"/>
    </row>
    <row r="206" spans="1:25" ht="25.5" customHeight="1">
      <c r="A206" s="1"/>
      <c r="B206" s="1"/>
      <c r="D206" s="35"/>
      <c r="H206"/>
      <c r="I206"/>
      <c r="J206"/>
      <c r="L206"/>
      <c r="Y206"/>
    </row>
    <row r="207" spans="1:25" ht="25.5" customHeight="1">
      <c r="A207" s="1"/>
      <c r="B207" s="1"/>
      <c r="D207" s="35"/>
      <c r="H207"/>
      <c r="I207"/>
      <c r="J207"/>
      <c r="L207"/>
      <c r="Y207"/>
    </row>
    <row r="208" spans="1:25" ht="25.5" customHeight="1">
      <c r="A208" s="1"/>
      <c r="B208" s="1"/>
      <c r="D208" s="35"/>
      <c r="H208"/>
      <c r="I208"/>
      <c r="J208"/>
      <c r="L208"/>
      <c r="Y208"/>
    </row>
    <row r="209" spans="1:25" ht="25.5" customHeight="1">
      <c r="A209" s="1"/>
      <c r="B209" s="1"/>
      <c r="D209" s="35"/>
      <c r="H209"/>
      <c r="I209"/>
      <c r="J209"/>
      <c r="L209"/>
      <c r="Y209"/>
    </row>
    <row r="210" spans="1:25" ht="25.5" customHeight="1">
      <c r="A210" s="1"/>
      <c r="B210" s="1"/>
      <c r="D210" s="35"/>
      <c r="H210"/>
      <c r="I210"/>
      <c r="J210"/>
      <c r="L210"/>
      <c r="Y210"/>
    </row>
    <row r="211" spans="1:25" ht="25.5" customHeight="1">
      <c r="A211" s="1"/>
      <c r="B211" s="1"/>
      <c r="D211" s="35"/>
      <c r="H211"/>
      <c r="I211"/>
      <c r="J211"/>
      <c r="L211"/>
      <c r="Y211"/>
    </row>
    <row r="212" spans="1:25" ht="25.5" customHeight="1">
      <c r="A212" s="1"/>
      <c r="B212" s="1"/>
      <c r="D212" s="35"/>
      <c r="H212"/>
      <c r="I212"/>
      <c r="J212"/>
      <c r="L212"/>
      <c r="Y212"/>
    </row>
    <row r="213" spans="1:25" ht="25.5" customHeight="1">
      <c r="A213" s="1"/>
      <c r="B213" s="1"/>
      <c r="D213" s="35"/>
      <c r="H213"/>
      <c r="I213"/>
      <c r="J213"/>
      <c r="L213"/>
      <c r="Y213"/>
    </row>
    <row r="214" spans="1:25" ht="25.5" customHeight="1">
      <c r="A214" s="1"/>
      <c r="B214" s="1"/>
      <c r="D214" s="35"/>
      <c r="H214"/>
      <c r="I214"/>
      <c r="J214"/>
      <c r="L214"/>
      <c r="Y214"/>
    </row>
    <row r="215" spans="1:25" ht="25.5" customHeight="1">
      <c r="A215" s="1"/>
      <c r="B215" s="1"/>
      <c r="D215" s="35"/>
      <c r="H215"/>
      <c r="I215"/>
      <c r="J215"/>
      <c r="L215"/>
      <c r="Y215"/>
    </row>
    <row r="216" spans="1:25" ht="25.5" customHeight="1">
      <c r="A216" s="1"/>
      <c r="B216" s="1"/>
      <c r="D216" s="35"/>
      <c r="H216"/>
      <c r="I216"/>
      <c r="J216"/>
      <c r="L216"/>
      <c r="Y216"/>
    </row>
    <row r="217" spans="1:25" ht="25.5" customHeight="1">
      <c r="A217" s="1"/>
      <c r="B217" s="1"/>
      <c r="D217" s="35"/>
      <c r="H217"/>
      <c r="I217"/>
      <c r="J217"/>
      <c r="L217"/>
      <c r="Y217"/>
    </row>
    <row r="218" spans="1:25" ht="25.5" customHeight="1">
      <c r="A218" s="1"/>
      <c r="B218" s="1"/>
      <c r="D218" s="35"/>
      <c r="H218"/>
      <c r="I218"/>
      <c r="J218"/>
      <c r="L218"/>
      <c r="Y218"/>
    </row>
    <row r="219" spans="1:25" ht="25.5" customHeight="1">
      <c r="A219" s="1"/>
      <c r="B219" s="1"/>
      <c r="D219" s="35"/>
      <c r="H219"/>
      <c r="I219"/>
      <c r="J219"/>
      <c r="L219"/>
      <c r="Y219"/>
    </row>
    <row r="220" spans="1:25" ht="25.5" customHeight="1">
      <c r="A220" s="1"/>
      <c r="B220" s="1"/>
      <c r="D220" s="35"/>
      <c r="H220"/>
      <c r="I220"/>
      <c r="J220"/>
      <c r="L220"/>
      <c r="Y220"/>
    </row>
    <row r="221" spans="1:25" ht="25.5" customHeight="1">
      <c r="A221" s="1"/>
      <c r="B221" s="1"/>
      <c r="D221" s="35"/>
      <c r="H221"/>
      <c r="I221"/>
      <c r="J221"/>
      <c r="L221"/>
      <c r="Y221"/>
    </row>
    <row r="222" spans="1:25" ht="25.5" customHeight="1">
      <c r="A222" s="1"/>
      <c r="B222" s="1"/>
      <c r="D222" s="35"/>
      <c r="H222"/>
      <c r="I222"/>
      <c r="J222"/>
      <c r="L222"/>
      <c r="Y222"/>
    </row>
    <row r="223" spans="1:25" ht="25.5" customHeight="1">
      <c r="A223" s="1"/>
      <c r="B223" s="1"/>
      <c r="D223" s="35"/>
      <c r="H223"/>
      <c r="I223"/>
      <c r="J223"/>
      <c r="L223"/>
      <c r="Y223"/>
    </row>
    <row r="224" spans="1:25" ht="25.5" customHeight="1">
      <c r="A224" s="1"/>
      <c r="B224" s="1"/>
      <c r="D224" s="35"/>
      <c r="H224"/>
      <c r="I224"/>
      <c r="J224"/>
      <c r="L224"/>
      <c r="Y224"/>
    </row>
    <row r="225" spans="1:25" ht="25.5" customHeight="1">
      <c r="A225" s="1"/>
      <c r="B225" s="1"/>
      <c r="D225" s="35"/>
      <c r="H225"/>
      <c r="I225"/>
      <c r="J225"/>
      <c r="L225"/>
      <c r="Y225"/>
    </row>
    <row r="226" spans="1:25" ht="25.5" customHeight="1">
      <c r="A226" s="1"/>
      <c r="B226" s="1"/>
      <c r="D226" s="35"/>
      <c r="H226"/>
      <c r="I226"/>
      <c r="J226"/>
      <c r="L226"/>
      <c r="Y226"/>
    </row>
    <row r="227" spans="1:25" ht="25.5" customHeight="1">
      <c r="A227" s="1"/>
      <c r="B227" s="1"/>
      <c r="D227" s="35"/>
      <c r="H227"/>
      <c r="I227"/>
      <c r="J227"/>
      <c r="L227"/>
      <c r="Y227"/>
    </row>
    <row r="228" spans="1:25" ht="25.5" customHeight="1">
      <c r="A228" s="1"/>
      <c r="B228" s="1"/>
      <c r="D228" s="35"/>
      <c r="H228"/>
      <c r="I228"/>
      <c r="J228"/>
      <c r="L228"/>
      <c r="Y228"/>
    </row>
    <row r="229" spans="1:25" ht="25.5" customHeight="1">
      <c r="A229" s="1"/>
      <c r="B229" s="1"/>
      <c r="D229" s="35"/>
      <c r="H229"/>
      <c r="I229"/>
      <c r="J229"/>
      <c r="L229"/>
      <c r="Y229"/>
    </row>
    <row r="230" spans="1:25" ht="25.5" customHeight="1">
      <c r="A230" s="1"/>
      <c r="B230" s="1"/>
      <c r="D230" s="35"/>
      <c r="H230"/>
      <c r="I230"/>
      <c r="J230"/>
      <c r="L230"/>
      <c r="Y230"/>
    </row>
    <row r="231" spans="1:25" ht="25.5" customHeight="1">
      <c r="A231" s="1"/>
      <c r="B231" s="1"/>
      <c r="D231" s="35"/>
      <c r="H231"/>
      <c r="I231"/>
      <c r="J231"/>
      <c r="L231"/>
      <c r="Y231"/>
    </row>
    <row r="232" spans="1:25" ht="25.5" customHeight="1">
      <c r="A232" s="1"/>
      <c r="B232" s="1"/>
      <c r="D232" s="35"/>
      <c r="H232"/>
      <c r="I232"/>
      <c r="J232"/>
      <c r="L232"/>
      <c r="Y232"/>
    </row>
    <row r="233" spans="1:25" ht="25.5" customHeight="1">
      <c r="A233" s="1"/>
      <c r="B233" s="1"/>
      <c r="D233" s="35"/>
      <c r="H233"/>
      <c r="I233"/>
      <c r="J233"/>
      <c r="L233"/>
      <c r="Y233"/>
    </row>
    <row r="234" spans="1:25" ht="25.5" customHeight="1">
      <c r="A234" s="1"/>
      <c r="B234" s="1"/>
      <c r="D234" s="35"/>
      <c r="H234"/>
      <c r="I234"/>
      <c r="J234"/>
      <c r="L234"/>
      <c r="Y234"/>
    </row>
    <row r="235" spans="1:25" ht="25.5" customHeight="1">
      <c r="A235" s="1"/>
      <c r="B235" s="1"/>
      <c r="D235" s="35"/>
      <c r="H235"/>
      <c r="I235"/>
      <c r="J235"/>
      <c r="L235"/>
      <c r="Y235"/>
    </row>
    <row r="236" spans="1:25" ht="25.5" customHeight="1">
      <c r="A236" s="1"/>
      <c r="B236" s="1"/>
      <c r="D236" s="35"/>
      <c r="H236"/>
      <c r="I236"/>
      <c r="J236"/>
      <c r="L236"/>
      <c r="Y236"/>
    </row>
    <row r="237" spans="1:25" ht="25.5" customHeight="1">
      <c r="A237" s="1"/>
      <c r="B237" s="1"/>
      <c r="D237" s="35"/>
      <c r="H237"/>
      <c r="I237"/>
      <c r="J237"/>
      <c r="L237"/>
      <c r="Y237"/>
    </row>
    <row r="238" spans="1:25" ht="25.5" customHeight="1">
      <c r="A238" s="1"/>
      <c r="B238" s="1"/>
      <c r="D238" s="35"/>
      <c r="H238"/>
      <c r="I238"/>
      <c r="J238"/>
      <c r="L238"/>
      <c r="Y238"/>
    </row>
    <row r="239" spans="1:25" ht="25.5" customHeight="1">
      <c r="A239" s="1"/>
      <c r="B239" s="1"/>
      <c r="D239" s="35"/>
      <c r="H239"/>
      <c r="I239"/>
      <c r="J239"/>
      <c r="L239"/>
      <c r="Y239"/>
    </row>
    <row r="240" spans="1:25" ht="25.5" customHeight="1">
      <c r="A240" s="1"/>
      <c r="B240" s="1"/>
      <c r="D240" s="35"/>
      <c r="H240"/>
      <c r="I240"/>
      <c r="J240"/>
      <c r="L240"/>
      <c r="Y240"/>
    </row>
    <row r="241" spans="1:25" ht="25.5" customHeight="1">
      <c r="A241" s="1"/>
      <c r="B241" s="1"/>
      <c r="D241" s="35"/>
      <c r="H241"/>
      <c r="I241"/>
      <c r="J241"/>
      <c r="L241"/>
      <c r="Y241"/>
    </row>
    <row r="242" spans="1:25" ht="25.5" customHeight="1">
      <c r="A242" s="1"/>
      <c r="B242" s="1"/>
      <c r="D242" s="35"/>
      <c r="H242"/>
      <c r="I242"/>
      <c r="J242"/>
      <c r="L242"/>
      <c r="Y242"/>
    </row>
    <row r="243" spans="1:25" ht="25.5" customHeight="1">
      <c r="A243" s="1"/>
      <c r="B243" s="1"/>
      <c r="D243" s="35"/>
      <c r="H243"/>
      <c r="I243"/>
      <c r="J243"/>
      <c r="L243"/>
      <c r="Y243"/>
    </row>
    <row r="244" spans="1:25" ht="25.5" customHeight="1">
      <c r="A244" s="1"/>
      <c r="B244" s="1"/>
      <c r="D244" s="35"/>
      <c r="H244"/>
      <c r="I244"/>
      <c r="J244"/>
      <c r="L244"/>
      <c r="Y244"/>
    </row>
    <row r="245" spans="1:25" ht="25.5" customHeight="1">
      <c r="A245" s="1"/>
      <c r="B245" s="1"/>
      <c r="D245" s="35"/>
      <c r="H245"/>
      <c r="I245"/>
      <c r="J245"/>
      <c r="L245"/>
      <c r="Y245"/>
    </row>
    <row r="246" spans="1:25" ht="25.5" customHeight="1">
      <c r="A246" s="1"/>
      <c r="B246" s="1"/>
      <c r="D246" s="35"/>
      <c r="H246"/>
      <c r="I246"/>
      <c r="J246"/>
      <c r="L246"/>
      <c r="Y246"/>
    </row>
    <row r="247" spans="1:25" ht="25.5" customHeight="1">
      <c r="A247" s="1"/>
      <c r="B247" s="1"/>
      <c r="D247" s="35"/>
      <c r="H247"/>
      <c r="I247"/>
      <c r="J247"/>
      <c r="L247"/>
      <c r="Y247"/>
    </row>
    <row r="248" spans="1:25" ht="25.5" customHeight="1">
      <c r="A248" s="1"/>
      <c r="B248" s="1"/>
      <c r="D248" s="35"/>
      <c r="H248"/>
      <c r="I248"/>
      <c r="J248"/>
      <c r="L248"/>
      <c r="Y248"/>
    </row>
    <row r="249" spans="1:25" ht="25.5" customHeight="1">
      <c r="A249" s="1"/>
      <c r="B249" s="1"/>
      <c r="D249" s="35"/>
      <c r="H249"/>
      <c r="I249"/>
      <c r="J249"/>
      <c r="L249"/>
      <c r="Y249"/>
    </row>
    <row r="250" spans="1:25" ht="25.5" customHeight="1">
      <c r="A250" s="1"/>
      <c r="B250" s="1"/>
      <c r="D250" s="35"/>
      <c r="H250"/>
      <c r="I250"/>
      <c r="J250"/>
      <c r="L250"/>
      <c r="Y250"/>
    </row>
    <row r="251" spans="1:25" ht="25.5" customHeight="1">
      <c r="A251" s="1"/>
      <c r="B251" s="1"/>
      <c r="D251" s="35"/>
      <c r="H251"/>
      <c r="I251"/>
      <c r="J251"/>
      <c r="L251"/>
      <c r="Y251"/>
    </row>
    <row r="252" spans="1:25" ht="25.5" customHeight="1">
      <c r="A252" s="1"/>
      <c r="B252" s="1"/>
      <c r="D252" s="35"/>
      <c r="H252"/>
      <c r="I252"/>
      <c r="J252"/>
      <c r="L252"/>
      <c r="Y252"/>
    </row>
    <row r="253" spans="1:25" ht="25.5" customHeight="1">
      <c r="A253" s="1"/>
      <c r="B253" s="1"/>
      <c r="D253" s="35"/>
      <c r="H253"/>
      <c r="I253"/>
      <c r="J253"/>
      <c r="L253"/>
      <c r="Y253"/>
    </row>
    <row r="254" spans="1:25" ht="25.5" customHeight="1">
      <c r="A254" s="1"/>
      <c r="B254" s="1"/>
      <c r="D254" s="35"/>
      <c r="H254"/>
      <c r="I254"/>
      <c r="J254"/>
      <c r="L254"/>
      <c r="Y254"/>
    </row>
    <row r="255" spans="1:25" ht="25.5" customHeight="1">
      <c r="A255" s="1"/>
      <c r="B255" s="1"/>
      <c r="D255" s="35"/>
      <c r="H255"/>
      <c r="I255"/>
      <c r="J255"/>
      <c r="L255"/>
      <c r="Y255"/>
    </row>
    <row r="256" spans="1:25" ht="25.5" customHeight="1">
      <c r="A256" s="1"/>
      <c r="B256" s="1"/>
      <c r="D256" s="35"/>
      <c r="H256"/>
      <c r="I256"/>
      <c r="J256"/>
      <c r="L256"/>
      <c r="Y256"/>
    </row>
    <row r="257" spans="1:25" ht="25.5" customHeight="1">
      <c r="A257" s="1"/>
      <c r="B257" s="1"/>
      <c r="D257" s="35"/>
      <c r="H257"/>
      <c r="I257"/>
      <c r="J257"/>
      <c r="L257"/>
      <c r="Y257"/>
    </row>
    <row r="258" spans="1:25" ht="25.5" customHeight="1">
      <c r="A258" s="1"/>
      <c r="B258" s="1"/>
      <c r="D258" s="35"/>
      <c r="H258"/>
      <c r="I258"/>
      <c r="J258"/>
      <c r="L258"/>
      <c r="Y258"/>
    </row>
    <row r="259" spans="1:25" ht="25.5" customHeight="1">
      <c r="A259" s="1"/>
      <c r="B259" s="1"/>
      <c r="D259" s="35"/>
      <c r="H259"/>
      <c r="I259"/>
      <c r="J259"/>
      <c r="L259"/>
      <c r="Y259"/>
    </row>
    <row r="260" spans="1:25" ht="25.5" customHeight="1">
      <c r="A260" s="1"/>
      <c r="B260" s="1"/>
      <c r="D260" s="35"/>
      <c r="H260"/>
      <c r="I260"/>
      <c r="J260"/>
      <c r="L260"/>
      <c r="Y260"/>
    </row>
    <row r="261" spans="1:25" ht="25.5" customHeight="1">
      <c r="A261" s="1"/>
      <c r="B261" s="1"/>
      <c r="D261" s="35"/>
      <c r="H261"/>
      <c r="I261"/>
      <c r="J261"/>
      <c r="L261"/>
      <c r="Y261"/>
    </row>
    <row r="262" spans="1:25" ht="25.5" customHeight="1">
      <c r="A262" s="1"/>
      <c r="B262" s="1"/>
      <c r="D262" s="35"/>
      <c r="H262"/>
      <c r="I262"/>
      <c r="J262"/>
      <c r="L262"/>
      <c r="Y262"/>
    </row>
    <row r="263" spans="1:25" ht="25.5" customHeight="1">
      <c r="A263" s="1"/>
      <c r="B263" s="1"/>
      <c r="D263" s="35"/>
      <c r="H263"/>
      <c r="I263"/>
      <c r="J263"/>
      <c r="L263"/>
      <c r="Y263"/>
    </row>
    <row r="264" spans="1:25" ht="25.5" customHeight="1">
      <c r="A264" s="1"/>
      <c r="B264" s="1"/>
      <c r="D264" s="35"/>
      <c r="H264"/>
      <c r="I264"/>
      <c r="J264"/>
      <c r="L264"/>
      <c r="Y264"/>
    </row>
    <row r="265" spans="1:25" ht="25.5" customHeight="1">
      <c r="A265" s="1"/>
      <c r="B265" s="1"/>
      <c r="D265" s="35"/>
      <c r="H265"/>
      <c r="I265"/>
      <c r="J265"/>
      <c r="L265"/>
      <c r="Y265"/>
    </row>
    <row r="266" spans="1:25" ht="25.5" customHeight="1">
      <c r="A266" s="1"/>
      <c r="B266" s="1"/>
      <c r="D266" s="35"/>
      <c r="H266"/>
      <c r="I266"/>
      <c r="J266"/>
      <c r="L266"/>
      <c r="Y266"/>
    </row>
    <row r="267" spans="1:25" ht="25.5" customHeight="1">
      <c r="A267" s="1"/>
      <c r="B267" s="1"/>
      <c r="D267" s="35"/>
      <c r="H267"/>
      <c r="I267"/>
      <c r="J267"/>
      <c r="L267"/>
      <c r="Y267"/>
    </row>
    <row r="268" spans="1:25" ht="25.5" customHeight="1">
      <c r="A268" s="1"/>
      <c r="B268" s="1"/>
      <c r="D268" s="35"/>
      <c r="H268"/>
      <c r="I268"/>
      <c r="J268"/>
      <c r="L268"/>
      <c r="Y268"/>
    </row>
    <row r="269" spans="1:25" ht="25.5" customHeight="1">
      <c r="A269" s="1"/>
      <c r="B269" s="1"/>
      <c r="D269" s="35"/>
      <c r="H269"/>
      <c r="I269"/>
      <c r="J269"/>
      <c r="L269"/>
      <c r="Y269"/>
    </row>
    <row r="270" spans="1:25" ht="25.5" customHeight="1">
      <c r="A270" s="1"/>
      <c r="B270" s="1"/>
      <c r="D270" s="35"/>
      <c r="H270"/>
      <c r="I270"/>
      <c r="J270"/>
      <c r="L270"/>
      <c r="Y270"/>
    </row>
    <row r="271" spans="1:25" ht="25.5" customHeight="1">
      <c r="A271" s="1"/>
      <c r="B271" s="1"/>
      <c r="D271" s="35"/>
      <c r="H271"/>
      <c r="I271"/>
      <c r="J271"/>
      <c r="L271"/>
      <c r="Y271"/>
    </row>
    <row r="272" spans="1:25" ht="25.5" customHeight="1">
      <c r="A272" s="1"/>
      <c r="B272" s="1"/>
      <c r="D272" s="35"/>
      <c r="H272"/>
      <c r="I272"/>
      <c r="J272"/>
      <c r="L272"/>
      <c r="Y272"/>
    </row>
    <row r="273" spans="1:25" ht="25.5" customHeight="1">
      <c r="A273" s="1"/>
      <c r="B273" s="1"/>
      <c r="D273" s="35"/>
      <c r="H273"/>
      <c r="I273"/>
      <c r="J273"/>
      <c r="L273"/>
      <c r="Y273"/>
    </row>
    <row r="274" spans="1:25" ht="25.5" customHeight="1">
      <c r="A274" s="1"/>
      <c r="B274" s="1"/>
      <c r="D274" s="35"/>
      <c r="H274"/>
      <c r="I274"/>
      <c r="J274"/>
      <c r="L274"/>
      <c r="Y274"/>
    </row>
    <row r="275" spans="1:25" ht="25.5" customHeight="1">
      <c r="A275" s="1"/>
      <c r="B275" s="1"/>
      <c r="D275" s="35"/>
      <c r="H275"/>
      <c r="I275"/>
      <c r="J275"/>
      <c r="L275"/>
      <c r="Y275"/>
    </row>
    <row r="276" spans="1:25" ht="25.5" customHeight="1">
      <c r="A276" s="1"/>
      <c r="B276" s="1"/>
      <c r="C276" s="133" t="s">
        <v>96</v>
      </c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Y276"/>
    </row>
    <row r="277" spans="1:25" ht="25.5" customHeight="1">
      <c r="A277" s="1"/>
      <c r="B277" s="1"/>
      <c r="Y277"/>
    </row>
    <row r="278" spans="1:25" ht="25.5" customHeight="1">
      <c r="A278" s="1"/>
      <c r="B278" s="1"/>
      <c r="Y278"/>
    </row>
    <row r="279" spans="1:25" ht="25.5" customHeight="1">
      <c r="A279" s="1"/>
      <c r="B279" s="1"/>
      <c r="Y279"/>
    </row>
    <row r="280" spans="1:25" ht="25.5" customHeight="1">
      <c r="A280" s="1"/>
      <c r="B280" s="1"/>
      <c r="Y280"/>
    </row>
    <row r="281" spans="1:25" ht="25.5" customHeight="1">
      <c r="A281" s="1"/>
      <c r="B281" s="1"/>
      <c r="Y281"/>
    </row>
    <row r="282" spans="1:25" ht="25.5" customHeight="1">
      <c r="A282" s="1"/>
      <c r="B282" s="1"/>
      <c r="Y282"/>
    </row>
    <row r="283" spans="1:25" ht="25.5" customHeight="1">
      <c r="A283" s="1"/>
      <c r="B283" s="1"/>
      <c r="Y283"/>
    </row>
    <row r="284" spans="1:25" ht="18" customHeight="1">
      <c r="A284" s="1"/>
      <c r="B284" s="1"/>
    </row>
    <row r="285" spans="1:25" ht="18" customHeight="1"/>
  </sheetData>
  <mergeCells count="105">
    <mergeCell ref="X39:X43"/>
    <mergeCell ref="Y39:Y43"/>
    <mergeCell ref="G39:G43"/>
    <mergeCell ref="H39:H43"/>
    <mergeCell ref="I39:I43"/>
    <mergeCell ref="J39:J43"/>
    <mergeCell ref="C52:W52"/>
    <mergeCell ref="I12:J12"/>
    <mergeCell ref="M12:N12"/>
    <mergeCell ref="R12:T12"/>
    <mergeCell ref="U12:W12"/>
    <mergeCell ref="I13:J13"/>
    <mergeCell ref="M13:N13"/>
    <mergeCell ref="R13:T13"/>
    <mergeCell ref="U13:W13"/>
    <mergeCell ref="M35:N35"/>
    <mergeCell ref="M36:N36"/>
    <mergeCell ref="M37:N37"/>
    <mergeCell ref="M38:N38"/>
    <mergeCell ref="M39:N39"/>
    <mergeCell ref="M50:N50"/>
    <mergeCell ref="M51:N51"/>
    <mergeCell ref="I14:J14"/>
    <mergeCell ref="M14:N14"/>
    <mergeCell ref="C276:W276"/>
    <mergeCell ref="I15:J15"/>
    <mergeCell ref="M15:N15"/>
    <mergeCell ref="R15:T15"/>
    <mergeCell ref="U15:W15"/>
    <mergeCell ref="I16:J16"/>
    <mergeCell ref="M16:N16"/>
    <mergeCell ref="R16:T16"/>
    <mergeCell ref="U16:W16"/>
    <mergeCell ref="M20:N20"/>
    <mergeCell ref="M21:N21"/>
    <mergeCell ref="M22:N22"/>
    <mergeCell ref="M23:N23"/>
    <mergeCell ref="M24:N24"/>
    <mergeCell ref="C17:W17"/>
    <mergeCell ref="M49:N49"/>
    <mergeCell ref="E20:E38"/>
    <mergeCell ref="D20:D38"/>
    <mergeCell ref="C20:C38"/>
    <mergeCell ref="C1:E4"/>
    <mergeCell ref="F1:T4"/>
    <mergeCell ref="U1:W1"/>
    <mergeCell ref="U2:V2"/>
    <mergeCell ref="U3:W4"/>
    <mergeCell ref="V7:W7"/>
    <mergeCell ref="Q8:R8"/>
    <mergeCell ref="S8:T8"/>
    <mergeCell ref="V8:W8"/>
    <mergeCell ref="F8:G8"/>
    <mergeCell ref="H8:I8"/>
    <mergeCell ref="J8:K8"/>
    <mergeCell ref="L8:M8"/>
    <mergeCell ref="O8:P8"/>
    <mergeCell ref="C6:W6"/>
    <mergeCell ref="F7:G7"/>
    <mergeCell ref="H7:I7"/>
    <mergeCell ref="J7:K7"/>
    <mergeCell ref="L7:M7"/>
    <mergeCell ref="O7:P7"/>
    <mergeCell ref="Q7:R7"/>
    <mergeCell ref="S7:T7"/>
    <mergeCell ref="C5:W5"/>
    <mergeCell ref="C9:H9"/>
    <mergeCell ref="I9:P9"/>
    <mergeCell ref="Q9:W9"/>
    <mergeCell ref="I11:J11"/>
    <mergeCell ref="M11:N11"/>
    <mergeCell ref="R11:T11"/>
    <mergeCell ref="U11:W11"/>
    <mergeCell ref="I10:J10"/>
    <mergeCell ref="M10:N10"/>
    <mergeCell ref="R10:T10"/>
    <mergeCell ref="U10:W10"/>
    <mergeCell ref="R14:T14"/>
    <mergeCell ref="U14:W14"/>
    <mergeCell ref="M46:N46"/>
    <mergeCell ref="M25:N25"/>
    <mergeCell ref="M26:N26"/>
    <mergeCell ref="M33:N33"/>
    <mergeCell ref="M34:N34"/>
    <mergeCell ref="M47:N47"/>
    <mergeCell ref="M48:N48"/>
    <mergeCell ref="M45:N45"/>
    <mergeCell ref="M40:N40"/>
    <mergeCell ref="M41:N41"/>
    <mergeCell ref="M42:N42"/>
    <mergeCell ref="M43:N43"/>
    <mergeCell ref="M44:N44"/>
    <mergeCell ref="Y20:Y38"/>
    <mergeCell ref="J20:J38"/>
    <mergeCell ref="I20:I38"/>
    <mergeCell ref="H20:H38"/>
    <mergeCell ref="G20:G38"/>
    <mergeCell ref="F20:F38"/>
    <mergeCell ref="X20:X38"/>
    <mergeCell ref="M27:N27"/>
    <mergeCell ref="M28:N28"/>
    <mergeCell ref="M29:N29"/>
    <mergeCell ref="M30:N30"/>
    <mergeCell ref="M31:N31"/>
    <mergeCell ref="M32:N32"/>
  </mergeCells>
  <dataValidations count="1">
    <dataValidation allowBlank="1" showInputMessage="1" showErrorMessage="1" sqref="L20:L51" xr:uid="{A5BCD744-9600-4F2E-8BF7-DDD724D2F398}"/>
  </dataValidations>
  <hyperlinks>
    <hyperlink ref="Y20:Y38" r:id="rId1" display="SOPORTE" xr:uid="{994A2A67-61CA-438F-84BE-AFA18E7F2006}"/>
    <hyperlink ref="Y19" r:id="rId2" xr:uid="{00F31ED1-A63D-4DF2-97D1-0931783475D4}"/>
    <hyperlink ref="Y39:Y43" r:id="rId3" display="SOPORTE" xr:uid="{53F6315F-5684-4F34-BDB5-4D35C3CD962B}"/>
  </hyperlinks>
  <pageMargins left="0.7" right="0.7" top="0.75" bottom="0.75" header="0.3" footer="0.3"/>
  <pageSetup orientation="portrait" horizontalDpi="4294967294" verticalDpi="4294967294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2"/>
  <sheetViews>
    <sheetView workbookViewId="0">
      <pane xSplit="1" ySplit="1" topLeftCell="B425" activePane="bottomRight" state="frozen"/>
      <selection pane="bottomRight" activeCell="B443" sqref="B443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14" t="s">
        <v>21</v>
      </c>
      <c r="B1" s="14" t="s">
        <v>48</v>
      </c>
      <c r="C1" s="14" t="s">
        <v>47</v>
      </c>
    </row>
    <row r="2" spans="1:3">
      <c r="A2" t="s">
        <v>97</v>
      </c>
      <c r="B2" s="25" t="s">
        <v>98</v>
      </c>
      <c r="C2" s="26" t="s">
        <v>72</v>
      </c>
    </row>
    <row r="3" spans="1:3">
      <c r="A3" t="s">
        <v>99</v>
      </c>
      <c r="B3" s="25" t="s">
        <v>100</v>
      </c>
      <c r="C3" s="26" t="s">
        <v>64</v>
      </c>
    </row>
    <row r="4" spans="1:3">
      <c r="A4" t="s">
        <v>97</v>
      </c>
      <c r="B4" s="25" t="s">
        <v>101</v>
      </c>
      <c r="C4" s="26" t="s">
        <v>64</v>
      </c>
    </row>
    <row r="5" spans="1:3">
      <c r="A5" t="s">
        <v>99</v>
      </c>
      <c r="B5" s="25" t="s">
        <v>102</v>
      </c>
      <c r="C5" s="26" t="s">
        <v>64</v>
      </c>
    </row>
    <row r="6" spans="1:3">
      <c r="A6" t="s">
        <v>99</v>
      </c>
      <c r="B6" s="25" t="s">
        <v>103</v>
      </c>
      <c r="C6" s="26" t="s">
        <v>64</v>
      </c>
    </row>
    <row r="7" spans="1:3">
      <c r="A7" t="s">
        <v>97</v>
      </c>
      <c r="B7" s="25" t="s">
        <v>104</v>
      </c>
      <c r="C7" s="26" t="s">
        <v>64</v>
      </c>
    </row>
    <row r="8" spans="1:3">
      <c r="A8" t="s">
        <v>97</v>
      </c>
      <c r="B8" s="25" t="s">
        <v>105</v>
      </c>
      <c r="C8" s="26" t="s">
        <v>64</v>
      </c>
    </row>
    <row r="9" spans="1:3">
      <c r="A9" t="s">
        <v>97</v>
      </c>
      <c r="B9" s="25" t="s">
        <v>106</v>
      </c>
      <c r="C9" s="26" t="s">
        <v>64</v>
      </c>
    </row>
    <row r="10" spans="1:3">
      <c r="A10" t="s">
        <v>97</v>
      </c>
      <c r="B10" s="25" t="s">
        <v>107</v>
      </c>
      <c r="C10" s="26" t="s">
        <v>64</v>
      </c>
    </row>
    <row r="11" spans="1:3">
      <c r="A11" t="s">
        <v>97</v>
      </c>
      <c r="B11" s="25" t="s">
        <v>108</v>
      </c>
      <c r="C11" s="26" t="s">
        <v>109</v>
      </c>
    </row>
    <row r="12" spans="1:3">
      <c r="A12" t="s">
        <v>99</v>
      </c>
      <c r="B12" s="25" t="s">
        <v>110</v>
      </c>
      <c r="C12" s="26" t="s">
        <v>109</v>
      </c>
    </row>
    <row r="13" spans="1:3">
      <c r="A13" t="s">
        <v>99</v>
      </c>
      <c r="B13" s="27" t="s">
        <v>111</v>
      </c>
      <c r="C13" s="26" t="s">
        <v>109</v>
      </c>
    </row>
    <row r="14" spans="1:3">
      <c r="A14" t="s">
        <v>99</v>
      </c>
      <c r="B14" s="25" t="s">
        <v>112</v>
      </c>
      <c r="C14" s="26" t="s">
        <v>64</v>
      </c>
    </row>
    <row r="15" spans="1:3">
      <c r="A15" t="s">
        <v>97</v>
      </c>
      <c r="B15" s="25" t="s">
        <v>113</v>
      </c>
      <c r="C15" s="26" t="s">
        <v>72</v>
      </c>
    </row>
    <row r="16" spans="1:3">
      <c r="A16" t="s">
        <v>99</v>
      </c>
      <c r="B16" s="25" t="s">
        <v>114</v>
      </c>
      <c r="C16" s="26" t="s">
        <v>64</v>
      </c>
    </row>
    <row r="17" spans="1:3">
      <c r="A17" t="s">
        <v>97</v>
      </c>
      <c r="B17" s="25" t="s">
        <v>115</v>
      </c>
      <c r="C17" s="26" t="s">
        <v>72</v>
      </c>
    </row>
    <row r="18" spans="1:3">
      <c r="A18" t="s">
        <v>97</v>
      </c>
      <c r="B18" s="25" t="s">
        <v>116</v>
      </c>
      <c r="C18" s="26" t="s">
        <v>64</v>
      </c>
    </row>
    <row r="19" spans="1:3">
      <c r="A19" t="s">
        <v>97</v>
      </c>
      <c r="B19" s="25" t="s">
        <v>117</v>
      </c>
      <c r="C19" s="26" t="s">
        <v>72</v>
      </c>
    </row>
    <row r="20" spans="1:3">
      <c r="A20" t="s">
        <v>99</v>
      </c>
      <c r="B20" s="25" t="s">
        <v>118</v>
      </c>
      <c r="C20" s="26" t="s">
        <v>64</v>
      </c>
    </row>
    <row r="21" spans="1:3">
      <c r="A21" t="s">
        <v>97</v>
      </c>
      <c r="B21" s="25" t="s">
        <v>119</v>
      </c>
      <c r="C21" s="26" t="s">
        <v>64</v>
      </c>
    </row>
    <row r="22" spans="1:3">
      <c r="A22" t="s">
        <v>97</v>
      </c>
      <c r="B22" s="25" t="s">
        <v>120</v>
      </c>
      <c r="C22" s="26" t="s">
        <v>64</v>
      </c>
    </row>
    <row r="23" spans="1:3">
      <c r="A23" t="s">
        <v>97</v>
      </c>
      <c r="B23" s="25" t="s">
        <v>121</v>
      </c>
      <c r="C23" s="26" t="s">
        <v>64</v>
      </c>
    </row>
    <row r="24" spans="1:3">
      <c r="A24" t="s">
        <v>97</v>
      </c>
      <c r="B24" s="25" t="s">
        <v>122</v>
      </c>
      <c r="C24" s="26" t="s">
        <v>64</v>
      </c>
    </row>
    <row r="25" spans="1:3">
      <c r="A25" t="s">
        <v>97</v>
      </c>
      <c r="B25" s="25" t="s">
        <v>123</v>
      </c>
      <c r="C25" s="26" t="s">
        <v>64</v>
      </c>
    </row>
    <row r="26" spans="1:3">
      <c r="A26" t="s">
        <v>99</v>
      </c>
      <c r="B26" s="25" t="s">
        <v>124</v>
      </c>
      <c r="C26" s="26" t="s">
        <v>72</v>
      </c>
    </row>
    <row r="27" spans="1:3">
      <c r="A27" t="s">
        <v>97</v>
      </c>
      <c r="B27" s="25" t="s">
        <v>125</v>
      </c>
      <c r="C27" s="26" t="s">
        <v>72</v>
      </c>
    </row>
    <row r="28" spans="1:3">
      <c r="A28" t="s">
        <v>99</v>
      </c>
      <c r="B28" s="25" t="s">
        <v>126</v>
      </c>
      <c r="C28" s="26" t="s">
        <v>72</v>
      </c>
    </row>
    <row r="29" spans="1:3">
      <c r="A29" t="s">
        <v>97</v>
      </c>
      <c r="B29" s="25" t="s">
        <v>127</v>
      </c>
      <c r="C29" s="26" t="s">
        <v>72</v>
      </c>
    </row>
    <row r="30" spans="1:3">
      <c r="A30" t="s">
        <v>97</v>
      </c>
      <c r="B30" s="25" t="s">
        <v>128</v>
      </c>
      <c r="C30" s="26" t="s">
        <v>72</v>
      </c>
    </row>
    <row r="31" spans="1:3">
      <c r="A31" t="s">
        <v>99</v>
      </c>
      <c r="B31" s="25" t="s">
        <v>129</v>
      </c>
      <c r="C31" s="26" t="s">
        <v>64</v>
      </c>
    </row>
    <row r="32" spans="1:3">
      <c r="A32" t="s">
        <v>99</v>
      </c>
      <c r="B32" s="25" t="s">
        <v>130</v>
      </c>
      <c r="C32" s="26" t="s">
        <v>64</v>
      </c>
    </row>
    <row r="33" spans="1:3">
      <c r="A33" t="s">
        <v>97</v>
      </c>
      <c r="B33" s="25" t="s">
        <v>131</v>
      </c>
      <c r="C33" s="26" t="s">
        <v>72</v>
      </c>
    </row>
    <row r="34" spans="1:3">
      <c r="A34" t="s">
        <v>97</v>
      </c>
      <c r="B34" s="25" t="s">
        <v>132</v>
      </c>
      <c r="C34" s="26" t="s">
        <v>72</v>
      </c>
    </row>
    <row r="35" spans="1:3">
      <c r="A35" t="s">
        <v>97</v>
      </c>
      <c r="B35" s="25" t="s">
        <v>133</v>
      </c>
      <c r="C35" s="26" t="s">
        <v>72</v>
      </c>
    </row>
    <row r="36" spans="1:3">
      <c r="A36" t="s">
        <v>97</v>
      </c>
      <c r="B36" s="25" t="s">
        <v>134</v>
      </c>
      <c r="C36" s="26" t="s">
        <v>64</v>
      </c>
    </row>
    <row r="37" spans="1:3">
      <c r="A37" t="s">
        <v>97</v>
      </c>
      <c r="B37" s="25" t="s">
        <v>135</v>
      </c>
      <c r="C37" s="26" t="s">
        <v>64</v>
      </c>
    </row>
    <row r="38" spans="1:3">
      <c r="A38" t="s">
        <v>99</v>
      </c>
      <c r="B38" s="25" t="s">
        <v>136</v>
      </c>
      <c r="C38" s="26" t="s">
        <v>72</v>
      </c>
    </row>
    <row r="39" spans="1:3">
      <c r="A39" t="s">
        <v>99</v>
      </c>
      <c r="B39" s="25" t="s">
        <v>137</v>
      </c>
      <c r="C39" s="26" t="s">
        <v>64</v>
      </c>
    </row>
    <row r="40" spans="1:3">
      <c r="A40" t="s">
        <v>99</v>
      </c>
      <c r="B40" s="25" t="s">
        <v>138</v>
      </c>
      <c r="C40" s="26" t="s">
        <v>72</v>
      </c>
    </row>
    <row r="41" spans="1:3">
      <c r="A41" t="s">
        <v>97</v>
      </c>
      <c r="B41" s="25" t="s">
        <v>139</v>
      </c>
      <c r="C41" s="26" t="s">
        <v>72</v>
      </c>
    </row>
    <row r="42" spans="1:3">
      <c r="A42" t="s">
        <v>97</v>
      </c>
      <c r="B42" s="25" t="s">
        <v>140</v>
      </c>
      <c r="C42" s="26" t="s">
        <v>72</v>
      </c>
    </row>
    <row r="43" spans="1:3">
      <c r="A43" t="s">
        <v>97</v>
      </c>
      <c r="B43" s="25" t="s">
        <v>141</v>
      </c>
      <c r="C43" s="26" t="s">
        <v>64</v>
      </c>
    </row>
    <row r="44" spans="1:3">
      <c r="A44" t="s">
        <v>97</v>
      </c>
      <c r="B44" s="25" t="s">
        <v>142</v>
      </c>
      <c r="C44" s="26" t="s">
        <v>72</v>
      </c>
    </row>
    <row r="45" spans="1:3">
      <c r="A45" t="s">
        <v>97</v>
      </c>
      <c r="B45" s="25" t="s">
        <v>143</v>
      </c>
      <c r="C45" s="26" t="s">
        <v>72</v>
      </c>
    </row>
    <row r="46" spans="1:3">
      <c r="A46" t="s">
        <v>99</v>
      </c>
      <c r="B46" s="25" t="s">
        <v>144</v>
      </c>
      <c r="C46" s="26" t="s">
        <v>72</v>
      </c>
    </row>
    <row r="47" spans="1:3">
      <c r="A47" t="s">
        <v>99</v>
      </c>
      <c r="B47" s="25" t="s">
        <v>145</v>
      </c>
      <c r="C47" s="26" t="s">
        <v>72</v>
      </c>
    </row>
    <row r="48" spans="1:3">
      <c r="A48" t="s">
        <v>99</v>
      </c>
      <c r="B48" s="25" t="s">
        <v>146</v>
      </c>
      <c r="C48" s="26" t="s">
        <v>72</v>
      </c>
    </row>
    <row r="49" spans="1:3">
      <c r="A49" t="s">
        <v>99</v>
      </c>
      <c r="B49" s="25" t="s">
        <v>147</v>
      </c>
      <c r="C49" s="26" t="s">
        <v>72</v>
      </c>
    </row>
    <row r="50" spans="1:3">
      <c r="A50" t="s">
        <v>97</v>
      </c>
      <c r="B50" s="25" t="s">
        <v>148</v>
      </c>
      <c r="C50" s="26" t="s">
        <v>72</v>
      </c>
    </row>
    <row r="51" spans="1:3">
      <c r="A51" t="s">
        <v>97</v>
      </c>
      <c r="B51" s="25" t="s">
        <v>149</v>
      </c>
      <c r="C51" s="26" t="s">
        <v>72</v>
      </c>
    </row>
    <row r="52" spans="1:3">
      <c r="A52" t="s">
        <v>99</v>
      </c>
      <c r="B52" s="25" t="s">
        <v>150</v>
      </c>
      <c r="C52" s="26" t="s">
        <v>72</v>
      </c>
    </row>
    <row r="53" spans="1:3">
      <c r="A53" t="s">
        <v>99</v>
      </c>
      <c r="B53" s="25" t="s">
        <v>151</v>
      </c>
      <c r="C53" s="26" t="s">
        <v>72</v>
      </c>
    </row>
    <row r="54" spans="1:3">
      <c r="A54" t="s">
        <v>99</v>
      </c>
      <c r="B54" s="25" t="s">
        <v>152</v>
      </c>
      <c r="C54" s="26" t="s">
        <v>72</v>
      </c>
    </row>
    <row r="55" spans="1:3">
      <c r="A55" t="s">
        <v>97</v>
      </c>
      <c r="B55" s="25" t="s">
        <v>153</v>
      </c>
      <c r="C55" s="26" t="s">
        <v>72</v>
      </c>
    </row>
    <row r="56" spans="1:3">
      <c r="A56" t="s">
        <v>97</v>
      </c>
      <c r="B56" s="25" t="s">
        <v>154</v>
      </c>
      <c r="C56" s="26" t="s">
        <v>72</v>
      </c>
    </row>
    <row r="57" spans="1:3">
      <c r="A57" t="s">
        <v>97</v>
      </c>
      <c r="B57" s="25" t="s">
        <v>155</v>
      </c>
      <c r="C57" s="26" t="s">
        <v>72</v>
      </c>
    </row>
    <row r="58" spans="1:3">
      <c r="A58" t="s">
        <v>97</v>
      </c>
      <c r="B58" s="25" t="s">
        <v>156</v>
      </c>
      <c r="C58" s="26" t="s">
        <v>72</v>
      </c>
    </row>
    <row r="59" spans="1:3">
      <c r="A59" t="s">
        <v>97</v>
      </c>
      <c r="B59" s="25" t="s">
        <v>157</v>
      </c>
      <c r="C59" s="26" t="s">
        <v>72</v>
      </c>
    </row>
    <row r="60" spans="1:3">
      <c r="A60" t="s">
        <v>99</v>
      </c>
      <c r="B60" s="25" t="s">
        <v>158</v>
      </c>
      <c r="C60" s="26" t="s">
        <v>72</v>
      </c>
    </row>
    <row r="61" spans="1:3">
      <c r="A61" t="s">
        <v>97</v>
      </c>
      <c r="B61" s="25" t="s">
        <v>159</v>
      </c>
      <c r="C61" s="26" t="s">
        <v>72</v>
      </c>
    </row>
    <row r="62" spans="1:3">
      <c r="A62" t="s">
        <v>97</v>
      </c>
      <c r="B62" s="25" t="s">
        <v>160</v>
      </c>
      <c r="C62" s="26" t="s">
        <v>72</v>
      </c>
    </row>
    <row r="63" spans="1:3">
      <c r="A63" t="s">
        <v>97</v>
      </c>
      <c r="B63" s="25" t="s">
        <v>161</v>
      </c>
      <c r="C63" s="26" t="s">
        <v>72</v>
      </c>
    </row>
    <row r="64" spans="1:3">
      <c r="A64" t="s">
        <v>97</v>
      </c>
      <c r="B64" s="25" t="s">
        <v>162</v>
      </c>
      <c r="C64" s="26" t="s">
        <v>72</v>
      </c>
    </row>
    <row r="65" spans="1:3">
      <c r="A65" t="s">
        <v>97</v>
      </c>
      <c r="B65" s="25" t="s">
        <v>163</v>
      </c>
      <c r="C65" s="26" t="s">
        <v>72</v>
      </c>
    </row>
    <row r="66" spans="1:3">
      <c r="A66" t="s">
        <v>97</v>
      </c>
      <c r="B66" s="25" t="s">
        <v>163</v>
      </c>
      <c r="C66" s="26" t="s">
        <v>64</v>
      </c>
    </row>
    <row r="67" spans="1:3">
      <c r="A67" t="s">
        <v>97</v>
      </c>
      <c r="B67" s="25" t="s">
        <v>164</v>
      </c>
      <c r="C67" s="26" t="s">
        <v>72</v>
      </c>
    </row>
    <row r="68" spans="1:3">
      <c r="A68" t="s">
        <v>99</v>
      </c>
      <c r="B68" s="25" t="s">
        <v>165</v>
      </c>
      <c r="C68" s="26" t="s">
        <v>64</v>
      </c>
    </row>
    <row r="69" spans="1:3">
      <c r="A69" t="s">
        <v>97</v>
      </c>
      <c r="B69" s="25" t="s">
        <v>166</v>
      </c>
      <c r="C69" s="26" t="s">
        <v>72</v>
      </c>
    </row>
    <row r="70" spans="1:3">
      <c r="A70" t="s">
        <v>97</v>
      </c>
      <c r="B70" s="25" t="s">
        <v>167</v>
      </c>
      <c r="C70" s="26" t="s">
        <v>72</v>
      </c>
    </row>
    <row r="71" spans="1:3">
      <c r="A71" t="s">
        <v>97</v>
      </c>
      <c r="B71" s="25" t="s">
        <v>168</v>
      </c>
      <c r="C71" s="26" t="s">
        <v>72</v>
      </c>
    </row>
    <row r="72" spans="1:3">
      <c r="A72" t="s">
        <v>99</v>
      </c>
      <c r="B72" s="25" t="s">
        <v>169</v>
      </c>
      <c r="C72" s="26" t="s">
        <v>72</v>
      </c>
    </row>
    <row r="73" spans="1:3">
      <c r="A73" t="s">
        <v>97</v>
      </c>
      <c r="B73" s="25" t="s">
        <v>170</v>
      </c>
      <c r="C73" s="26" t="s">
        <v>72</v>
      </c>
    </row>
    <row r="74" spans="1:3">
      <c r="A74" t="s">
        <v>99</v>
      </c>
      <c r="B74" s="25" t="s">
        <v>171</v>
      </c>
      <c r="C74" s="26" t="s">
        <v>64</v>
      </c>
    </row>
    <row r="75" spans="1:3">
      <c r="A75" t="s">
        <v>99</v>
      </c>
      <c r="B75" s="25" t="s">
        <v>172</v>
      </c>
      <c r="C75" s="26" t="s">
        <v>72</v>
      </c>
    </row>
    <row r="76" spans="1:3">
      <c r="A76" t="s">
        <v>97</v>
      </c>
      <c r="B76" s="25" t="s">
        <v>173</v>
      </c>
      <c r="C76" s="26" t="s">
        <v>72</v>
      </c>
    </row>
    <row r="77" spans="1:3">
      <c r="A77" t="s">
        <v>99</v>
      </c>
      <c r="B77" s="25" t="s">
        <v>174</v>
      </c>
      <c r="C77" s="26" t="s">
        <v>72</v>
      </c>
    </row>
    <row r="78" spans="1:3">
      <c r="A78" t="s">
        <v>97</v>
      </c>
      <c r="B78" s="25" t="s">
        <v>175</v>
      </c>
      <c r="C78" s="26" t="s">
        <v>72</v>
      </c>
    </row>
    <row r="79" spans="1:3">
      <c r="A79" t="s">
        <v>99</v>
      </c>
      <c r="B79" s="25" t="s">
        <v>176</v>
      </c>
      <c r="C79" s="26" t="s">
        <v>64</v>
      </c>
    </row>
    <row r="80" spans="1:3">
      <c r="A80" t="s">
        <v>97</v>
      </c>
      <c r="B80" s="25" t="s">
        <v>177</v>
      </c>
      <c r="C80" s="26" t="s">
        <v>72</v>
      </c>
    </row>
    <row r="81" spans="1:3">
      <c r="A81" t="s">
        <v>97</v>
      </c>
      <c r="B81" s="25" t="s">
        <v>178</v>
      </c>
      <c r="C81" s="26" t="s">
        <v>72</v>
      </c>
    </row>
    <row r="82" spans="1:3">
      <c r="A82" t="s">
        <v>97</v>
      </c>
      <c r="B82" s="25" t="s">
        <v>179</v>
      </c>
      <c r="C82" s="26" t="s">
        <v>72</v>
      </c>
    </row>
    <row r="83" spans="1:3">
      <c r="A83" t="s">
        <v>97</v>
      </c>
      <c r="B83" s="25" t="s">
        <v>180</v>
      </c>
      <c r="C83" s="26" t="s">
        <v>72</v>
      </c>
    </row>
    <row r="84" spans="1:3">
      <c r="A84" t="s">
        <v>97</v>
      </c>
      <c r="B84" s="25" t="s">
        <v>181</v>
      </c>
      <c r="C84" s="26" t="s">
        <v>64</v>
      </c>
    </row>
    <row r="85" spans="1:3">
      <c r="A85" t="s">
        <v>99</v>
      </c>
      <c r="B85" s="25" t="s">
        <v>182</v>
      </c>
      <c r="C85" s="26" t="s">
        <v>72</v>
      </c>
    </row>
    <row r="86" spans="1:3">
      <c r="A86" t="s">
        <v>97</v>
      </c>
      <c r="B86" s="25" t="s">
        <v>183</v>
      </c>
      <c r="C86" s="26" t="s">
        <v>72</v>
      </c>
    </row>
    <row r="87" spans="1:3">
      <c r="A87" t="s">
        <v>97</v>
      </c>
      <c r="B87" s="25" t="s">
        <v>184</v>
      </c>
      <c r="C87" s="26" t="s">
        <v>64</v>
      </c>
    </row>
    <row r="88" spans="1:3">
      <c r="A88" t="s">
        <v>99</v>
      </c>
      <c r="B88" s="25" t="s">
        <v>185</v>
      </c>
      <c r="C88" s="26" t="s">
        <v>72</v>
      </c>
    </row>
    <row r="89" spans="1:3">
      <c r="A89" t="s">
        <v>97</v>
      </c>
      <c r="B89" s="25" t="s">
        <v>186</v>
      </c>
      <c r="C89" s="26" t="s">
        <v>64</v>
      </c>
    </row>
    <row r="90" spans="1:3">
      <c r="A90" t="s">
        <v>99</v>
      </c>
      <c r="B90" s="25" t="s">
        <v>187</v>
      </c>
      <c r="C90" s="26" t="s">
        <v>72</v>
      </c>
    </row>
    <row r="91" spans="1:3">
      <c r="A91" t="s">
        <v>99</v>
      </c>
      <c r="B91" s="25" t="s">
        <v>188</v>
      </c>
      <c r="C91" s="26" t="s">
        <v>72</v>
      </c>
    </row>
    <row r="92" spans="1:3">
      <c r="A92" t="s">
        <v>97</v>
      </c>
      <c r="B92" s="25" t="s">
        <v>189</v>
      </c>
      <c r="C92" s="26" t="s">
        <v>64</v>
      </c>
    </row>
    <row r="93" spans="1:3">
      <c r="A93" t="s">
        <v>99</v>
      </c>
      <c r="B93" s="25" t="s">
        <v>190</v>
      </c>
      <c r="C93" s="26" t="s">
        <v>64</v>
      </c>
    </row>
    <row r="94" spans="1:3" ht="26.25">
      <c r="A94" t="s">
        <v>99</v>
      </c>
      <c r="B94" s="25" t="s">
        <v>191</v>
      </c>
      <c r="C94" s="26" t="s">
        <v>64</v>
      </c>
    </row>
    <row r="95" spans="1:3">
      <c r="A95" t="s">
        <v>97</v>
      </c>
      <c r="B95" s="25" t="s">
        <v>192</v>
      </c>
      <c r="C95" s="26" t="s">
        <v>72</v>
      </c>
    </row>
    <row r="96" spans="1:3">
      <c r="A96" t="s">
        <v>99</v>
      </c>
      <c r="B96" s="25" t="s">
        <v>193</v>
      </c>
      <c r="C96" s="26" t="s">
        <v>72</v>
      </c>
    </row>
    <row r="97" spans="1:3">
      <c r="A97" t="s">
        <v>99</v>
      </c>
      <c r="B97" s="25" t="s">
        <v>194</v>
      </c>
      <c r="C97" s="26" t="s">
        <v>72</v>
      </c>
    </row>
    <row r="98" spans="1:3">
      <c r="A98" t="s">
        <v>99</v>
      </c>
      <c r="B98" s="25" t="s">
        <v>195</v>
      </c>
      <c r="C98" s="26" t="s">
        <v>72</v>
      </c>
    </row>
    <row r="99" spans="1:3">
      <c r="A99" t="s">
        <v>97</v>
      </c>
      <c r="B99" s="25" t="s">
        <v>196</v>
      </c>
      <c r="C99" s="26" t="s">
        <v>64</v>
      </c>
    </row>
    <row r="100" spans="1:3">
      <c r="A100" t="s">
        <v>99</v>
      </c>
      <c r="B100" s="25" t="s">
        <v>197</v>
      </c>
      <c r="C100" s="26" t="s">
        <v>72</v>
      </c>
    </row>
    <row r="101" spans="1:3">
      <c r="A101" t="s">
        <v>99</v>
      </c>
      <c r="B101" s="25" t="s">
        <v>198</v>
      </c>
      <c r="C101" s="26" t="s">
        <v>64</v>
      </c>
    </row>
    <row r="102" spans="1:3">
      <c r="A102" t="s">
        <v>99</v>
      </c>
      <c r="B102" s="25" t="s">
        <v>199</v>
      </c>
      <c r="C102" s="26" t="s">
        <v>72</v>
      </c>
    </row>
    <row r="103" spans="1:3">
      <c r="A103" t="s">
        <v>99</v>
      </c>
      <c r="B103" s="25" t="s">
        <v>200</v>
      </c>
      <c r="C103" s="26" t="s">
        <v>64</v>
      </c>
    </row>
    <row r="104" spans="1:3">
      <c r="A104" t="s">
        <v>97</v>
      </c>
      <c r="B104" s="25" t="s">
        <v>201</v>
      </c>
      <c r="C104" s="26" t="s">
        <v>64</v>
      </c>
    </row>
    <row r="105" spans="1:3">
      <c r="A105" t="s">
        <v>99</v>
      </c>
      <c r="B105" s="25" t="s">
        <v>202</v>
      </c>
      <c r="C105" s="26" t="s">
        <v>64</v>
      </c>
    </row>
    <row r="106" spans="1:3">
      <c r="A106" t="s">
        <v>97</v>
      </c>
      <c r="B106" s="25" t="s">
        <v>203</v>
      </c>
      <c r="C106" s="26" t="s">
        <v>72</v>
      </c>
    </row>
    <row r="107" spans="1:3">
      <c r="A107" t="s">
        <v>99</v>
      </c>
      <c r="B107" s="25" t="s">
        <v>204</v>
      </c>
      <c r="C107" s="26" t="s">
        <v>72</v>
      </c>
    </row>
    <row r="108" spans="1:3">
      <c r="A108" t="s">
        <v>97</v>
      </c>
      <c r="B108" s="25" t="s">
        <v>205</v>
      </c>
      <c r="C108" s="26" t="s">
        <v>64</v>
      </c>
    </row>
    <row r="109" spans="1:3" ht="26.25">
      <c r="A109" t="s">
        <v>97</v>
      </c>
      <c r="B109" s="25" t="s">
        <v>206</v>
      </c>
      <c r="C109" s="26" t="s">
        <v>64</v>
      </c>
    </row>
    <row r="110" spans="1:3">
      <c r="A110" t="s">
        <v>97</v>
      </c>
      <c r="B110" s="25" t="s">
        <v>207</v>
      </c>
      <c r="C110" s="26" t="s">
        <v>64</v>
      </c>
    </row>
    <row r="111" spans="1:3">
      <c r="A111" t="s">
        <v>97</v>
      </c>
      <c r="B111" s="25" t="s">
        <v>208</v>
      </c>
      <c r="C111" s="26" t="s">
        <v>64</v>
      </c>
    </row>
    <row r="112" spans="1:3">
      <c r="A112" t="s">
        <v>97</v>
      </c>
      <c r="B112" s="25" t="s">
        <v>209</v>
      </c>
      <c r="C112" s="26" t="s">
        <v>64</v>
      </c>
    </row>
    <row r="113" spans="1:3">
      <c r="A113" t="s">
        <v>99</v>
      </c>
      <c r="B113" s="25" t="s">
        <v>210</v>
      </c>
      <c r="C113" s="26" t="s">
        <v>64</v>
      </c>
    </row>
    <row r="114" spans="1:3">
      <c r="A114" t="s">
        <v>97</v>
      </c>
      <c r="B114" s="25" t="s">
        <v>211</v>
      </c>
      <c r="C114" s="26" t="s">
        <v>72</v>
      </c>
    </row>
    <row r="115" spans="1:3">
      <c r="A115" t="s">
        <v>97</v>
      </c>
      <c r="B115" s="25" t="s">
        <v>212</v>
      </c>
      <c r="C115" s="26" t="s">
        <v>64</v>
      </c>
    </row>
    <row r="116" spans="1:3">
      <c r="A116" t="s">
        <v>97</v>
      </c>
      <c r="B116" s="25" t="s">
        <v>213</v>
      </c>
      <c r="C116" s="26" t="s">
        <v>64</v>
      </c>
    </row>
    <row r="117" spans="1:3">
      <c r="A117" t="s">
        <v>97</v>
      </c>
      <c r="B117" s="25" t="s">
        <v>214</v>
      </c>
      <c r="C117" s="26" t="s">
        <v>64</v>
      </c>
    </row>
    <row r="118" spans="1:3">
      <c r="A118" t="s">
        <v>99</v>
      </c>
      <c r="B118" s="25" t="s">
        <v>215</v>
      </c>
      <c r="C118" s="26" t="s">
        <v>64</v>
      </c>
    </row>
    <row r="119" spans="1:3">
      <c r="A119" t="s">
        <v>97</v>
      </c>
      <c r="B119" s="25" t="s">
        <v>216</v>
      </c>
      <c r="C119" s="26" t="s">
        <v>72</v>
      </c>
    </row>
    <row r="120" spans="1:3">
      <c r="A120" t="s">
        <v>99</v>
      </c>
      <c r="B120" s="25" t="s">
        <v>217</v>
      </c>
      <c r="C120" s="26" t="s">
        <v>72</v>
      </c>
    </row>
    <row r="121" spans="1:3">
      <c r="A121" t="s">
        <v>97</v>
      </c>
      <c r="B121" s="25" t="s">
        <v>218</v>
      </c>
      <c r="C121" s="26" t="s">
        <v>64</v>
      </c>
    </row>
    <row r="122" spans="1:3" ht="26.25">
      <c r="A122" t="s">
        <v>99</v>
      </c>
      <c r="B122" s="25" t="s">
        <v>219</v>
      </c>
      <c r="C122" s="26" t="s">
        <v>72</v>
      </c>
    </row>
    <row r="123" spans="1:3">
      <c r="A123" t="s">
        <v>97</v>
      </c>
      <c r="B123" s="25" t="s">
        <v>220</v>
      </c>
      <c r="C123" s="26" t="s">
        <v>72</v>
      </c>
    </row>
    <row r="124" spans="1:3">
      <c r="A124" t="s">
        <v>97</v>
      </c>
      <c r="B124" s="25" t="s">
        <v>221</v>
      </c>
      <c r="C124" s="26" t="s">
        <v>64</v>
      </c>
    </row>
    <row r="125" spans="1:3">
      <c r="A125" t="s">
        <v>99</v>
      </c>
      <c r="B125" s="25" t="s">
        <v>222</v>
      </c>
      <c r="C125" s="26" t="s">
        <v>72</v>
      </c>
    </row>
    <row r="126" spans="1:3">
      <c r="A126" t="s">
        <v>99</v>
      </c>
      <c r="B126" s="25" t="s">
        <v>223</v>
      </c>
      <c r="C126" s="26" t="s">
        <v>64</v>
      </c>
    </row>
    <row r="127" spans="1:3">
      <c r="A127" t="s">
        <v>97</v>
      </c>
      <c r="B127" s="25" t="s">
        <v>224</v>
      </c>
      <c r="C127" s="26" t="s">
        <v>64</v>
      </c>
    </row>
    <row r="128" spans="1:3">
      <c r="A128" t="s">
        <v>97</v>
      </c>
      <c r="B128" s="25" t="s">
        <v>225</v>
      </c>
      <c r="C128" s="26" t="s">
        <v>72</v>
      </c>
    </row>
    <row r="129" spans="1:3">
      <c r="A129" t="s">
        <v>97</v>
      </c>
      <c r="B129" s="25" t="s">
        <v>226</v>
      </c>
      <c r="C129" s="26" t="s">
        <v>64</v>
      </c>
    </row>
    <row r="130" spans="1:3">
      <c r="A130" t="s">
        <v>97</v>
      </c>
      <c r="B130" s="25" t="s">
        <v>227</v>
      </c>
      <c r="C130" s="26" t="s">
        <v>72</v>
      </c>
    </row>
    <row r="131" spans="1:3">
      <c r="A131" t="s">
        <v>99</v>
      </c>
      <c r="B131" s="25" t="s">
        <v>228</v>
      </c>
      <c r="C131" s="26" t="s">
        <v>64</v>
      </c>
    </row>
    <row r="132" spans="1:3">
      <c r="A132" t="s">
        <v>97</v>
      </c>
      <c r="B132" s="25" t="s">
        <v>229</v>
      </c>
      <c r="C132" s="26" t="s">
        <v>64</v>
      </c>
    </row>
    <row r="133" spans="1:3">
      <c r="A133" t="s">
        <v>97</v>
      </c>
      <c r="B133" s="25" t="s">
        <v>230</v>
      </c>
      <c r="C133" s="26" t="s">
        <v>72</v>
      </c>
    </row>
    <row r="134" spans="1:3">
      <c r="A134" t="s">
        <v>99</v>
      </c>
      <c r="B134" s="25" t="s">
        <v>231</v>
      </c>
      <c r="C134" s="26" t="s">
        <v>72</v>
      </c>
    </row>
    <row r="135" spans="1:3">
      <c r="A135" t="s">
        <v>99</v>
      </c>
      <c r="B135" s="25" t="s">
        <v>232</v>
      </c>
      <c r="C135" s="26" t="s">
        <v>72</v>
      </c>
    </row>
    <row r="136" spans="1:3">
      <c r="A136" t="s">
        <v>99</v>
      </c>
      <c r="B136" s="25" t="s">
        <v>233</v>
      </c>
      <c r="C136" s="26" t="s">
        <v>72</v>
      </c>
    </row>
    <row r="137" spans="1:3">
      <c r="A137" t="s">
        <v>99</v>
      </c>
      <c r="B137" s="25" t="s">
        <v>234</v>
      </c>
      <c r="C137" s="26" t="s">
        <v>72</v>
      </c>
    </row>
    <row r="138" spans="1:3">
      <c r="A138" t="s">
        <v>99</v>
      </c>
      <c r="B138" s="25" t="s">
        <v>235</v>
      </c>
      <c r="C138" s="26" t="s">
        <v>72</v>
      </c>
    </row>
    <row r="139" spans="1:3">
      <c r="A139" t="s">
        <v>99</v>
      </c>
      <c r="B139" s="25" t="s">
        <v>236</v>
      </c>
      <c r="C139" s="26" t="s">
        <v>72</v>
      </c>
    </row>
    <row r="140" spans="1:3">
      <c r="A140" t="s">
        <v>97</v>
      </c>
      <c r="B140" s="25" t="s">
        <v>237</v>
      </c>
      <c r="C140" s="26" t="s">
        <v>72</v>
      </c>
    </row>
    <row r="141" spans="1:3">
      <c r="A141" t="s">
        <v>97</v>
      </c>
      <c r="B141" s="25" t="s">
        <v>238</v>
      </c>
      <c r="C141" s="26" t="s">
        <v>64</v>
      </c>
    </row>
    <row r="142" spans="1:3">
      <c r="A142" t="s">
        <v>97</v>
      </c>
      <c r="B142" s="25" t="s">
        <v>239</v>
      </c>
      <c r="C142" s="26" t="s">
        <v>64</v>
      </c>
    </row>
    <row r="143" spans="1:3">
      <c r="A143" t="s">
        <v>97</v>
      </c>
      <c r="B143" s="25" t="s">
        <v>240</v>
      </c>
      <c r="C143" s="26" t="s">
        <v>64</v>
      </c>
    </row>
    <row r="144" spans="1:3">
      <c r="A144" t="s">
        <v>97</v>
      </c>
      <c r="B144" s="25" t="s">
        <v>241</v>
      </c>
      <c r="C144" s="26" t="s">
        <v>64</v>
      </c>
    </row>
    <row r="145" spans="1:3" ht="26.25">
      <c r="A145" t="s">
        <v>97</v>
      </c>
      <c r="B145" s="25" t="s">
        <v>242</v>
      </c>
      <c r="C145" s="26" t="s">
        <v>64</v>
      </c>
    </row>
    <row r="146" spans="1:3">
      <c r="A146" t="s">
        <v>97</v>
      </c>
      <c r="B146" s="25" t="s">
        <v>243</v>
      </c>
      <c r="C146" s="26" t="s">
        <v>72</v>
      </c>
    </row>
    <row r="147" spans="1:3">
      <c r="A147" t="s">
        <v>97</v>
      </c>
      <c r="B147" s="25" t="s">
        <v>244</v>
      </c>
      <c r="C147" s="26" t="s">
        <v>64</v>
      </c>
    </row>
    <row r="148" spans="1:3">
      <c r="A148" t="s">
        <v>97</v>
      </c>
      <c r="B148" s="25" t="s">
        <v>245</v>
      </c>
      <c r="C148" s="26" t="s">
        <v>64</v>
      </c>
    </row>
    <row r="149" spans="1:3">
      <c r="A149" t="s">
        <v>97</v>
      </c>
      <c r="B149" s="25" t="s">
        <v>246</v>
      </c>
      <c r="C149" s="26" t="s">
        <v>64</v>
      </c>
    </row>
    <row r="150" spans="1:3">
      <c r="A150" t="s">
        <v>99</v>
      </c>
      <c r="B150" s="25" t="s">
        <v>247</v>
      </c>
      <c r="C150" s="26" t="s">
        <v>72</v>
      </c>
    </row>
    <row r="151" spans="1:3">
      <c r="A151" t="s">
        <v>97</v>
      </c>
      <c r="B151" s="25" t="s">
        <v>248</v>
      </c>
      <c r="C151" s="26" t="s">
        <v>72</v>
      </c>
    </row>
    <row r="152" spans="1:3">
      <c r="A152" t="s">
        <v>97</v>
      </c>
      <c r="B152" s="25" t="s">
        <v>249</v>
      </c>
      <c r="C152" s="26" t="s">
        <v>72</v>
      </c>
    </row>
    <row r="153" spans="1:3">
      <c r="A153" t="s">
        <v>99</v>
      </c>
      <c r="B153" s="25" t="s">
        <v>250</v>
      </c>
      <c r="C153" s="26" t="s">
        <v>72</v>
      </c>
    </row>
    <row r="154" spans="1:3">
      <c r="A154" t="s">
        <v>97</v>
      </c>
      <c r="B154" s="25" t="s">
        <v>251</v>
      </c>
      <c r="C154" s="26" t="s">
        <v>72</v>
      </c>
    </row>
    <row r="155" spans="1:3">
      <c r="A155" t="s">
        <v>97</v>
      </c>
      <c r="B155" s="25" t="s">
        <v>252</v>
      </c>
      <c r="C155" s="26" t="s">
        <v>72</v>
      </c>
    </row>
    <row r="156" spans="1:3">
      <c r="A156" t="s">
        <v>97</v>
      </c>
      <c r="B156" s="25" t="s">
        <v>253</v>
      </c>
      <c r="C156" s="26" t="s">
        <v>72</v>
      </c>
    </row>
    <row r="157" spans="1:3">
      <c r="A157" t="s">
        <v>97</v>
      </c>
      <c r="B157" s="25" t="s">
        <v>254</v>
      </c>
      <c r="C157" s="26" t="s">
        <v>72</v>
      </c>
    </row>
    <row r="158" spans="1:3">
      <c r="A158" t="s">
        <v>97</v>
      </c>
      <c r="B158" s="25" t="s">
        <v>255</v>
      </c>
      <c r="C158" s="26" t="s">
        <v>72</v>
      </c>
    </row>
    <row r="159" spans="1:3">
      <c r="A159" t="s">
        <v>97</v>
      </c>
      <c r="B159" s="25" t="s">
        <v>256</v>
      </c>
      <c r="C159" s="26" t="s">
        <v>72</v>
      </c>
    </row>
    <row r="160" spans="1:3">
      <c r="A160" t="s">
        <v>99</v>
      </c>
      <c r="B160" s="25" t="s">
        <v>257</v>
      </c>
      <c r="C160" s="26" t="s">
        <v>72</v>
      </c>
    </row>
    <row r="161" spans="1:3">
      <c r="A161" t="s">
        <v>99</v>
      </c>
      <c r="B161" s="25" t="s">
        <v>258</v>
      </c>
      <c r="C161" s="26" t="s">
        <v>64</v>
      </c>
    </row>
    <row r="162" spans="1:3">
      <c r="A162" t="s">
        <v>99</v>
      </c>
      <c r="B162" s="25" t="s">
        <v>259</v>
      </c>
      <c r="C162" s="26" t="s">
        <v>72</v>
      </c>
    </row>
    <row r="163" spans="1:3">
      <c r="A163" t="s">
        <v>99</v>
      </c>
      <c r="B163" s="25" t="s">
        <v>260</v>
      </c>
      <c r="C163" s="26" t="s">
        <v>72</v>
      </c>
    </row>
    <row r="164" spans="1:3">
      <c r="A164" t="s">
        <v>99</v>
      </c>
      <c r="B164" s="25" t="s">
        <v>261</v>
      </c>
      <c r="C164" s="26" t="s">
        <v>64</v>
      </c>
    </row>
    <row r="165" spans="1:3">
      <c r="A165" t="s">
        <v>97</v>
      </c>
      <c r="B165" s="25" t="s">
        <v>262</v>
      </c>
      <c r="C165" s="26" t="s">
        <v>64</v>
      </c>
    </row>
    <row r="166" spans="1:3">
      <c r="A166" t="s">
        <v>97</v>
      </c>
      <c r="B166" s="25" t="s">
        <v>263</v>
      </c>
      <c r="C166" s="26" t="s">
        <v>64</v>
      </c>
    </row>
    <row r="167" spans="1:3">
      <c r="A167" t="s">
        <v>97</v>
      </c>
      <c r="B167" s="25" t="s">
        <v>264</v>
      </c>
      <c r="C167" s="26" t="s">
        <v>64</v>
      </c>
    </row>
    <row r="168" spans="1:3">
      <c r="A168" t="s">
        <v>99</v>
      </c>
      <c r="B168" s="25" t="s">
        <v>265</v>
      </c>
      <c r="C168" s="26" t="s">
        <v>72</v>
      </c>
    </row>
    <row r="169" spans="1:3">
      <c r="A169" t="s">
        <v>99</v>
      </c>
      <c r="B169" s="25" t="s">
        <v>266</v>
      </c>
      <c r="C169" s="26" t="s">
        <v>64</v>
      </c>
    </row>
    <row r="170" spans="1:3">
      <c r="A170" t="s">
        <v>97</v>
      </c>
      <c r="B170" s="25" t="s">
        <v>267</v>
      </c>
      <c r="C170" s="26" t="s">
        <v>72</v>
      </c>
    </row>
    <row r="171" spans="1:3">
      <c r="A171" t="s">
        <v>97</v>
      </c>
      <c r="B171" s="25" t="s">
        <v>268</v>
      </c>
      <c r="C171" s="26" t="s">
        <v>72</v>
      </c>
    </row>
    <row r="172" spans="1:3">
      <c r="A172" t="s">
        <v>97</v>
      </c>
      <c r="B172" s="25" t="s">
        <v>269</v>
      </c>
      <c r="C172" s="26" t="s">
        <v>72</v>
      </c>
    </row>
    <row r="173" spans="1:3">
      <c r="A173" t="s">
        <v>97</v>
      </c>
      <c r="B173" s="25" t="s">
        <v>270</v>
      </c>
      <c r="C173" s="26" t="s">
        <v>72</v>
      </c>
    </row>
    <row r="174" spans="1:3">
      <c r="A174" t="s">
        <v>97</v>
      </c>
      <c r="B174" s="25" t="s">
        <v>271</v>
      </c>
      <c r="C174" s="26" t="s">
        <v>72</v>
      </c>
    </row>
    <row r="175" spans="1:3">
      <c r="A175" t="s">
        <v>97</v>
      </c>
      <c r="B175" s="25" t="s">
        <v>272</v>
      </c>
      <c r="C175" s="26" t="s">
        <v>72</v>
      </c>
    </row>
    <row r="176" spans="1:3" ht="26.25">
      <c r="A176" t="s">
        <v>97</v>
      </c>
      <c r="B176" s="25" t="s">
        <v>273</v>
      </c>
      <c r="C176" s="26" t="s">
        <v>72</v>
      </c>
    </row>
    <row r="177" spans="1:3">
      <c r="A177" t="s">
        <v>97</v>
      </c>
      <c r="B177" s="25" t="s">
        <v>274</v>
      </c>
      <c r="C177" s="26" t="s">
        <v>72</v>
      </c>
    </row>
    <row r="178" spans="1:3">
      <c r="A178" t="s">
        <v>97</v>
      </c>
      <c r="B178" s="25" t="s">
        <v>275</v>
      </c>
      <c r="C178" s="26" t="s">
        <v>72</v>
      </c>
    </row>
    <row r="179" spans="1:3">
      <c r="A179" t="s">
        <v>97</v>
      </c>
      <c r="B179" s="25" t="s">
        <v>276</v>
      </c>
      <c r="C179" s="26" t="s">
        <v>72</v>
      </c>
    </row>
    <row r="180" spans="1:3">
      <c r="A180" t="s">
        <v>97</v>
      </c>
      <c r="B180" s="25" t="s">
        <v>277</v>
      </c>
      <c r="C180" s="26" t="s">
        <v>72</v>
      </c>
    </row>
    <row r="181" spans="1:3" ht="26.25">
      <c r="A181" t="s">
        <v>97</v>
      </c>
      <c r="B181" s="25" t="s">
        <v>278</v>
      </c>
      <c r="C181" s="26" t="s">
        <v>72</v>
      </c>
    </row>
    <row r="182" spans="1:3">
      <c r="A182" t="s">
        <v>99</v>
      </c>
      <c r="B182" s="27" t="s">
        <v>279</v>
      </c>
      <c r="C182" s="26" t="s">
        <v>72</v>
      </c>
    </row>
    <row r="183" spans="1:3">
      <c r="A183" t="s">
        <v>97</v>
      </c>
      <c r="B183" s="25" t="s">
        <v>280</v>
      </c>
      <c r="C183" s="26" t="s">
        <v>72</v>
      </c>
    </row>
    <row r="184" spans="1:3">
      <c r="A184" t="s">
        <v>99</v>
      </c>
      <c r="B184" s="27" t="s">
        <v>281</v>
      </c>
      <c r="C184" s="26" t="s">
        <v>72</v>
      </c>
    </row>
    <row r="185" spans="1:3">
      <c r="A185" t="s">
        <v>99</v>
      </c>
      <c r="B185" s="25" t="s">
        <v>282</v>
      </c>
      <c r="C185" s="26" t="s">
        <v>72</v>
      </c>
    </row>
    <row r="186" spans="1:3">
      <c r="A186" t="s">
        <v>99</v>
      </c>
      <c r="B186" s="25" t="s">
        <v>283</v>
      </c>
      <c r="C186" s="26" t="s">
        <v>72</v>
      </c>
    </row>
    <row r="187" spans="1:3">
      <c r="A187" t="s">
        <v>97</v>
      </c>
      <c r="B187" s="25" t="s">
        <v>284</v>
      </c>
      <c r="C187" s="26" t="s">
        <v>72</v>
      </c>
    </row>
    <row r="188" spans="1:3">
      <c r="A188" t="s">
        <v>97</v>
      </c>
      <c r="B188" s="25" t="s">
        <v>285</v>
      </c>
      <c r="C188" s="26" t="s">
        <v>72</v>
      </c>
    </row>
    <row r="189" spans="1:3" ht="26.25">
      <c r="A189" t="s">
        <v>99</v>
      </c>
      <c r="B189" s="25" t="s">
        <v>286</v>
      </c>
      <c r="C189" s="26" t="s">
        <v>64</v>
      </c>
    </row>
    <row r="190" spans="1:3">
      <c r="A190" t="s">
        <v>99</v>
      </c>
      <c r="B190" s="25" t="s">
        <v>287</v>
      </c>
      <c r="C190" s="26" t="s">
        <v>72</v>
      </c>
    </row>
    <row r="191" spans="1:3">
      <c r="A191" t="s">
        <v>99</v>
      </c>
      <c r="B191" s="25" t="s">
        <v>288</v>
      </c>
      <c r="C191" s="26" t="s">
        <v>72</v>
      </c>
    </row>
    <row r="192" spans="1:3">
      <c r="A192" t="s">
        <v>99</v>
      </c>
      <c r="B192" s="25" t="s">
        <v>289</v>
      </c>
      <c r="C192" s="26" t="s">
        <v>72</v>
      </c>
    </row>
    <row r="193" spans="1:3">
      <c r="A193" t="s">
        <v>97</v>
      </c>
      <c r="B193" s="25" t="s">
        <v>290</v>
      </c>
      <c r="C193" s="26" t="s">
        <v>72</v>
      </c>
    </row>
    <row r="194" spans="1:3">
      <c r="A194" t="s">
        <v>97</v>
      </c>
      <c r="B194" s="25" t="s">
        <v>291</v>
      </c>
      <c r="C194" s="26" t="s">
        <v>72</v>
      </c>
    </row>
    <row r="195" spans="1:3">
      <c r="A195" t="s">
        <v>97</v>
      </c>
      <c r="B195" s="25" t="s">
        <v>292</v>
      </c>
      <c r="C195" s="26" t="s">
        <v>72</v>
      </c>
    </row>
    <row r="196" spans="1:3">
      <c r="A196" t="s">
        <v>99</v>
      </c>
      <c r="B196" s="25" t="s">
        <v>293</v>
      </c>
      <c r="C196" s="26" t="s">
        <v>72</v>
      </c>
    </row>
    <row r="197" spans="1:3">
      <c r="A197" t="s">
        <v>97</v>
      </c>
      <c r="B197" s="25" t="s">
        <v>294</v>
      </c>
      <c r="C197" s="26" t="s">
        <v>72</v>
      </c>
    </row>
    <row r="198" spans="1:3">
      <c r="A198" t="s">
        <v>99</v>
      </c>
      <c r="B198" s="25" t="s">
        <v>295</v>
      </c>
      <c r="C198" s="26" t="s">
        <v>72</v>
      </c>
    </row>
    <row r="199" spans="1:3">
      <c r="A199" t="s">
        <v>97</v>
      </c>
      <c r="B199" s="25" t="s">
        <v>296</v>
      </c>
      <c r="C199" s="26" t="s">
        <v>72</v>
      </c>
    </row>
    <row r="200" spans="1:3">
      <c r="A200" t="s">
        <v>99</v>
      </c>
      <c r="B200" s="25" t="s">
        <v>297</v>
      </c>
      <c r="C200" s="26" t="s">
        <v>72</v>
      </c>
    </row>
    <row r="201" spans="1:3">
      <c r="A201" t="s">
        <v>97</v>
      </c>
      <c r="B201" s="25" t="s">
        <v>298</v>
      </c>
      <c r="C201" s="26" t="s">
        <v>72</v>
      </c>
    </row>
    <row r="202" spans="1:3">
      <c r="A202" t="s">
        <v>97</v>
      </c>
      <c r="B202" s="25" t="s">
        <v>299</v>
      </c>
      <c r="C202" s="26" t="s">
        <v>72</v>
      </c>
    </row>
    <row r="203" spans="1:3">
      <c r="A203" t="s">
        <v>97</v>
      </c>
      <c r="B203" s="25" t="s">
        <v>300</v>
      </c>
      <c r="C203" s="26" t="s">
        <v>64</v>
      </c>
    </row>
    <row r="204" spans="1:3">
      <c r="A204" t="s">
        <v>97</v>
      </c>
      <c r="B204" s="25" t="s">
        <v>301</v>
      </c>
      <c r="C204" s="26" t="s">
        <v>72</v>
      </c>
    </row>
    <row r="205" spans="1:3">
      <c r="A205" t="s">
        <v>99</v>
      </c>
      <c r="B205" s="25" t="s">
        <v>302</v>
      </c>
      <c r="C205" s="26" t="s">
        <v>72</v>
      </c>
    </row>
    <row r="206" spans="1:3">
      <c r="A206" t="s">
        <v>97</v>
      </c>
      <c r="B206" s="25" t="s">
        <v>303</v>
      </c>
      <c r="C206" s="26" t="s">
        <v>64</v>
      </c>
    </row>
    <row r="207" spans="1:3">
      <c r="A207" t="s">
        <v>97</v>
      </c>
      <c r="B207" s="25" t="s">
        <v>304</v>
      </c>
      <c r="C207" s="26" t="s">
        <v>72</v>
      </c>
    </row>
    <row r="208" spans="1:3">
      <c r="A208" t="s">
        <v>99</v>
      </c>
      <c r="B208" s="25" t="s">
        <v>305</v>
      </c>
      <c r="C208" s="26" t="s">
        <v>72</v>
      </c>
    </row>
    <row r="209" spans="1:3">
      <c r="A209" t="s">
        <v>97</v>
      </c>
      <c r="B209" s="25" t="s">
        <v>306</v>
      </c>
      <c r="C209" s="26" t="s">
        <v>72</v>
      </c>
    </row>
    <row r="210" spans="1:3">
      <c r="A210" t="s">
        <v>97</v>
      </c>
      <c r="B210" s="25" t="s">
        <v>307</v>
      </c>
      <c r="C210" s="26" t="s">
        <v>72</v>
      </c>
    </row>
    <row r="211" spans="1:3">
      <c r="A211" t="s">
        <v>97</v>
      </c>
      <c r="B211" s="25" t="s">
        <v>308</v>
      </c>
      <c r="C211" s="26" t="s">
        <v>64</v>
      </c>
    </row>
    <row r="212" spans="1:3">
      <c r="A212" t="s">
        <v>97</v>
      </c>
      <c r="B212" s="25" t="s">
        <v>309</v>
      </c>
      <c r="C212" s="26" t="s">
        <v>72</v>
      </c>
    </row>
    <row r="213" spans="1:3">
      <c r="A213" t="s">
        <v>97</v>
      </c>
      <c r="B213" s="25" t="s">
        <v>310</v>
      </c>
      <c r="C213" s="26" t="s">
        <v>109</v>
      </c>
    </row>
    <row r="214" spans="1:3">
      <c r="A214" t="s">
        <v>97</v>
      </c>
      <c r="B214" s="25" t="s">
        <v>311</v>
      </c>
      <c r="C214" s="26" t="s">
        <v>64</v>
      </c>
    </row>
    <row r="215" spans="1:3">
      <c r="A215" t="s">
        <v>97</v>
      </c>
      <c r="B215" s="25" t="s">
        <v>312</v>
      </c>
      <c r="C215" s="26" t="s">
        <v>64</v>
      </c>
    </row>
    <row r="216" spans="1:3">
      <c r="A216" t="s">
        <v>97</v>
      </c>
      <c r="B216" s="25" t="s">
        <v>313</v>
      </c>
      <c r="C216" s="26" t="s">
        <v>64</v>
      </c>
    </row>
    <row r="217" spans="1:3">
      <c r="A217" t="s">
        <v>97</v>
      </c>
      <c r="B217" s="25" t="s">
        <v>314</v>
      </c>
      <c r="C217" s="26" t="s">
        <v>64</v>
      </c>
    </row>
    <row r="218" spans="1:3">
      <c r="A218" t="s">
        <v>99</v>
      </c>
      <c r="B218" s="25" t="s">
        <v>315</v>
      </c>
      <c r="C218" s="26" t="s">
        <v>72</v>
      </c>
    </row>
    <row r="219" spans="1:3">
      <c r="A219" t="s">
        <v>97</v>
      </c>
      <c r="B219" s="25" t="s">
        <v>316</v>
      </c>
      <c r="C219" s="26" t="s">
        <v>64</v>
      </c>
    </row>
    <row r="220" spans="1:3">
      <c r="A220" t="s">
        <v>97</v>
      </c>
      <c r="B220" s="25" t="s">
        <v>317</v>
      </c>
      <c r="C220" s="26" t="s">
        <v>64</v>
      </c>
    </row>
    <row r="221" spans="1:3">
      <c r="A221" t="s">
        <v>99</v>
      </c>
      <c r="B221" s="25" t="s">
        <v>318</v>
      </c>
      <c r="C221" s="26" t="s">
        <v>64</v>
      </c>
    </row>
    <row r="222" spans="1:3">
      <c r="A222" t="s">
        <v>99</v>
      </c>
      <c r="B222" s="25" t="s">
        <v>319</v>
      </c>
      <c r="C222" s="26" t="s">
        <v>64</v>
      </c>
    </row>
    <row r="223" spans="1:3">
      <c r="A223" t="s">
        <v>97</v>
      </c>
      <c r="B223" s="25" t="s">
        <v>320</v>
      </c>
      <c r="C223" s="26" t="s">
        <v>72</v>
      </c>
    </row>
    <row r="224" spans="1:3" ht="15" customHeight="1">
      <c r="A224" t="s">
        <v>97</v>
      </c>
      <c r="B224" s="25" t="s">
        <v>321</v>
      </c>
      <c r="C224" s="26" t="s">
        <v>72</v>
      </c>
    </row>
    <row r="225" spans="1:3" ht="15" customHeight="1">
      <c r="A225" t="s">
        <v>99</v>
      </c>
      <c r="B225" s="25" t="s">
        <v>322</v>
      </c>
      <c r="C225" s="26" t="s">
        <v>64</v>
      </c>
    </row>
    <row r="226" spans="1:3" ht="15" customHeight="1">
      <c r="A226" t="s">
        <v>97</v>
      </c>
      <c r="B226" s="25" t="s">
        <v>323</v>
      </c>
      <c r="C226" s="26" t="s">
        <v>72</v>
      </c>
    </row>
    <row r="227" spans="1:3" ht="15" customHeight="1">
      <c r="A227" t="s">
        <v>97</v>
      </c>
      <c r="B227" s="25" t="s">
        <v>324</v>
      </c>
      <c r="C227" s="26" t="s">
        <v>72</v>
      </c>
    </row>
    <row r="228" spans="1:3" ht="15" customHeight="1">
      <c r="A228" t="s">
        <v>99</v>
      </c>
      <c r="B228" s="25" t="s">
        <v>325</v>
      </c>
      <c r="C228" s="26" t="s">
        <v>72</v>
      </c>
    </row>
    <row r="229" spans="1:3" ht="15" customHeight="1">
      <c r="A229" t="s">
        <v>97</v>
      </c>
      <c r="B229" s="25" t="s">
        <v>326</v>
      </c>
      <c r="C229" s="26" t="s">
        <v>64</v>
      </c>
    </row>
    <row r="230" spans="1:3" ht="15" customHeight="1">
      <c r="A230" t="s">
        <v>99</v>
      </c>
      <c r="B230" s="25" t="s">
        <v>327</v>
      </c>
      <c r="C230" s="26" t="s">
        <v>72</v>
      </c>
    </row>
    <row r="231" spans="1:3" ht="15" customHeight="1">
      <c r="A231" t="s">
        <v>97</v>
      </c>
      <c r="B231" s="25" t="s">
        <v>328</v>
      </c>
      <c r="C231" s="26" t="s">
        <v>72</v>
      </c>
    </row>
    <row r="232" spans="1:3" ht="15" customHeight="1">
      <c r="A232" t="s">
        <v>99</v>
      </c>
      <c r="B232" s="25" t="s">
        <v>329</v>
      </c>
      <c r="C232" s="26" t="s">
        <v>72</v>
      </c>
    </row>
    <row r="233" spans="1:3" ht="15" customHeight="1">
      <c r="A233" t="s">
        <v>97</v>
      </c>
      <c r="B233" s="25" t="s">
        <v>330</v>
      </c>
      <c r="C233" s="26" t="s">
        <v>72</v>
      </c>
    </row>
    <row r="234" spans="1:3">
      <c r="A234" t="s">
        <v>97</v>
      </c>
      <c r="B234" s="25" t="s">
        <v>331</v>
      </c>
      <c r="C234" s="26" t="s">
        <v>72</v>
      </c>
    </row>
    <row r="235" spans="1:3">
      <c r="A235" t="s">
        <v>97</v>
      </c>
      <c r="B235" s="25" t="s">
        <v>332</v>
      </c>
      <c r="C235" s="26" t="s">
        <v>64</v>
      </c>
    </row>
    <row r="236" spans="1:3">
      <c r="A236" t="s">
        <v>99</v>
      </c>
      <c r="B236" s="25" t="s">
        <v>333</v>
      </c>
      <c r="C236" s="26" t="s">
        <v>72</v>
      </c>
    </row>
    <row r="237" spans="1:3">
      <c r="A237" t="s">
        <v>97</v>
      </c>
      <c r="B237" s="25" t="s">
        <v>334</v>
      </c>
      <c r="C237" s="26" t="s">
        <v>64</v>
      </c>
    </row>
    <row r="238" spans="1:3">
      <c r="A238" t="s">
        <v>99</v>
      </c>
      <c r="B238" s="25" t="s">
        <v>335</v>
      </c>
      <c r="C238" s="26" t="s">
        <v>72</v>
      </c>
    </row>
    <row r="239" spans="1:3">
      <c r="A239" t="s">
        <v>97</v>
      </c>
      <c r="B239" s="25" t="s">
        <v>336</v>
      </c>
      <c r="C239" s="26" t="s">
        <v>72</v>
      </c>
    </row>
    <row r="240" spans="1:3">
      <c r="A240" t="s">
        <v>99</v>
      </c>
      <c r="B240" s="25" t="s">
        <v>337</v>
      </c>
      <c r="C240" s="26" t="s">
        <v>72</v>
      </c>
    </row>
    <row r="241" spans="1:3">
      <c r="A241" t="s">
        <v>97</v>
      </c>
      <c r="B241" s="25" t="s">
        <v>338</v>
      </c>
      <c r="C241" s="26" t="s">
        <v>72</v>
      </c>
    </row>
    <row r="242" spans="1:3">
      <c r="A242" t="s">
        <v>97</v>
      </c>
      <c r="B242" s="25" t="s">
        <v>339</v>
      </c>
      <c r="C242" s="26" t="s">
        <v>72</v>
      </c>
    </row>
    <row r="243" spans="1:3">
      <c r="A243" t="s">
        <v>97</v>
      </c>
      <c r="B243" s="25" t="s">
        <v>340</v>
      </c>
      <c r="C243" s="26" t="s">
        <v>72</v>
      </c>
    </row>
    <row r="244" spans="1:3">
      <c r="A244" t="s">
        <v>97</v>
      </c>
      <c r="B244" s="25" t="s">
        <v>341</v>
      </c>
      <c r="C244" s="26" t="s">
        <v>72</v>
      </c>
    </row>
    <row r="245" spans="1:3">
      <c r="A245" t="s">
        <v>97</v>
      </c>
      <c r="B245" s="25" t="s">
        <v>342</v>
      </c>
      <c r="C245" s="26" t="s">
        <v>64</v>
      </c>
    </row>
    <row r="246" spans="1:3">
      <c r="A246" t="s">
        <v>97</v>
      </c>
      <c r="B246" s="25" t="s">
        <v>343</v>
      </c>
      <c r="C246" s="26" t="s">
        <v>72</v>
      </c>
    </row>
    <row r="247" spans="1:3">
      <c r="A247" t="s">
        <v>97</v>
      </c>
      <c r="B247" s="25" t="s">
        <v>344</v>
      </c>
      <c r="C247" s="26" t="s">
        <v>64</v>
      </c>
    </row>
    <row r="248" spans="1:3">
      <c r="A248" t="s">
        <v>99</v>
      </c>
      <c r="B248" s="25" t="s">
        <v>345</v>
      </c>
      <c r="C248" s="26" t="s">
        <v>64</v>
      </c>
    </row>
    <row r="249" spans="1:3">
      <c r="A249" t="s">
        <v>97</v>
      </c>
      <c r="B249" s="25" t="s">
        <v>346</v>
      </c>
      <c r="C249" s="26" t="s">
        <v>64</v>
      </c>
    </row>
    <row r="250" spans="1:3">
      <c r="A250" t="s">
        <v>97</v>
      </c>
      <c r="B250" s="25" t="s">
        <v>347</v>
      </c>
      <c r="C250" s="26" t="s">
        <v>72</v>
      </c>
    </row>
    <row r="251" spans="1:3">
      <c r="A251" t="s">
        <v>99</v>
      </c>
      <c r="B251" s="25" t="s">
        <v>348</v>
      </c>
      <c r="C251" s="26" t="s">
        <v>72</v>
      </c>
    </row>
    <row r="252" spans="1:3">
      <c r="A252" t="s">
        <v>99</v>
      </c>
      <c r="B252" s="25" t="s">
        <v>349</v>
      </c>
      <c r="C252" s="26" t="s">
        <v>72</v>
      </c>
    </row>
    <row r="253" spans="1:3">
      <c r="A253" t="s">
        <v>97</v>
      </c>
      <c r="B253" s="25" t="s">
        <v>350</v>
      </c>
      <c r="C253" s="26" t="s">
        <v>72</v>
      </c>
    </row>
    <row r="254" spans="1:3" ht="26.25">
      <c r="A254" t="s">
        <v>99</v>
      </c>
      <c r="B254" s="25" t="s">
        <v>351</v>
      </c>
      <c r="C254" s="26" t="s">
        <v>72</v>
      </c>
    </row>
    <row r="255" spans="1:3">
      <c r="A255" t="s">
        <v>97</v>
      </c>
      <c r="B255" s="25" t="s">
        <v>352</v>
      </c>
      <c r="C255" s="26" t="s">
        <v>72</v>
      </c>
    </row>
    <row r="256" spans="1:3">
      <c r="A256" t="s">
        <v>97</v>
      </c>
      <c r="B256" s="25" t="s">
        <v>353</v>
      </c>
      <c r="C256" s="26" t="s">
        <v>72</v>
      </c>
    </row>
    <row r="257" spans="1:3">
      <c r="A257" t="s">
        <v>99</v>
      </c>
      <c r="B257" s="25" t="s">
        <v>354</v>
      </c>
      <c r="C257" s="26" t="s">
        <v>64</v>
      </c>
    </row>
    <row r="258" spans="1:3">
      <c r="A258" t="s">
        <v>97</v>
      </c>
      <c r="B258" s="25" t="s">
        <v>355</v>
      </c>
      <c r="C258" s="26" t="s">
        <v>72</v>
      </c>
    </row>
    <row r="259" spans="1:3">
      <c r="A259" t="s">
        <v>97</v>
      </c>
      <c r="B259" s="25" t="s">
        <v>356</v>
      </c>
      <c r="C259" s="26" t="s">
        <v>64</v>
      </c>
    </row>
    <row r="260" spans="1:3">
      <c r="A260" t="s">
        <v>97</v>
      </c>
      <c r="B260" s="25" t="s">
        <v>357</v>
      </c>
      <c r="C260" s="26" t="s">
        <v>64</v>
      </c>
    </row>
    <row r="261" spans="1:3">
      <c r="A261" t="s">
        <v>97</v>
      </c>
      <c r="B261" s="25" t="s">
        <v>358</v>
      </c>
      <c r="C261" s="26" t="s">
        <v>64</v>
      </c>
    </row>
    <row r="262" spans="1:3">
      <c r="A262" t="s">
        <v>99</v>
      </c>
      <c r="B262" s="25" t="s">
        <v>359</v>
      </c>
      <c r="C262" s="26" t="s">
        <v>72</v>
      </c>
    </row>
    <row r="263" spans="1:3" ht="15" customHeight="1">
      <c r="A263" t="s">
        <v>97</v>
      </c>
      <c r="B263" s="25" t="s">
        <v>360</v>
      </c>
      <c r="C263" s="26" t="s">
        <v>64</v>
      </c>
    </row>
    <row r="264" spans="1:3" ht="15" customHeight="1">
      <c r="A264" t="s">
        <v>97</v>
      </c>
      <c r="B264" s="25" t="s">
        <v>361</v>
      </c>
      <c r="C264" s="26" t="s">
        <v>64</v>
      </c>
    </row>
    <row r="265" spans="1:3" ht="15" customHeight="1">
      <c r="A265" t="s">
        <v>97</v>
      </c>
      <c r="B265" s="25" t="s">
        <v>362</v>
      </c>
      <c r="C265" s="26" t="s">
        <v>64</v>
      </c>
    </row>
    <row r="266" spans="1:3">
      <c r="A266" t="s">
        <v>97</v>
      </c>
      <c r="B266" s="25" t="s">
        <v>363</v>
      </c>
      <c r="C266" s="26" t="s">
        <v>64</v>
      </c>
    </row>
    <row r="267" spans="1:3">
      <c r="A267" t="s">
        <v>97</v>
      </c>
      <c r="B267" s="25" t="s">
        <v>364</v>
      </c>
      <c r="C267" s="26" t="s">
        <v>64</v>
      </c>
    </row>
    <row r="268" spans="1:3">
      <c r="A268" t="s">
        <v>97</v>
      </c>
      <c r="B268" s="25" t="s">
        <v>365</v>
      </c>
      <c r="C268" s="26" t="s">
        <v>64</v>
      </c>
    </row>
    <row r="269" spans="1:3">
      <c r="A269" t="s">
        <v>99</v>
      </c>
      <c r="B269" s="25" t="s">
        <v>366</v>
      </c>
      <c r="C269" s="26" t="s">
        <v>72</v>
      </c>
    </row>
    <row r="270" spans="1:3">
      <c r="A270" t="s">
        <v>97</v>
      </c>
      <c r="B270" s="25" t="s">
        <v>367</v>
      </c>
      <c r="C270" s="26" t="s">
        <v>72</v>
      </c>
    </row>
    <row r="271" spans="1:3">
      <c r="A271" t="s">
        <v>97</v>
      </c>
      <c r="B271" s="25" t="s">
        <v>368</v>
      </c>
      <c r="C271" s="26" t="s">
        <v>64</v>
      </c>
    </row>
    <row r="272" spans="1:3">
      <c r="A272" t="s">
        <v>97</v>
      </c>
      <c r="B272" s="25" t="s">
        <v>369</v>
      </c>
      <c r="C272" s="26" t="s">
        <v>64</v>
      </c>
    </row>
    <row r="273" spans="1:3">
      <c r="A273" t="s">
        <v>97</v>
      </c>
      <c r="B273" s="25" t="s">
        <v>370</v>
      </c>
      <c r="C273" s="26" t="s">
        <v>64</v>
      </c>
    </row>
    <row r="274" spans="1:3">
      <c r="A274" t="s">
        <v>97</v>
      </c>
      <c r="B274" s="25" t="s">
        <v>371</v>
      </c>
      <c r="C274" s="26" t="s">
        <v>64</v>
      </c>
    </row>
    <row r="275" spans="1:3">
      <c r="A275" t="s">
        <v>99</v>
      </c>
      <c r="B275" s="27" t="s">
        <v>372</v>
      </c>
      <c r="C275" s="26" t="s">
        <v>72</v>
      </c>
    </row>
    <row r="276" spans="1:3">
      <c r="A276" t="s">
        <v>97</v>
      </c>
      <c r="B276" s="25" t="s">
        <v>373</v>
      </c>
      <c r="C276" s="26" t="s">
        <v>64</v>
      </c>
    </row>
    <row r="277" spans="1:3">
      <c r="A277" t="s">
        <v>97</v>
      </c>
      <c r="B277" s="25" t="s">
        <v>374</v>
      </c>
      <c r="C277" s="26" t="s">
        <v>64</v>
      </c>
    </row>
    <row r="278" spans="1:3">
      <c r="A278" t="s">
        <v>97</v>
      </c>
      <c r="B278" s="25" t="s">
        <v>375</v>
      </c>
      <c r="C278" s="26" t="s">
        <v>64</v>
      </c>
    </row>
    <row r="279" spans="1:3">
      <c r="A279" t="s">
        <v>99</v>
      </c>
      <c r="B279" s="25" t="s">
        <v>376</v>
      </c>
      <c r="C279" s="26" t="s">
        <v>64</v>
      </c>
    </row>
    <row r="280" spans="1:3">
      <c r="A280" t="s">
        <v>99</v>
      </c>
      <c r="B280" s="25" t="s">
        <v>377</v>
      </c>
      <c r="C280" s="26" t="s">
        <v>64</v>
      </c>
    </row>
    <row r="281" spans="1:3">
      <c r="A281" t="s">
        <v>97</v>
      </c>
      <c r="B281" s="25" t="s">
        <v>378</v>
      </c>
      <c r="C281" s="26" t="s">
        <v>72</v>
      </c>
    </row>
    <row r="282" spans="1:3">
      <c r="A282" t="s">
        <v>99</v>
      </c>
      <c r="B282" s="25" t="s">
        <v>379</v>
      </c>
      <c r="C282" s="26" t="s">
        <v>64</v>
      </c>
    </row>
    <row r="283" spans="1:3">
      <c r="A283" t="s">
        <v>99</v>
      </c>
      <c r="B283" s="25" t="s">
        <v>380</v>
      </c>
      <c r="C283" s="26" t="s">
        <v>72</v>
      </c>
    </row>
    <row r="284" spans="1:3">
      <c r="A284" t="s">
        <v>99</v>
      </c>
      <c r="B284" s="25" t="s">
        <v>381</v>
      </c>
      <c r="C284" s="26" t="s">
        <v>72</v>
      </c>
    </row>
    <row r="285" spans="1:3">
      <c r="A285" t="s">
        <v>99</v>
      </c>
      <c r="B285" s="25" t="s">
        <v>382</v>
      </c>
      <c r="C285" s="26" t="s">
        <v>72</v>
      </c>
    </row>
    <row r="286" spans="1:3">
      <c r="A286" t="s">
        <v>99</v>
      </c>
      <c r="B286" s="25" t="s">
        <v>383</v>
      </c>
      <c r="C286" s="26" t="s">
        <v>72</v>
      </c>
    </row>
    <row r="287" spans="1:3">
      <c r="A287" t="s">
        <v>97</v>
      </c>
      <c r="B287" s="25" t="s">
        <v>384</v>
      </c>
      <c r="C287" s="26" t="s">
        <v>64</v>
      </c>
    </row>
    <row r="288" spans="1:3">
      <c r="A288" t="s">
        <v>99</v>
      </c>
      <c r="B288" s="27" t="s">
        <v>385</v>
      </c>
      <c r="C288" s="26" t="s">
        <v>64</v>
      </c>
    </row>
    <row r="289" spans="1:3">
      <c r="A289" t="s">
        <v>99</v>
      </c>
      <c r="B289" s="25" t="s">
        <v>386</v>
      </c>
      <c r="C289" s="26" t="s">
        <v>64</v>
      </c>
    </row>
    <row r="290" spans="1:3">
      <c r="A290" t="s">
        <v>99</v>
      </c>
      <c r="B290" s="27" t="s">
        <v>387</v>
      </c>
      <c r="C290" s="26" t="s">
        <v>64</v>
      </c>
    </row>
    <row r="291" spans="1:3">
      <c r="A291" t="s">
        <v>97</v>
      </c>
      <c r="B291" s="25" t="s">
        <v>388</v>
      </c>
      <c r="C291" s="26" t="s">
        <v>64</v>
      </c>
    </row>
    <row r="292" spans="1:3">
      <c r="A292" t="s">
        <v>97</v>
      </c>
      <c r="B292" s="25" t="s">
        <v>389</v>
      </c>
      <c r="C292" s="26" t="s">
        <v>64</v>
      </c>
    </row>
    <row r="293" spans="1:3">
      <c r="A293" t="s">
        <v>99</v>
      </c>
      <c r="B293" s="25" t="s">
        <v>390</v>
      </c>
      <c r="C293" s="26" t="s">
        <v>72</v>
      </c>
    </row>
    <row r="294" spans="1:3">
      <c r="A294" t="s">
        <v>97</v>
      </c>
      <c r="B294" s="25" t="s">
        <v>391</v>
      </c>
      <c r="C294" s="26" t="s">
        <v>72</v>
      </c>
    </row>
    <row r="295" spans="1:3">
      <c r="A295" t="s">
        <v>97</v>
      </c>
      <c r="B295" s="25" t="s">
        <v>392</v>
      </c>
      <c r="C295" s="26" t="s">
        <v>72</v>
      </c>
    </row>
    <row r="296" spans="1:3">
      <c r="A296" t="s">
        <v>99</v>
      </c>
      <c r="B296" s="25" t="s">
        <v>393</v>
      </c>
      <c r="C296" s="26" t="s">
        <v>64</v>
      </c>
    </row>
    <row r="297" spans="1:3">
      <c r="A297" t="s">
        <v>99</v>
      </c>
      <c r="B297" s="25" t="s">
        <v>394</v>
      </c>
      <c r="C297" s="26" t="s">
        <v>72</v>
      </c>
    </row>
    <row r="298" spans="1:3">
      <c r="A298" t="s">
        <v>99</v>
      </c>
      <c r="B298" s="25" t="s">
        <v>395</v>
      </c>
      <c r="C298" s="26" t="s">
        <v>64</v>
      </c>
    </row>
    <row r="299" spans="1:3">
      <c r="A299" t="s">
        <v>99</v>
      </c>
      <c r="B299" s="25" t="s">
        <v>396</v>
      </c>
      <c r="C299" s="26" t="s">
        <v>64</v>
      </c>
    </row>
    <row r="300" spans="1:3" ht="15" customHeight="1">
      <c r="A300" t="s">
        <v>97</v>
      </c>
      <c r="B300" s="25" t="s">
        <v>397</v>
      </c>
      <c r="C300" s="26" t="s">
        <v>64</v>
      </c>
    </row>
    <row r="301" spans="1:3" ht="15" customHeight="1">
      <c r="A301" t="s">
        <v>97</v>
      </c>
      <c r="B301" s="25" t="s">
        <v>398</v>
      </c>
      <c r="C301" s="26" t="s">
        <v>72</v>
      </c>
    </row>
    <row r="302" spans="1:3">
      <c r="A302" t="s">
        <v>97</v>
      </c>
      <c r="B302" s="25" t="s">
        <v>399</v>
      </c>
      <c r="C302" s="26" t="s">
        <v>72</v>
      </c>
    </row>
    <row r="303" spans="1:3">
      <c r="A303" t="s">
        <v>97</v>
      </c>
      <c r="B303" s="25" t="s">
        <v>400</v>
      </c>
      <c r="C303" s="26" t="s">
        <v>64</v>
      </c>
    </row>
    <row r="304" spans="1:3">
      <c r="A304" t="s">
        <v>97</v>
      </c>
      <c r="B304" s="25" t="s">
        <v>401</v>
      </c>
      <c r="C304" s="26" t="s">
        <v>72</v>
      </c>
    </row>
    <row r="305" spans="1:3">
      <c r="A305" t="s">
        <v>97</v>
      </c>
      <c r="B305" s="25" t="s">
        <v>402</v>
      </c>
      <c r="C305" s="26" t="s">
        <v>72</v>
      </c>
    </row>
    <row r="306" spans="1:3">
      <c r="A306" t="s">
        <v>99</v>
      </c>
      <c r="B306" s="25" t="s">
        <v>403</v>
      </c>
      <c r="C306" s="26" t="s">
        <v>72</v>
      </c>
    </row>
    <row r="307" spans="1:3">
      <c r="A307" t="s">
        <v>99</v>
      </c>
      <c r="B307" s="25" t="s">
        <v>404</v>
      </c>
      <c r="C307" s="26" t="s">
        <v>64</v>
      </c>
    </row>
    <row r="308" spans="1:3">
      <c r="A308" t="s">
        <v>99</v>
      </c>
      <c r="B308" s="25" t="s">
        <v>405</v>
      </c>
      <c r="C308" s="26" t="s">
        <v>64</v>
      </c>
    </row>
    <row r="309" spans="1:3">
      <c r="A309" t="s">
        <v>99</v>
      </c>
      <c r="B309" s="25" t="s">
        <v>406</v>
      </c>
      <c r="C309" s="26" t="s">
        <v>72</v>
      </c>
    </row>
    <row r="310" spans="1:3">
      <c r="A310" t="s">
        <v>99</v>
      </c>
      <c r="B310" s="25" t="s">
        <v>407</v>
      </c>
      <c r="C310" s="26" t="s">
        <v>408</v>
      </c>
    </row>
    <row r="311" spans="1:3">
      <c r="A311" t="s">
        <v>97</v>
      </c>
      <c r="B311" s="25" t="s">
        <v>409</v>
      </c>
      <c r="C311" s="26" t="s">
        <v>72</v>
      </c>
    </row>
    <row r="312" spans="1:3">
      <c r="A312" t="s">
        <v>99</v>
      </c>
      <c r="B312" s="25" t="s">
        <v>410</v>
      </c>
      <c r="C312" s="26" t="s">
        <v>72</v>
      </c>
    </row>
    <row r="313" spans="1:3">
      <c r="A313" t="s">
        <v>97</v>
      </c>
      <c r="B313" s="25" t="s">
        <v>411</v>
      </c>
      <c r="C313" s="26" t="s">
        <v>72</v>
      </c>
    </row>
    <row r="314" spans="1:3">
      <c r="A314" t="s">
        <v>97</v>
      </c>
      <c r="B314" s="25" t="s">
        <v>412</v>
      </c>
      <c r="C314" s="26" t="s">
        <v>72</v>
      </c>
    </row>
    <row r="315" spans="1:3">
      <c r="A315" t="s">
        <v>99</v>
      </c>
      <c r="B315" s="25" t="s">
        <v>413</v>
      </c>
      <c r="C315" s="26" t="s">
        <v>64</v>
      </c>
    </row>
    <row r="316" spans="1:3">
      <c r="A316" t="s">
        <v>97</v>
      </c>
      <c r="B316" s="25" t="s">
        <v>414</v>
      </c>
      <c r="C316" s="26" t="s">
        <v>64</v>
      </c>
    </row>
    <row r="317" spans="1:3">
      <c r="A317" t="s">
        <v>97</v>
      </c>
      <c r="B317" s="25" t="s">
        <v>415</v>
      </c>
      <c r="C317" s="26" t="s">
        <v>64</v>
      </c>
    </row>
    <row r="318" spans="1:3" ht="15" customHeight="1">
      <c r="A318" t="s">
        <v>97</v>
      </c>
      <c r="B318" s="25" t="s">
        <v>416</v>
      </c>
      <c r="C318" s="26" t="s">
        <v>64</v>
      </c>
    </row>
    <row r="319" spans="1:3" ht="15" customHeight="1">
      <c r="A319" t="s">
        <v>97</v>
      </c>
      <c r="B319" s="25" t="s">
        <v>417</v>
      </c>
      <c r="C319" s="26" t="s">
        <v>64</v>
      </c>
    </row>
    <row r="320" spans="1:3" ht="15" customHeight="1">
      <c r="A320" t="s">
        <v>99</v>
      </c>
      <c r="B320" s="25" t="s">
        <v>418</v>
      </c>
      <c r="C320" s="26" t="s">
        <v>72</v>
      </c>
    </row>
    <row r="321" spans="1:3" ht="15" customHeight="1">
      <c r="A321" t="s">
        <v>97</v>
      </c>
      <c r="B321" s="25" t="s">
        <v>419</v>
      </c>
      <c r="C321" s="26" t="s">
        <v>72</v>
      </c>
    </row>
    <row r="322" spans="1:3" ht="15" customHeight="1">
      <c r="A322" t="s">
        <v>97</v>
      </c>
      <c r="B322" s="25" t="s">
        <v>420</v>
      </c>
      <c r="C322" s="26" t="s">
        <v>72</v>
      </c>
    </row>
    <row r="323" spans="1:3" ht="15" customHeight="1">
      <c r="A323" t="s">
        <v>99</v>
      </c>
      <c r="B323" s="25" t="s">
        <v>421</v>
      </c>
      <c r="C323" s="26" t="s">
        <v>72</v>
      </c>
    </row>
    <row r="324" spans="1:3" ht="15" customHeight="1">
      <c r="A324" t="s">
        <v>99</v>
      </c>
      <c r="B324" s="25" t="s">
        <v>422</v>
      </c>
      <c r="C324" s="26" t="s">
        <v>72</v>
      </c>
    </row>
    <row r="325" spans="1:3" ht="15" customHeight="1">
      <c r="A325" t="s">
        <v>97</v>
      </c>
      <c r="B325" s="25" t="s">
        <v>423</v>
      </c>
      <c r="C325" s="26" t="s">
        <v>72</v>
      </c>
    </row>
    <row r="326" spans="1:3" ht="15" customHeight="1">
      <c r="A326" t="s">
        <v>99</v>
      </c>
      <c r="B326" s="25" t="s">
        <v>424</v>
      </c>
      <c r="C326" s="26" t="s">
        <v>72</v>
      </c>
    </row>
    <row r="327" spans="1:3">
      <c r="A327" t="s">
        <v>97</v>
      </c>
      <c r="B327" s="25" t="s">
        <v>425</v>
      </c>
      <c r="C327" s="26" t="s">
        <v>72</v>
      </c>
    </row>
    <row r="328" spans="1:3">
      <c r="A328" t="s">
        <v>99</v>
      </c>
      <c r="B328" s="25" t="s">
        <v>426</v>
      </c>
      <c r="C328" s="26" t="s">
        <v>64</v>
      </c>
    </row>
    <row r="329" spans="1:3">
      <c r="A329" t="s">
        <v>99</v>
      </c>
      <c r="B329" s="25" t="s">
        <v>427</v>
      </c>
      <c r="C329" s="26" t="s">
        <v>64</v>
      </c>
    </row>
    <row r="330" spans="1:3">
      <c r="A330" t="s">
        <v>99</v>
      </c>
      <c r="B330" s="25" t="s">
        <v>428</v>
      </c>
      <c r="C330" s="26" t="s">
        <v>72</v>
      </c>
    </row>
    <row r="331" spans="1:3">
      <c r="A331" t="s">
        <v>97</v>
      </c>
      <c r="B331" s="25" t="s">
        <v>429</v>
      </c>
      <c r="C331" s="26" t="s">
        <v>72</v>
      </c>
    </row>
    <row r="332" spans="1:3">
      <c r="A332" t="s">
        <v>97</v>
      </c>
      <c r="B332" s="25" t="s">
        <v>430</v>
      </c>
      <c r="C332" s="26" t="s">
        <v>72</v>
      </c>
    </row>
    <row r="333" spans="1:3">
      <c r="A333" t="s">
        <v>97</v>
      </c>
      <c r="B333" s="25" t="s">
        <v>431</v>
      </c>
      <c r="C333" s="26" t="s">
        <v>72</v>
      </c>
    </row>
    <row r="334" spans="1:3">
      <c r="A334" t="s">
        <v>97</v>
      </c>
      <c r="B334" s="25" t="s">
        <v>432</v>
      </c>
      <c r="C334" s="26" t="s">
        <v>72</v>
      </c>
    </row>
    <row r="335" spans="1:3">
      <c r="A335" t="s">
        <v>97</v>
      </c>
      <c r="B335" s="25" t="s">
        <v>433</v>
      </c>
      <c r="C335" s="26" t="s">
        <v>72</v>
      </c>
    </row>
    <row r="336" spans="1:3">
      <c r="A336" t="s">
        <v>97</v>
      </c>
      <c r="B336" s="25" t="s">
        <v>434</v>
      </c>
      <c r="C336" s="26" t="s">
        <v>72</v>
      </c>
    </row>
    <row r="337" spans="1:3">
      <c r="A337" t="s">
        <v>97</v>
      </c>
      <c r="B337" s="25" t="s">
        <v>435</v>
      </c>
      <c r="C337" s="26" t="s">
        <v>72</v>
      </c>
    </row>
    <row r="338" spans="1:3">
      <c r="A338" t="s">
        <v>97</v>
      </c>
      <c r="B338" s="25" t="s">
        <v>436</v>
      </c>
      <c r="C338" s="26" t="s">
        <v>72</v>
      </c>
    </row>
    <row r="339" spans="1:3" ht="26.25">
      <c r="A339" t="s">
        <v>97</v>
      </c>
      <c r="B339" s="25" t="s">
        <v>437</v>
      </c>
      <c r="C339" s="26" t="s">
        <v>64</v>
      </c>
    </row>
    <row r="340" spans="1:3">
      <c r="A340" t="s">
        <v>99</v>
      </c>
      <c r="B340" s="25" t="s">
        <v>438</v>
      </c>
      <c r="C340" s="26" t="s">
        <v>72</v>
      </c>
    </row>
    <row r="341" spans="1:3">
      <c r="A341" t="s">
        <v>99</v>
      </c>
      <c r="B341" s="25" t="s">
        <v>439</v>
      </c>
      <c r="C341" s="26" t="s">
        <v>72</v>
      </c>
    </row>
    <row r="342" spans="1:3">
      <c r="A342" t="s">
        <v>97</v>
      </c>
      <c r="B342" s="25" t="s">
        <v>440</v>
      </c>
      <c r="C342" s="26" t="s">
        <v>64</v>
      </c>
    </row>
    <row r="343" spans="1:3">
      <c r="A343" t="s">
        <v>97</v>
      </c>
      <c r="B343" s="25" t="s">
        <v>441</v>
      </c>
      <c r="C343" s="26" t="s">
        <v>72</v>
      </c>
    </row>
    <row r="344" spans="1:3" ht="26.25">
      <c r="A344" t="s">
        <v>99</v>
      </c>
      <c r="B344" s="25" t="s">
        <v>442</v>
      </c>
      <c r="C344" s="26" t="s">
        <v>72</v>
      </c>
    </row>
    <row r="345" spans="1:3" ht="26.25">
      <c r="A345" t="s">
        <v>99</v>
      </c>
      <c r="B345" s="25" t="s">
        <v>443</v>
      </c>
      <c r="C345" s="26" t="s">
        <v>72</v>
      </c>
    </row>
    <row r="346" spans="1:3">
      <c r="A346" t="s">
        <v>97</v>
      </c>
      <c r="B346" s="25" t="s">
        <v>444</v>
      </c>
      <c r="C346" s="26" t="s">
        <v>72</v>
      </c>
    </row>
    <row r="347" spans="1:3" ht="15" customHeight="1">
      <c r="A347" t="s">
        <v>97</v>
      </c>
      <c r="B347" s="25" t="s">
        <v>445</v>
      </c>
      <c r="C347" s="26" t="s">
        <v>72</v>
      </c>
    </row>
    <row r="348" spans="1:3">
      <c r="A348" t="s">
        <v>97</v>
      </c>
      <c r="B348" s="25" t="s">
        <v>446</v>
      </c>
      <c r="C348" s="26" t="s">
        <v>72</v>
      </c>
    </row>
    <row r="349" spans="1:3">
      <c r="A349" t="s">
        <v>99</v>
      </c>
      <c r="B349" s="25" t="s">
        <v>447</v>
      </c>
      <c r="C349" s="26" t="s">
        <v>64</v>
      </c>
    </row>
    <row r="350" spans="1:3">
      <c r="A350" t="s">
        <v>97</v>
      </c>
      <c r="B350" s="25" t="s">
        <v>448</v>
      </c>
      <c r="C350" s="26" t="s">
        <v>72</v>
      </c>
    </row>
    <row r="351" spans="1:3">
      <c r="A351" t="s">
        <v>97</v>
      </c>
      <c r="B351" s="25" t="s">
        <v>449</v>
      </c>
      <c r="C351" s="26" t="s">
        <v>72</v>
      </c>
    </row>
    <row r="352" spans="1:3">
      <c r="A352" t="s">
        <v>97</v>
      </c>
      <c r="B352" s="25" t="s">
        <v>450</v>
      </c>
      <c r="C352" s="26" t="s">
        <v>72</v>
      </c>
    </row>
    <row r="353" spans="1:3">
      <c r="A353" t="s">
        <v>99</v>
      </c>
      <c r="B353" s="25" t="s">
        <v>451</v>
      </c>
      <c r="C353" s="26" t="s">
        <v>72</v>
      </c>
    </row>
    <row r="354" spans="1:3">
      <c r="A354" t="s">
        <v>97</v>
      </c>
      <c r="B354" s="25" t="s">
        <v>452</v>
      </c>
      <c r="C354" s="26" t="s">
        <v>72</v>
      </c>
    </row>
    <row r="355" spans="1:3">
      <c r="A355" t="s">
        <v>99</v>
      </c>
      <c r="B355" s="28" t="s">
        <v>453</v>
      </c>
      <c r="C355" s="26" t="s">
        <v>72</v>
      </c>
    </row>
    <row r="356" spans="1:3">
      <c r="A356" t="s">
        <v>97</v>
      </c>
      <c r="B356" s="25" t="s">
        <v>454</v>
      </c>
      <c r="C356" s="26" t="s">
        <v>64</v>
      </c>
    </row>
    <row r="357" spans="1:3" ht="26.25">
      <c r="A357" t="s">
        <v>97</v>
      </c>
      <c r="B357" s="25" t="s">
        <v>455</v>
      </c>
      <c r="C357" s="26" t="s">
        <v>64</v>
      </c>
    </row>
    <row r="358" spans="1:3">
      <c r="A358" t="s">
        <v>97</v>
      </c>
      <c r="B358" s="25" t="s">
        <v>456</v>
      </c>
      <c r="C358" s="26" t="s">
        <v>72</v>
      </c>
    </row>
    <row r="359" spans="1:3">
      <c r="A359" t="s">
        <v>97</v>
      </c>
      <c r="B359" s="25" t="s">
        <v>457</v>
      </c>
      <c r="C359" s="26" t="s">
        <v>64</v>
      </c>
    </row>
    <row r="360" spans="1:3">
      <c r="A360" t="s">
        <v>99</v>
      </c>
      <c r="B360" s="25" t="s">
        <v>458</v>
      </c>
      <c r="C360" s="26" t="s">
        <v>64</v>
      </c>
    </row>
    <row r="361" spans="1:3">
      <c r="A361" t="s">
        <v>97</v>
      </c>
      <c r="B361" s="25" t="s">
        <v>459</v>
      </c>
      <c r="C361" s="26" t="s">
        <v>64</v>
      </c>
    </row>
    <row r="362" spans="1:3">
      <c r="A362" t="s">
        <v>97</v>
      </c>
      <c r="B362" s="25" t="s">
        <v>460</v>
      </c>
      <c r="C362" s="26" t="s">
        <v>64</v>
      </c>
    </row>
    <row r="363" spans="1:3">
      <c r="A363" t="s">
        <v>97</v>
      </c>
      <c r="B363" s="25" t="s">
        <v>461</v>
      </c>
      <c r="C363" s="26" t="s">
        <v>64</v>
      </c>
    </row>
    <row r="364" spans="1:3" ht="26.25">
      <c r="A364" t="s">
        <v>97</v>
      </c>
      <c r="B364" s="25" t="s">
        <v>462</v>
      </c>
      <c r="C364" s="26" t="s">
        <v>64</v>
      </c>
    </row>
    <row r="365" spans="1:3">
      <c r="A365" t="s">
        <v>97</v>
      </c>
      <c r="B365" s="25" t="s">
        <v>463</v>
      </c>
      <c r="C365" s="26" t="s">
        <v>64</v>
      </c>
    </row>
    <row r="366" spans="1:3">
      <c r="A366" t="s">
        <v>97</v>
      </c>
      <c r="B366" s="25" t="s">
        <v>464</v>
      </c>
      <c r="C366" s="26" t="s">
        <v>64</v>
      </c>
    </row>
    <row r="367" spans="1:3">
      <c r="A367" t="s">
        <v>99</v>
      </c>
      <c r="B367" s="25" t="s">
        <v>465</v>
      </c>
      <c r="C367" s="26" t="s">
        <v>64</v>
      </c>
    </row>
    <row r="368" spans="1:3">
      <c r="A368" t="s">
        <v>97</v>
      </c>
      <c r="B368" s="25" t="s">
        <v>466</v>
      </c>
      <c r="C368" s="26" t="s">
        <v>64</v>
      </c>
    </row>
    <row r="369" spans="1:3" ht="26.25">
      <c r="A369" t="s">
        <v>97</v>
      </c>
      <c r="B369" s="25" t="s">
        <v>467</v>
      </c>
      <c r="C369" s="26" t="s">
        <v>64</v>
      </c>
    </row>
    <row r="370" spans="1:3" ht="26.25">
      <c r="A370" t="s">
        <v>97</v>
      </c>
      <c r="B370" s="25" t="s">
        <v>468</v>
      </c>
      <c r="C370" s="26" t="s">
        <v>64</v>
      </c>
    </row>
    <row r="371" spans="1:3" ht="26.25">
      <c r="A371" t="s">
        <v>99</v>
      </c>
      <c r="B371" s="25" t="s">
        <v>469</v>
      </c>
      <c r="C371" s="26" t="s">
        <v>72</v>
      </c>
    </row>
    <row r="372" spans="1:3">
      <c r="A372" t="s">
        <v>97</v>
      </c>
      <c r="B372" s="25" t="s">
        <v>470</v>
      </c>
      <c r="C372" s="26" t="s">
        <v>64</v>
      </c>
    </row>
    <row r="373" spans="1:3" ht="25.5">
      <c r="A373" t="s">
        <v>99</v>
      </c>
      <c r="B373" s="27" t="s">
        <v>471</v>
      </c>
      <c r="C373" s="26" t="s">
        <v>64</v>
      </c>
    </row>
    <row r="374" spans="1:3">
      <c r="A374" t="s">
        <v>97</v>
      </c>
      <c r="B374" s="25" t="s">
        <v>472</v>
      </c>
      <c r="C374" s="26" t="s">
        <v>72</v>
      </c>
    </row>
    <row r="375" spans="1:3">
      <c r="A375" t="s">
        <v>97</v>
      </c>
      <c r="B375" s="25" t="s">
        <v>473</v>
      </c>
      <c r="C375" s="26" t="s">
        <v>72</v>
      </c>
    </row>
    <row r="376" spans="1:3">
      <c r="A376" t="s">
        <v>99</v>
      </c>
      <c r="B376" s="25" t="s">
        <v>474</v>
      </c>
      <c r="C376" s="26" t="s">
        <v>72</v>
      </c>
    </row>
    <row r="377" spans="1:3">
      <c r="A377" t="s">
        <v>99</v>
      </c>
      <c r="B377" s="25" t="s">
        <v>475</v>
      </c>
      <c r="C377" s="26" t="s">
        <v>72</v>
      </c>
    </row>
    <row r="378" spans="1:3">
      <c r="A378" t="s">
        <v>99</v>
      </c>
      <c r="B378" s="25" t="s">
        <v>476</v>
      </c>
      <c r="C378" s="26" t="s">
        <v>72</v>
      </c>
    </row>
    <row r="379" spans="1:3">
      <c r="A379" t="s">
        <v>99</v>
      </c>
      <c r="B379" s="25" t="s">
        <v>477</v>
      </c>
      <c r="C379" s="26" t="s">
        <v>72</v>
      </c>
    </row>
    <row r="380" spans="1:3">
      <c r="A380" t="s">
        <v>97</v>
      </c>
      <c r="B380" s="25" t="s">
        <v>478</v>
      </c>
      <c r="C380" s="26" t="s">
        <v>72</v>
      </c>
    </row>
    <row r="381" spans="1:3">
      <c r="A381" t="s">
        <v>99</v>
      </c>
      <c r="B381" s="25" t="s">
        <v>479</v>
      </c>
      <c r="C381" s="26" t="s">
        <v>72</v>
      </c>
    </row>
    <row r="382" spans="1:3">
      <c r="A382" t="s">
        <v>97</v>
      </c>
      <c r="B382" s="25" t="s">
        <v>480</v>
      </c>
      <c r="C382" s="26" t="s">
        <v>72</v>
      </c>
    </row>
    <row r="383" spans="1:3">
      <c r="A383" t="s">
        <v>97</v>
      </c>
      <c r="B383" s="25" t="s">
        <v>481</v>
      </c>
      <c r="C383" s="26" t="s">
        <v>72</v>
      </c>
    </row>
    <row r="384" spans="1:3">
      <c r="A384" t="s">
        <v>99</v>
      </c>
      <c r="B384" s="25" t="s">
        <v>482</v>
      </c>
      <c r="C384" s="26" t="s">
        <v>72</v>
      </c>
    </row>
    <row r="385" spans="1:3">
      <c r="A385" t="s">
        <v>97</v>
      </c>
      <c r="B385" s="25" t="s">
        <v>483</v>
      </c>
      <c r="C385" s="26" t="s">
        <v>72</v>
      </c>
    </row>
    <row r="386" spans="1:3">
      <c r="A386" t="s">
        <v>97</v>
      </c>
      <c r="B386" s="25" t="s">
        <v>484</v>
      </c>
      <c r="C386" s="26" t="s">
        <v>72</v>
      </c>
    </row>
    <row r="387" spans="1:3">
      <c r="A387" t="s">
        <v>97</v>
      </c>
      <c r="B387" s="25" t="s">
        <v>485</v>
      </c>
      <c r="C387" s="26" t="s">
        <v>72</v>
      </c>
    </row>
    <row r="388" spans="1:3">
      <c r="A388" t="s">
        <v>99</v>
      </c>
      <c r="B388" s="25" t="s">
        <v>486</v>
      </c>
      <c r="C388" s="26" t="s">
        <v>64</v>
      </c>
    </row>
    <row r="389" spans="1:3">
      <c r="A389" t="s">
        <v>99</v>
      </c>
      <c r="B389" s="25" t="s">
        <v>487</v>
      </c>
      <c r="C389" s="26" t="s">
        <v>64</v>
      </c>
    </row>
    <row r="390" spans="1:3">
      <c r="A390" t="s">
        <v>99</v>
      </c>
      <c r="B390" s="25" t="s">
        <v>488</v>
      </c>
      <c r="C390" s="26" t="s">
        <v>72</v>
      </c>
    </row>
    <row r="391" spans="1:3">
      <c r="A391" t="s">
        <v>99</v>
      </c>
      <c r="B391" s="25" t="s">
        <v>489</v>
      </c>
      <c r="C391" s="26" t="s">
        <v>72</v>
      </c>
    </row>
    <row r="392" spans="1:3">
      <c r="A392" t="s">
        <v>99</v>
      </c>
      <c r="B392" s="25" t="s">
        <v>490</v>
      </c>
      <c r="C392" s="26" t="s">
        <v>72</v>
      </c>
    </row>
    <row r="393" spans="1:3">
      <c r="A393" t="s">
        <v>99</v>
      </c>
      <c r="B393" s="25" t="s">
        <v>491</v>
      </c>
      <c r="C393" s="26" t="s">
        <v>72</v>
      </c>
    </row>
    <row r="394" spans="1:3">
      <c r="A394" t="s">
        <v>97</v>
      </c>
      <c r="B394" s="25" t="s">
        <v>492</v>
      </c>
      <c r="C394" s="26" t="s">
        <v>64</v>
      </c>
    </row>
    <row r="395" spans="1:3">
      <c r="A395" t="s">
        <v>97</v>
      </c>
      <c r="B395" s="25" t="s">
        <v>493</v>
      </c>
      <c r="C395" s="26" t="s">
        <v>64</v>
      </c>
    </row>
    <row r="396" spans="1:3">
      <c r="A396" t="s">
        <v>99</v>
      </c>
      <c r="B396" s="25" t="s">
        <v>494</v>
      </c>
      <c r="C396" s="26" t="s">
        <v>64</v>
      </c>
    </row>
    <row r="397" spans="1:3">
      <c r="A397" t="s">
        <v>99</v>
      </c>
      <c r="B397" s="25" t="s">
        <v>495</v>
      </c>
      <c r="C397" s="26" t="s">
        <v>64</v>
      </c>
    </row>
    <row r="398" spans="1:3">
      <c r="A398" t="s">
        <v>99</v>
      </c>
      <c r="B398" s="25" t="s">
        <v>496</v>
      </c>
      <c r="C398" s="26" t="s">
        <v>64</v>
      </c>
    </row>
    <row r="399" spans="1:3">
      <c r="A399" t="s">
        <v>97</v>
      </c>
      <c r="B399" s="25" t="s">
        <v>497</v>
      </c>
      <c r="C399" s="26" t="s">
        <v>72</v>
      </c>
    </row>
    <row r="400" spans="1:3">
      <c r="A400" t="s">
        <v>97</v>
      </c>
      <c r="B400" s="25" t="s">
        <v>498</v>
      </c>
      <c r="C400" s="26" t="s">
        <v>72</v>
      </c>
    </row>
    <row r="401" spans="1:3">
      <c r="A401" t="s">
        <v>99</v>
      </c>
      <c r="B401" s="25" t="s">
        <v>499</v>
      </c>
      <c r="C401" s="26" t="s">
        <v>64</v>
      </c>
    </row>
    <row r="402" spans="1:3">
      <c r="A402" t="s">
        <v>97</v>
      </c>
      <c r="B402" s="25" t="s">
        <v>500</v>
      </c>
      <c r="C402" s="26" t="s">
        <v>72</v>
      </c>
    </row>
    <row r="403" spans="1:3">
      <c r="A403" t="s">
        <v>97</v>
      </c>
      <c r="B403" s="25" t="s">
        <v>501</v>
      </c>
      <c r="C403" s="26" t="s">
        <v>72</v>
      </c>
    </row>
    <row r="404" spans="1:3">
      <c r="A404" t="s">
        <v>99</v>
      </c>
      <c r="B404" s="25" t="s">
        <v>502</v>
      </c>
      <c r="C404" s="26" t="s">
        <v>72</v>
      </c>
    </row>
    <row r="405" spans="1:3">
      <c r="A405" t="s">
        <v>97</v>
      </c>
      <c r="B405" s="25" t="s">
        <v>503</v>
      </c>
      <c r="C405" s="26" t="s">
        <v>72</v>
      </c>
    </row>
    <row r="406" spans="1:3">
      <c r="A406" t="s">
        <v>97</v>
      </c>
      <c r="B406" s="25" t="s">
        <v>504</v>
      </c>
      <c r="C406" s="26" t="s">
        <v>72</v>
      </c>
    </row>
    <row r="407" spans="1:3">
      <c r="A407" t="s">
        <v>99</v>
      </c>
      <c r="B407" s="25" t="s">
        <v>505</v>
      </c>
      <c r="C407" s="26" t="s">
        <v>72</v>
      </c>
    </row>
    <row r="408" spans="1:3">
      <c r="A408" t="s">
        <v>97</v>
      </c>
      <c r="B408" s="25" t="s">
        <v>506</v>
      </c>
      <c r="C408" s="26" t="s">
        <v>64</v>
      </c>
    </row>
    <row r="409" spans="1:3">
      <c r="A409" t="s">
        <v>97</v>
      </c>
      <c r="B409" s="25" t="s">
        <v>507</v>
      </c>
      <c r="C409" s="26" t="s">
        <v>72</v>
      </c>
    </row>
    <row r="410" spans="1:3">
      <c r="A410" t="s">
        <v>97</v>
      </c>
      <c r="B410" s="25" t="s">
        <v>508</v>
      </c>
      <c r="C410" s="26" t="s">
        <v>72</v>
      </c>
    </row>
    <row r="411" spans="1:3">
      <c r="A411" t="s">
        <v>97</v>
      </c>
      <c r="B411" s="25" t="s">
        <v>509</v>
      </c>
      <c r="C411" s="26" t="s">
        <v>72</v>
      </c>
    </row>
    <row r="412" spans="1:3">
      <c r="A412" t="s">
        <v>97</v>
      </c>
      <c r="B412" s="25" t="s">
        <v>510</v>
      </c>
      <c r="C412" s="26" t="s">
        <v>72</v>
      </c>
    </row>
    <row r="413" spans="1:3">
      <c r="A413" t="s">
        <v>97</v>
      </c>
      <c r="B413" s="25" t="s">
        <v>511</v>
      </c>
      <c r="C413" s="26" t="s">
        <v>72</v>
      </c>
    </row>
    <row r="414" spans="1:3">
      <c r="A414" t="s">
        <v>97</v>
      </c>
      <c r="B414" s="25" t="s">
        <v>512</v>
      </c>
      <c r="C414" s="26" t="s">
        <v>72</v>
      </c>
    </row>
    <row r="415" spans="1:3">
      <c r="A415" t="s">
        <v>99</v>
      </c>
      <c r="B415" s="25" t="s">
        <v>513</v>
      </c>
      <c r="C415" s="26" t="s">
        <v>72</v>
      </c>
    </row>
    <row r="416" spans="1:3">
      <c r="A416" t="s">
        <v>97</v>
      </c>
      <c r="B416" s="25" t="s">
        <v>514</v>
      </c>
      <c r="C416" s="26" t="s">
        <v>72</v>
      </c>
    </row>
    <row r="417" spans="1:3">
      <c r="A417" t="s">
        <v>97</v>
      </c>
      <c r="B417" s="25" t="s">
        <v>515</v>
      </c>
      <c r="C417" s="26" t="s">
        <v>72</v>
      </c>
    </row>
    <row r="418" spans="1:3">
      <c r="A418" t="s">
        <v>99</v>
      </c>
      <c r="B418" s="25" t="s">
        <v>516</v>
      </c>
      <c r="C418" s="26" t="s">
        <v>64</v>
      </c>
    </row>
    <row r="419" spans="1:3">
      <c r="A419" t="s">
        <v>99</v>
      </c>
      <c r="B419" s="25" t="s">
        <v>517</v>
      </c>
      <c r="C419" s="26" t="s">
        <v>72</v>
      </c>
    </row>
    <row r="420" spans="1:3">
      <c r="A420" t="s">
        <v>99</v>
      </c>
      <c r="B420" s="25" t="s">
        <v>518</v>
      </c>
      <c r="C420" s="26" t="s">
        <v>72</v>
      </c>
    </row>
    <row r="421" spans="1:3">
      <c r="A421" t="s">
        <v>99</v>
      </c>
      <c r="B421" s="25" t="s">
        <v>519</v>
      </c>
      <c r="C421" s="26" t="s">
        <v>72</v>
      </c>
    </row>
    <row r="422" spans="1:3">
      <c r="A422" t="s">
        <v>97</v>
      </c>
      <c r="B422" s="25" t="s">
        <v>520</v>
      </c>
      <c r="C422" s="26" t="s">
        <v>72</v>
      </c>
    </row>
    <row r="423" spans="1:3">
      <c r="A423" t="s">
        <v>97</v>
      </c>
      <c r="B423" s="25" t="s">
        <v>521</v>
      </c>
      <c r="C423" s="26" t="s">
        <v>72</v>
      </c>
    </row>
    <row r="424" spans="1:3">
      <c r="A424" t="s">
        <v>97</v>
      </c>
      <c r="B424" s="25" t="s">
        <v>522</v>
      </c>
      <c r="C424" s="26" t="s">
        <v>72</v>
      </c>
    </row>
    <row r="425" spans="1:3">
      <c r="A425" t="s">
        <v>97</v>
      </c>
      <c r="B425" s="25" t="s">
        <v>523</v>
      </c>
      <c r="C425" s="26" t="s">
        <v>72</v>
      </c>
    </row>
    <row r="426" spans="1:3">
      <c r="A426" t="s">
        <v>97</v>
      </c>
      <c r="B426" s="25" t="s">
        <v>524</v>
      </c>
      <c r="C426" s="26" t="s">
        <v>72</v>
      </c>
    </row>
    <row r="427" spans="1:3">
      <c r="A427" t="s">
        <v>99</v>
      </c>
      <c r="B427" s="25" t="s">
        <v>525</v>
      </c>
      <c r="C427" s="26" t="s">
        <v>72</v>
      </c>
    </row>
    <row r="428" spans="1:3">
      <c r="A428" t="s">
        <v>97</v>
      </c>
      <c r="B428" s="25" t="s">
        <v>526</v>
      </c>
      <c r="C428" s="26" t="s">
        <v>72</v>
      </c>
    </row>
    <row r="429" spans="1:3">
      <c r="A429" t="s">
        <v>97</v>
      </c>
      <c r="B429" s="25" t="s">
        <v>527</v>
      </c>
      <c r="C429" s="26" t="s">
        <v>72</v>
      </c>
    </row>
    <row r="430" spans="1:3">
      <c r="A430" t="s">
        <v>97</v>
      </c>
      <c r="B430" s="25" t="s">
        <v>528</v>
      </c>
      <c r="C430" s="26" t="s">
        <v>72</v>
      </c>
    </row>
    <row r="431" spans="1:3">
      <c r="A431" t="s">
        <v>97</v>
      </c>
      <c r="B431" s="25" t="s">
        <v>529</v>
      </c>
      <c r="C431" s="26" t="s">
        <v>72</v>
      </c>
    </row>
    <row r="432" spans="1:3">
      <c r="A432" t="s">
        <v>97</v>
      </c>
      <c r="B432" s="25" t="s">
        <v>530</v>
      </c>
      <c r="C432" s="26" t="s">
        <v>72</v>
      </c>
    </row>
    <row r="433" spans="1:3">
      <c r="A433" t="s">
        <v>99</v>
      </c>
      <c r="B433" s="25" t="s">
        <v>531</v>
      </c>
      <c r="C433" s="26" t="s">
        <v>72</v>
      </c>
    </row>
    <row r="434" spans="1:3">
      <c r="A434" t="s">
        <v>97</v>
      </c>
      <c r="B434" s="25" t="s">
        <v>532</v>
      </c>
      <c r="C434" s="26" t="s">
        <v>72</v>
      </c>
    </row>
    <row r="435" spans="1:3">
      <c r="A435" t="s">
        <v>97</v>
      </c>
      <c r="B435" s="25" t="s">
        <v>533</v>
      </c>
      <c r="C435" s="26" t="s">
        <v>72</v>
      </c>
    </row>
    <row r="436" spans="1:3">
      <c r="A436" t="s">
        <v>97</v>
      </c>
      <c r="B436" s="25" t="s">
        <v>534</v>
      </c>
      <c r="C436" s="26" t="s">
        <v>72</v>
      </c>
    </row>
    <row r="437" spans="1:3">
      <c r="A437" t="s">
        <v>97</v>
      </c>
      <c r="B437" s="25" t="s">
        <v>535</v>
      </c>
      <c r="C437" s="26" t="s">
        <v>72</v>
      </c>
    </row>
    <row r="438" spans="1:3">
      <c r="A438" t="s">
        <v>99</v>
      </c>
      <c r="B438" s="25" t="s">
        <v>536</v>
      </c>
      <c r="C438" s="26" t="s">
        <v>72</v>
      </c>
    </row>
    <row r="439" spans="1:3">
      <c r="A439" t="s">
        <v>97</v>
      </c>
      <c r="B439" s="25" t="s">
        <v>537</v>
      </c>
      <c r="C439" s="26" t="s">
        <v>64</v>
      </c>
    </row>
    <row r="440" spans="1:3">
      <c r="A440" t="s">
        <v>99</v>
      </c>
      <c r="B440" s="25" t="s">
        <v>538</v>
      </c>
      <c r="C440" s="26" t="s">
        <v>72</v>
      </c>
    </row>
    <row r="441" spans="1:3">
      <c r="A441" t="s">
        <v>99</v>
      </c>
      <c r="B441" s="25" t="s">
        <v>539</v>
      </c>
      <c r="C441" s="26" t="s">
        <v>72</v>
      </c>
    </row>
    <row r="442" spans="1:3">
      <c r="A442" t="s">
        <v>97</v>
      </c>
      <c r="B442" s="25" t="s">
        <v>540</v>
      </c>
      <c r="C442" s="26" t="s">
        <v>64</v>
      </c>
    </row>
  </sheetData>
  <sortState xmlns:xlrd2="http://schemas.microsoft.com/office/spreadsheetml/2017/richdata2" ref="A2:C428">
    <sortCondition ref="A1:A4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2024-09-23T13:26:04Z</dcterms:modified>
  <cp:category/>
  <cp:contentStatus/>
</cp:coreProperties>
</file>